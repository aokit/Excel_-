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2135D4EB-63B7-47AB-B2A3-84C68870B1CD}" xr6:coauthVersionLast="45" xr6:coauthVersionMax="45" xr10:uidLastSave="{00000000-0000-0000-0000-000000000000}"/>
  <bookViews>
    <workbookView xWindow="780" yWindow="780" windowWidth="20730" windowHeight="11775" firstSheet="1" activeTab="4" xr2:uid="{00000000-000D-0000-FFFF-FFFF00000000}"/>
  </bookViews>
  <sheets>
    <sheet name="yushutsu_kobetsu" sheetId="2" r:id="rId1"/>
    <sheet name="中間処理シート" sheetId="3" r:id="rId2"/>
    <sheet name="Sheet2" sheetId="4" r:id="rId3"/>
    <sheet name="審査件数" sheetId="5" r:id="rId4"/>
    <sheet name="別表１～３" sheetId="6" r:id="rId5"/>
    <sheet name="組織名称・略称・英文呼称" sheetId="7" r:id="rId6"/>
    <sheet name="Sheet3" sheetId="8" r:id="rId7"/>
    <sheet name="包括・特例" sheetId="9" r:id="rId8"/>
    <sheet name="Sheet1" sheetId="1" r:id="rId9"/>
  </sheets>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管理番号">yushutsu_kobetsu!$A:$A</definedName>
    <definedName name="期間＿開始">中間処理シート!$A$3</definedName>
    <definedName name="期間＿終了">中間処理シート!$A$5</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最終需要者">yushutsu_kobetsu!$N:$N</definedName>
    <definedName name="仕向地">yushutsu_kobetsu!$K:$K</definedName>
    <definedName name="仕向地抽出">中間処理シート!$A$11</definedName>
    <definedName name="申請者所属">yushutsu_kobetsu!$O:$O</definedName>
    <definedName name="特例抽出">中間処理シート!$A$16</definedName>
    <definedName name="非許可特例抽出">中間処理シート!$A$19</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2" i="9" l="1"/>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1" i="3"/>
  <c r="D131" i="3"/>
  <c r="C131" i="3"/>
  <c r="AP130" i="3"/>
  <c r="D130" i="3"/>
  <c r="C130" i="3"/>
  <c r="AP129" i="3"/>
  <c r="D129" i="3"/>
  <c r="C129" i="3"/>
  <c r="AP128" i="3"/>
  <c r="D128" i="3"/>
  <c r="C128" i="3"/>
  <c r="AP127" i="3"/>
  <c r="D127" i="3"/>
  <c r="C127" i="3"/>
  <c r="AP126" i="3"/>
  <c r="D126" i="3"/>
  <c r="C126" i="3"/>
  <c r="AP125" i="3"/>
  <c r="D125" i="3"/>
  <c r="C125" i="3"/>
  <c r="AP124" i="3"/>
  <c r="D124" i="3"/>
  <c r="C124" i="3"/>
  <c r="AP123" i="3"/>
  <c r="D123" i="3"/>
  <c r="C123" i="3"/>
  <c r="AP122" i="3"/>
  <c r="D122" i="3"/>
  <c r="C122" i="3"/>
  <c r="AP121" i="3"/>
  <c r="D121" i="3"/>
  <c r="C121" i="3"/>
  <c r="AP120" i="3"/>
  <c r="D120" i="3"/>
  <c r="C120" i="3"/>
  <c r="AP119" i="3"/>
  <c r="D119" i="3"/>
  <c r="C119" i="3"/>
  <c r="AP118"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E102" i="3"/>
  <c r="AC102" i="3"/>
  <c r="C102" i="3"/>
  <c r="D102" i="3" s="1"/>
  <c r="AE101" i="3"/>
  <c r="AC101" i="3"/>
  <c r="C101" i="3"/>
  <c r="D101" i="3" s="1"/>
  <c r="AE100" i="3"/>
  <c r="AC100" i="3"/>
  <c r="C100" i="3"/>
  <c r="D100" i="3" s="1"/>
  <c r="AE99" i="3"/>
  <c r="AC99" i="3"/>
  <c r="C99" i="3"/>
  <c r="D99" i="3" s="1"/>
  <c r="AE98" i="3"/>
  <c r="AC98" i="3"/>
  <c r="C98" i="3"/>
  <c r="D98" i="3" s="1"/>
  <c r="AE97" i="3"/>
  <c r="AC97" i="3"/>
  <c r="C97" i="3"/>
  <c r="D97" i="3" s="1"/>
  <c r="AE96" i="3"/>
  <c r="AC96" i="3"/>
  <c r="C96" i="3"/>
  <c r="D96" i="3" s="1"/>
  <c r="AE95" i="3"/>
  <c r="AC95" i="3"/>
  <c r="D95" i="3"/>
  <c r="C95" i="3"/>
  <c r="AE94" i="3"/>
  <c r="AC94" i="3"/>
  <c r="C94" i="3"/>
  <c r="D94" i="3" s="1"/>
  <c r="AE93" i="3"/>
  <c r="AC93" i="3"/>
  <c r="C93" i="3"/>
  <c r="D93" i="3" s="1"/>
  <c r="AE92" i="3"/>
  <c r="AC92" i="3"/>
  <c r="C92" i="3"/>
  <c r="D92" i="3" s="1"/>
  <c r="AE91" i="3"/>
  <c r="AC91" i="3"/>
  <c r="C91" i="3"/>
  <c r="D91" i="3" s="1"/>
  <c r="AE90" i="3"/>
  <c r="AC90" i="3"/>
  <c r="C90" i="3"/>
  <c r="D90" i="3" s="1"/>
  <c r="AE89" i="3"/>
  <c r="AC89" i="3"/>
  <c r="C89" i="3"/>
  <c r="D89" i="3" s="1"/>
  <c r="AE88" i="3"/>
  <c r="AC88" i="3"/>
  <c r="D88" i="3"/>
  <c r="C88" i="3"/>
  <c r="AE87" i="3"/>
  <c r="AC87" i="3"/>
  <c r="C87" i="3"/>
  <c r="D87" i="3" s="1"/>
  <c r="AE86" i="3"/>
  <c r="AC86" i="3"/>
  <c r="C86" i="3"/>
  <c r="D86" i="3" s="1"/>
  <c r="AE85" i="3"/>
  <c r="AC85" i="3"/>
  <c r="C85" i="3"/>
  <c r="D85" i="3" s="1"/>
  <c r="AE84" i="3"/>
  <c r="AC84" i="3"/>
  <c r="C84" i="3"/>
  <c r="D84" i="3" s="1"/>
  <c r="AE83" i="3"/>
  <c r="AC83" i="3"/>
  <c r="C83" i="3"/>
  <c r="D83" i="3" s="1"/>
  <c r="AE82" i="3"/>
  <c r="AC82" i="3"/>
  <c r="C82" i="3"/>
  <c r="D82" i="3" s="1"/>
  <c r="AE81" i="3"/>
  <c r="AC81" i="3"/>
  <c r="C81" i="3"/>
  <c r="D81" i="3" s="1"/>
  <c r="AE80" i="3"/>
  <c r="AC80" i="3"/>
  <c r="C80" i="3"/>
  <c r="D80" i="3" s="1"/>
  <c r="AE79" i="3"/>
  <c r="AC79" i="3"/>
  <c r="C79" i="3"/>
  <c r="D79" i="3" s="1"/>
  <c r="AE78" i="3"/>
  <c r="AC78" i="3"/>
  <c r="C78" i="3"/>
  <c r="AE77" i="3"/>
  <c r="AC77" i="3"/>
  <c r="C77" i="3"/>
  <c r="D77" i="3" s="1"/>
  <c r="AE76" i="3"/>
  <c r="AC76" i="3"/>
  <c r="D76" i="3"/>
  <c r="C76" i="3"/>
  <c r="AE75" i="3"/>
  <c r="AC75" i="3"/>
  <c r="C75" i="3"/>
  <c r="D75" i="3" s="1"/>
  <c r="AE74" i="3"/>
  <c r="AC74" i="3"/>
  <c r="C74" i="3"/>
  <c r="AE73" i="3"/>
  <c r="AC73" i="3"/>
  <c r="C73" i="3"/>
  <c r="D73" i="3" s="1"/>
  <c r="AE72" i="3"/>
  <c r="AC72" i="3"/>
  <c r="C72" i="3"/>
  <c r="D72" i="3" s="1"/>
  <c r="AE71" i="3"/>
  <c r="AC71" i="3"/>
  <c r="C71" i="3"/>
  <c r="D71" i="3" s="1"/>
  <c r="AE70" i="3"/>
  <c r="AC70" i="3"/>
  <c r="D70" i="3"/>
  <c r="C70" i="3"/>
  <c r="AE69" i="3"/>
  <c r="AC69" i="3"/>
  <c r="C69" i="3"/>
  <c r="D69" i="3" s="1"/>
  <c r="AE68" i="3"/>
  <c r="AC68" i="3"/>
  <c r="C68" i="3"/>
  <c r="D68" i="3" s="1"/>
  <c r="AE67" i="3"/>
  <c r="AC67" i="3"/>
  <c r="C67" i="3"/>
  <c r="D67" i="3" s="1"/>
  <c r="AE66" i="3"/>
  <c r="AC66" i="3"/>
  <c r="C66" i="3"/>
  <c r="D66" i="3" s="1"/>
  <c r="AE65" i="3"/>
  <c r="AC65" i="3"/>
  <c r="C65" i="3"/>
  <c r="D65" i="3" s="1"/>
  <c r="AE64" i="3"/>
  <c r="AC64" i="3"/>
  <c r="C64" i="3"/>
  <c r="D64" i="3" s="1"/>
  <c r="AE63" i="3"/>
  <c r="AC63" i="3"/>
  <c r="C63" i="3"/>
  <c r="AE62" i="3"/>
  <c r="AC62" i="3"/>
  <c r="D62" i="3"/>
  <c r="C62" i="3"/>
  <c r="AE61" i="3"/>
  <c r="AC61" i="3"/>
  <c r="C61" i="3"/>
  <c r="D61" i="3" s="1"/>
  <c r="AE60" i="3"/>
  <c r="AC60" i="3"/>
  <c r="C60" i="3"/>
  <c r="D60" i="3" s="1"/>
  <c r="AE59" i="3"/>
  <c r="AC59" i="3"/>
  <c r="C59" i="3"/>
  <c r="D59" i="3" s="1"/>
  <c r="AE58" i="3"/>
  <c r="AC58" i="3"/>
  <c r="C58" i="3"/>
  <c r="D58" i="3" s="1"/>
  <c r="AE57" i="3"/>
  <c r="AC57" i="3"/>
  <c r="C57" i="3"/>
  <c r="D57" i="3" s="1"/>
  <c r="AE56" i="3"/>
  <c r="AC56" i="3"/>
  <c r="C56" i="3"/>
  <c r="AE55" i="3"/>
  <c r="AC55" i="3"/>
  <c r="C55" i="3"/>
  <c r="D55" i="3" s="1"/>
  <c r="AE54" i="3"/>
  <c r="AC54" i="3"/>
  <c r="C54" i="3"/>
  <c r="D54" i="3" s="1"/>
  <c r="AE53" i="3"/>
  <c r="AC53" i="3"/>
  <c r="C53" i="3"/>
  <c r="D53" i="3" s="1"/>
  <c r="AE52" i="3"/>
  <c r="AC52" i="3"/>
  <c r="C52" i="3"/>
  <c r="D52" i="3" s="1"/>
  <c r="AE51" i="3"/>
  <c r="AC51" i="3"/>
  <c r="C51" i="3"/>
  <c r="D51" i="3" s="1"/>
  <c r="AE50" i="3"/>
  <c r="AC50" i="3"/>
  <c r="C50" i="3"/>
  <c r="D50" i="3" s="1"/>
  <c r="AE49" i="3"/>
  <c r="AC49" i="3"/>
  <c r="C49" i="3"/>
  <c r="D49" i="3" s="1"/>
  <c r="AE48" i="3"/>
  <c r="AC48" i="3"/>
  <c r="D48" i="3"/>
  <c r="C48" i="3"/>
  <c r="AE47" i="3"/>
  <c r="AC47" i="3"/>
  <c r="C47" i="3"/>
  <c r="D47" i="3" s="1"/>
  <c r="AE46" i="3"/>
  <c r="AC46" i="3"/>
  <c r="C46" i="3"/>
  <c r="D46" i="3" s="1"/>
  <c r="AE45" i="3"/>
  <c r="AC45" i="3"/>
  <c r="C45" i="3"/>
  <c r="AE44" i="3"/>
  <c r="AC44" i="3"/>
  <c r="C44" i="3"/>
  <c r="D44" i="3" s="1"/>
  <c r="AE43" i="3"/>
  <c r="AC43" i="3"/>
  <c r="C43" i="3"/>
  <c r="D43" i="3" s="1"/>
  <c r="AE42" i="3"/>
  <c r="AC42" i="3"/>
  <c r="C42" i="3"/>
  <c r="D42" i="3" s="1"/>
  <c r="AE41" i="3"/>
  <c r="AC41" i="3"/>
  <c r="C41" i="3"/>
  <c r="D41" i="3" s="1"/>
  <c r="AE40" i="3"/>
  <c r="AC40" i="3"/>
  <c r="C40" i="3"/>
  <c r="D40" i="3" s="1"/>
  <c r="AE39" i="3"/>
  <c r="AC39" i="3"/>
  <c r="C39" i="3"/>
  <c r="D39" i="3" s="1"/>
  <c r="AE38" i="3"/>
  <c r="AC38" i="3"/>
  <c r="C38" i="3"/>
  <c r="D38" i="3" s="1"/>
  <c r="AE37" i="3"/>
  <c r="AC37" i="3"/>
  <c r="C37" i="3"/>
  <c r="D37" i="3" s="1"/>
  <c r="AE36" i="3"/>
  <c r="AC36" i="3"/>
  <c r="C36" i="3"/>
  <c r="D36" i="3" s="1"/>
  <c r="AE35" i="3"/>
  <c r="AC35" i="3"/>
  <c r="C35" i="3"/>
  <c r="D35" i="3" s="1"/>
  <c r="AE34" i="3"/>
  <c r="AC34" i="3"/>
  <c r="C34" i="3"/>
  <c r="AC33" i="3"/>
  <c r="AD33" i="3" s="1"/>
  <c r="C33" i="3"/>
  <c r="D33" i="3" s="1"/>
  <c r="AC32" i="3"/>
  <c r="AD32" i="3" s="1"/>
  <c r="C32" i="3"/>
  <c r="D32" i="3" s="1"/>
  <c r="AC31" i="3"/>
  <c r="AD31" i="3" s="1"/>
  <c r="C31" i="3"/>
  <c r="D31" i="3" s="1"/>
  <c r="AC30" i="3"/>
  <c r="AD30" i="3" s="1"/>
  <c r="C30" i="3"/>
  <c r="D30" i="3" s="1"/>
  <c r="AE29" i="3"/>
  <c r="AC29" i="3"/>
  <c r="C29" i="3"/>
  <c r="D29" i="3" s="1"/>
  <c r="AC28" i="3"/>
  <c r="AD28" i="3" s="1"/>
  <c r="C28" i="3"/>
  <c r="D28" i="3" s="1"/>
  <c r="AC27" i="3"/>
  <c r="AD27" i="3" s="1"/>
  <c r="C27" i="3"/>
  <c r="D27" i="3" s="1"/>
  <c r="AC26" i="3"/>
  <c r="AD26" i="3" s="1"/>
  <c r="C26" i="3"/>
  <c r="D26" i="3" s="1"/>
  <c r="AC25" i="3"/>
  <c r="AD25" i="3" s="1"/>
  <c r="U25" i="3"/>
  <c r="V25" i="3" s="1"/>
  <c r="C25" i="3"/>
  <c r="D25" i="3" s="1"/>
  <c r="AC24" i="3"/>
  <c r="AD24" i="3" s="1"/>
  <c r="U24" i="3"/>
  <c r="V24" i="3" s="1"/>
  <c r="D24" i="3"/>
  <c r="C24" i="3"/>
  <c r="AD23" i="3"/>
  <c r="AC23" i="3"/>
  <c r="V23" i="3"/>
  <c r="U23" i="3"/>
  <c r="C23" i="3"/>
  <c r="AC22" i="3"/>
  <c r="AD22" i="3" s="1"/>
  <c r="U22" i="3"/>
  <c r="V22" i="3" s="1"/>
  <c r="C22" i="3"/>
  <c r="D22" i="3" s="1"/>
  <c r="AC21" i="3"/>
  <c r="AD21" i="3" s="1"/>
  <c r="U21" i="3"/>
  <c r="V21" i="3" s="1"/>
  <c r="C21" i="3"/>
  <c r="D21" i="3" s="1"/>
  <c r="AC20" i="3"/>
  <c r="AD20" i="3" s="1"/>
  <c r="U20" i="3"/>
  <c r="V20" i="3" s="1"/>
  <c r="D20" i="3"/>
  <c r="C20" i="3"/>
  <c r="AC19" i="3"/>
  <c r="AD19" i="3" s="1"/>
  <c r="U19" i="3"/>
  <c r="V19" i="3" s="1"/>
  <c r="C19" i="3"/>
  <c r="D19" i="3" s="1"/>
  <c r="A19" i="3"/>
  <c r="AD18" i="3"/>
  <c r="AC18" i="3"/>
  <c r="V18" i="3"/>
  <c r="U18" i="3"/>
  <c r="C18" i="3"/>
  <c r="D18" i="3" s="1"/>
  <c r="AC17" i="3"/>
  <c r="AD17" i="3" s="1"/>
  <c r="U17" i="3"/>
  <c r="V17" i="3" s="1"/>
  <c r="C17" i="3"/>
  <c r="D17" i="3" s="1"/>
  <c r="AC16" i="3"/>
  <c r="AD16" i="3" s="1"/>
  <c r="U16" i="3"/>
  <c r="V16" i="3" s="1"/>
  <c r="C16" i="3"/>
  <c r="D16" i="3" s="1"/>
  <c r="A16" i="3"/>
  <c r="AC15" i="3"/>
  <c r="AD15" i="3" s="1"/>
  <c r="AI8" i="3" s="1"/>
  <c r="J8" i="6" s="1"/>
  <c r="U15" i="3"/>
  <c r="V15" i="3" s="1"/>
  <c r="C15" i="3"/>
  <c r="D15" i="3" s="1"/>
  <c r="AC14" i="3"/>
  <c r="AD14" i="3" s="1"/>
  <c r="U14" i="3"/>
  <c r="V14" i="3" s="1"/>
  <c r="C14" i="3"/>
  <c r="AC13" i="3"/>
  <c r="AD13" i="3" s="1"/>
  <c r="U13" i="3"/>
  <c r="C13" i="3"/>
  <c r="D13" i="3" s="1"/>
  <c r="A13" i="3"/>
  <c r="AC12" i="3"/>
  <c r="AD12" i="3" s="1"/>
  <c r="U12" i="3"/>
  <c r="V12" i="3" s="1"/>
  <c r="C12" i="3"/>
  <c r="D12" i="3" s="1"/>
  <c r="AC11" i="3"/>
  <c r="AD11" i="3" s="1"/>
  <c r="U11" i="3"/>
  <c r="C11" i="3"/>
  <c r="A11" i="3"/>
  <c r="AD10" i="3"/>
  <c r="AC10" i="3"/>
  <c r="U10" i="3"/>
  <c r="C10" i="3"/>
  <c r="AC9" i="3"/>
  <c r="AD9" i="3" s="1"/>
  <c r="U9" i="3"/>
  <c r="C9" i="3"/>
  <c r="A9" i="3"/>
  <c r="AH8" i="3"/>
  <c r="I8" i="6" s="1"/>
  <c r="AD8" i="3"/>
  <c r="AC8" i="3"/>
  <c r="U8" i="3"/>
  <c r="C8" i="3"/>
  <c r="D8" i="3" s="1"/>
  <c r="AH7" i="3"/>
  <c r="I7" i="6" s="1"/>
  <c r="AC7" i="3"/>
  <c r="AD7" i="3" s="1"/>
  <c r="U7" i="3"/>
  <c r="C7" i="3"/>
  <c r="D7" i="3" s="1"/>
  <c r="A7" i="3"/>
  <c r="AH6" i="3"/>
  <c r="I6" i="6" s="1"/>
  <c r="AC6" i="3"/>
  <c r="AD6" i="3" s="1"/>
  <c r="AI5" i="3" s="1"/>
  <c r="J5" i="6" s="1"/>
  <c r="U6" i="3"/>
  <c r="V6" i="3" s="1"/>
  <c r="C6" i="3"/>
  <c r="D6" i="3" s="1"/>
  <c r="AH5" i="3"/>
  <c r="I5" i="6" s="1"/>
  <c r="AC5" i="3"/>
  <c r="AD5" i="3" s="1"/>
  <c r="U5" i="3"/>
  <c r="C5" i="3"/>
  <c r="D5" i="3" s="1"/>
  <c r="AH4" i="3"/>
  <c r="I4" i="6" s="1"/>
  <c r="AC4" i="3"/>
  <c r="U4" i="3"/>
  <c r="C4" i="3"/>
  <c r="D4" i="3" s="1"/>
  <c r="AH3" i="3"/>
  <c r="I3" i="6" s="1"/>
  <c r="AE3" i="3"/>
  <c r="AC3" i="3"/>
  <c r="U3" i="3"/>
  <c r="C3" i="3"/>
  <c r="AC2" i="3"/>
  <c r="AD2" i="3" s="1"/>
  <c r="V2" i="3"/>
  <c r="U2" i="3"/>
  <c r="C2" i="3"/>
  <c r="D9" i="3" l="1"/>
  <c r="D23" i="3"/>
  <c r="D11" i="3"/>
  <c r="V10" i="3"/>
  <c r="D3" i="3"/>
  <c r="D10" i="3"/>
  <c r="G11" i="5"/>
  <c r="AD4" i="3"/>
  <c r="V5" i="3"/>
  <c r="V9" i="3"/>
  <c r="V11" i="3"/>
  <c r="V7" i="3"/>
  <c r="V13" i="3"/>
  <c r="AE16" i="3"/>
  <c r="AE17" i="3"/>
  <c r="AE21" i="3"/>
  <c r="AE22" i="3"/>
  <c r="AE25" i="3"/>
  <c r="AI4" i="3"/>
  <c r="J4" i="6" s="1"/>
  <c r="AE4" i="3"/>
  <c r="AE6" i="3"/>
  <c r="AE7" i="3"/>
  <c r="AE12" i="3"/>
  <c r="AE13" i="3"/>
  <c r="AE15" i="3"/>
  <c r="AE28" i="3"/>
  <c r="AE5" i="3"/>
  <c r="AE8" i="3"/>
  <c r="AE9" i="3"/>
  <c r="AI7" i="3"/>
  <c r="J7" i="6" s="1"/>
  <c r="AE10" i="3"/>
  <c r="AE11" i="3"/>
  <c r="AE14" i="3"/>
  <c r="AE18" i="3"/>
  <c r="AE19" i="3"/>
  <c r="AE20" i="3"/>
  <c r="AI6" i="3"/>
  <c r="J6" i="6" s="1"/>
  <c r="AE23" i="3"/>
  <c r="AE24" i="3"/>
  <c r="AE26" i="3"/>
  <c r="AE27" i="3"/>
  <c r="AE2" i="3"/>
  <c r="V8" i="3"/>
  <c r="AE31" i="3"/>
  <c r="AE33" i="3"/>
  <c r="D45" i="3"/>
  <c r="D63" i="3"/>
  <c r="D78" i="3"/>
  <c r="D74" i="3"/>
  <c r="D56" i="3"/>
  <c r="D2" i="3"/>
  <c r="V3" i="3"/>
  <c r="AI3" i="3"/>
  <c r="J3" i="6" s="1"/>
  <c r="V4" i="3"/>
  <c r="W21" i="3" s="1"/>
  <c r="D14" i="3"/>
  <c r="W18" i="3"/>
  <c r="W19" i="3"/>
  <c r="W20" i="3"/>
  <c r="X21" i="3"/>
  <c r="W22" i="3"/>
  <c r="X23" i="3"/>
  <c r="W24" i="3"/>
  <c r="AE30" i="3"/>
  <c r="AE32" i="3"/>
  <c r="D34" i="3"/>
  <c r="E63" i="3" s="1"/>
  <c r="E61" i="3"/>
  <c r="E55" i="3"/>
  <c r="E53" i="3"/>
  <c r="E33" i="3"/>
  <c r="E32" i="3"/>
  <c r="E31" i="3"/>
  <c r="E30" i="3"/>
  <c r="E34" i="3"/>
  <c r="E36" i="3"/>
  <c r="E38" i="3"/>
  <c r="E40" i="3"/>
  <c r="E44" i="3"/>
  <c r="E46" i="3"/>
  <c r="E48" i="3"/>
  <c r="E50" i="3"/>
  <c r="E52" i="3"/>
  <c r="E54" i="3"/>
  <c r="E56" i="3"/>
  <c r="E58" i="3"/>
  <c r="E60" i="3"/>
  <c r="E62" i="3"/>
  <c r="E64" i="3"/>
  <c r="E66" i="3"/>
  <c r="E68" i="3"/>
  <c r="E70" i="3"/>
  <c r="E72" i="3"/>
  <c r="E74" i="3"/>
  <c r="E76" i="3"/>
  <c r="E78" i="3"/>
  <c r="E80" i="3"/>
  <c r="E82" i="3"/>
  <c r="E84" i="3"/>
  <c r="E86" i="3"/>
  <c r="E88" i="3"/>
  <c r="E103" i="3"/>
  <c r="E105" i="3"/>
  <c r="E119" i="3"/>
  <c r="E130" i="3"/>
  <c r="E129" i="3"/>
  <c r="E128" i="3"/>
  <c r="E127" i="3"/>
  <c r="E126" i="3"/>
  <c r="E125" i="3"/>
  <c r="E124" i="3"/>
  <c r="E123" i="3"/>
  <c r="E101" i="3"/>
  <c r="E99" i="3"/>
  <c r="E97" i="3"/>
  <c r="E95" i="3"/>
  <c r="E93" i="3"/>
  <c r="E91" i="3"/>
  <c r="E89" i="3"/>
  <c r="E65" i="3"/>
  <c r="E67" i="3"/>
  <c r="E69" i="3"/>
  <c r="E71" i="3"/>
  <c r="E73" i="3"/>
  <c r="E75" i="3"/>
  <c r="E77" i="3"/>
  <c r="E79" i="3"/>
  <c r="E81" i="3"/>
  <c r="E83" i="3"/>
  <c r="E85" i="3"/>
  <c r="E87" i="3"/>
  <c r="E90" i="3"/>
  <c r="E92" i="3"/>
  <c r="E94" i="3"/>
  <c r="E96" i="3"/>
  <c r="E98" i="3"/>
  <c r="E100" i="3"/>
  <c r="E102" i="3"/>
  <c r="E104" i="3"/>
  <c r="E106" i="3"/>
  <c r="E107" i="3"/>
  <c r="E108" i="3"/>
  <c r="E109" i="3"/>
  <c r="E110" i="3"/>
  <c r="E111" i="3"/>
  <c r="E112" i="3"/>
  <c r="E113" i="3"/>
  <c r="E114" i="3"/>
  <c r="E115" i="3"/>
  <c r="E116" i="3"/>
  <c r="E117" i="3"/>
  <c r="E118" i="3"/>
  <c r="E120" i="3"/>
  <c r="E122" i="3"/>
  <c r="E255" i="3"/>
  <c r="E133" i="3"/>
  <c r="E135" i="3"/>
  <c r="E137" i="3"/>
  <c r="E139" i="3"/>
  <c r="E141" i="3"/>
  <c r="E143" i="3"/>
  <c r="E145" i="3"/>
  <c r="E147" i="3"/>
  <c r="E149" i="3"/>
  <c r="E151" i="3"/>
  <c r="E153" i="3"/>
  <c r="E155" i="3"/>
  <c r="E157" i="3"/>
  <c r="E159" i="3"/>
  <c r="E161" i="3"/>
  <c r="E163" i="3"/>
  <c r="E165" i="3"/>
  <c r="E167" i="3"/>
  <c r="E169" i="3"/>
  <c r="E171" i="3"/>
  <c r="E173" i="3"/>
  <c r="E175" i="3"/>
  <c r="E177" i="3"/>
  <c r="E179" i="3"/>
  <c r="E181" i="3"/>
  <c r="E183" i="3"/>
  <c r="E185" i="3"/>
  <c r="E187" i="3"/>
  <c r="E189" i="3"/>
  <c r="E191" i="3"/>
  <c r="E193" i="3"/>
  <c r="E195" i="3"/>
  <c r="E197" i="3"/>
  <c r="E199" i="3"/>
  <c r="E201" i="3"/>
  <c r="E203" i="3"/>
  <c r="E205" i="3"/>
  <c r="E207" i="3"/>
  <c r="E209" i="3"/>
  <c r="E211" i="3"/>
  <c r="E213" i="3"/>
  <c r="E215" i="3"/>
  <c r="E217" i="3"/>
  <c r="E219" i="3"/>
  <c r="E221" i="3"/>
  <c r="E223" i="3"/>
  <c r="E225" i="3"/>
  <c r="E227" i="3"/>
  <c r="E229" i="3"/>
  <c r="E231" i="3"/>
  <c r="E233" i="3"/>
  <c r="E235" i="3"/>
  <c r="E237" i="3"/>
  <c r="E239" i="3"/>
  <c r="E241" i="3"/>
  <c r="E243" i="3"/>
  <c r="E245" i="3"/>
  <c r="E247" i="3"/>
  <c r="E249" i="3"/>
  <c r="E251" i="3"/>
  <c r="E253" i="3"/>
  <c r="E256" i="3"/>
  <c r="E131" i="3"/>
  <c r="E132" i="3"/>
  <c r="E134" i="3"/>
  <c r="E136" i="3"/>
  <c r="E138" i="3"/>
  <c r="E140" i="3"/>
  <c r="E142" i="3"/>
  <c r="E144" i="3"/>
  <c r="E146" i="3"/>
  <c r="E148" i="3"/>
  <c r="E150" i="3"/>
  <c r="E152" i="3"/>
  <c r="E154" i="3"/>
  <c r="E156" i="3"/>
  <c r="E158" i="3"/>
  <c r="E160" i="3"/>
  <c r="E162" i="3"/>
  <c r="E164" i="3"/>
  <c r="E166" i="3"/>
  <c r="E168" i="3"/>
  <c r="E170" i="3"/>
  <c r="E172" i="3"/>
  <c r="E174" i="3"/>
  <c r="E176" i="3"/>
  <c r="E178" i="3"/>
  <c r="E180" i="3"/>
  <c r="E182" i="3"/>
  <c r="E184" i="3"/>
  <c r="E186" i="3"/>
  <c r="E188" i="3"/>
  <c r="E190" i="3"/>
  <c r="E192" i="3"/>
  <c r="E194" i="3"/>
  <c r="E196" i="3"/>
  <c r="E198" i="3"/>
  <c r="E200" i="3"/>
  <c r="E202" i="3"/>
  <c r="E204" i="3"/>
  <c r="E206" i="3"/>
  <c r="E208" i="3"/>
  <c r="E210" i="3"/>
  <c r="E212" i="3"/>
  <c r="E214" i="3"/>
  <c r="E216" i="3"/>
  <c r="E218" i="3"/>
  <c r="E220" i="3"/>
  <c r="E222" i="3"/>
  <c r="E224" i="3"/>
  <c r="E226" i="3"/>
  <c r="E228" i="3"/>
  <c r="E230" i="3"/>
  <c r="E232" i="3"/>
  <c r="E234" i="3"/>
  <c r="E236" i="3"/>
  <c r="E238" i="3"/>
  <c r="E240" i="3"/>
  <c r="E242" i="3"/>
  <c r="E244" i="3"/>
  <c r="E246" i="3"/>
  <c r="E248" i="3"/>
  <c r="E250" i="3"/>
  <c r="E252" i="3"/>
  <c r="E254" i="3"/>
  <c r="X24" i="3" l="1"/>
  <c r="X25" i="3"/>
  <c r="E57" i="3"/>
  <c r="H57" i="3" s="1"/>
  <c r="X17" i="3"/>
  <c r="X16" i="3"/>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32" i="3"/>
  <c r="H32" i="3"/>
  <c r="F32" i="3"/>
  <c r="G53" i="3"/>
  <c r="H53" i="3"/>
  <c r="F53" i="3"/>
  <c r="G57" i="3"/>
  <c r="F57" i="3"/>
  <c r="G61" i="3"/>
  <c r="H61" i="3"/>
  <c r="F61"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E121" i="3"/>
  <c r="X22" i="3"/>
  <c r="X20" i="3"/>
  <c r="X18" i="3"/>
  <c r="W16" i="3"/>
  <c r="W2" i="3"/>
  <c r="F3" i="6" s="1"/>
  <c r="W4" i="3"/>
  <c r="W6" i="3"/>
  <c r="X8" i="3"/>
  <c r="W10" i="3"/>
  <c r="X12" i="3"/>
  <c r="X14" i="3"/>
  <c r="X3" i="3"/>
  <c r="W5" i="3"/>
  <c r="X7" i="3"/>
  <c r="W9" i="3"/>
  <c r="X11" i="3"/>
  <c r="W13" i="3"/>
  <c r="X15"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25" i="3"/>
  <c r="W23" i="3"/>
  <c r="X19" i="3"/>
  <c r="W17" i="3"/>
  <c r="W15" i="3"/>
  <c r="W3" i="3"/>
  <c r="X5" i="3"/>
  <c r="W7" i="3"/>
  <c r="X9" i="3"/>
  <c r="W11" i="3"/>
  <c r="X13" i="3"/>
  <c r="X2" i="3"/>
  <c r="G3" i="6" s="1"/>
  <c r="X4" i="3"/>
  <c r="X6" i="3"/>
  <c r="W8" i="3"/>
  <c r="X10" i="3"/>
  <c r="W12" i="3"/>
  <c r="W14" i="3"/>
  <c r="H3" i="3" l="1"/>
  <c r="G3" i="3"/>
  <c r="H8" i="3"/>
  <c r="G8" i="3"/>
  <c r="H12" i="3"/>
  <c r="G12" i="3"/>
  <c r="H14" i="3"/>
  <c r="G14" i="3"/>
  <c r="H19" i="3"/>
  <c r="F19" i="3"/>
  <c r="G19" i="3"/>
  <c r="H22" i="3"/>
  <c r="F22" i="3"/>
  <c r="G22" i="3"/>
  <c r="H26" i="3"/>
  <c r="F26" i="3"/>
  <c r="G26" i="3"/>
  <c r="H42" i="3"/>
  <c r="F42" i="3"/>
  <c r="G42" i="3"/>
  <c r="G6"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F4" i="6"/>
  <c r="G4" i="6"/>
  <c r="H2" i="3"/>
  <c r="G2" i="3"/>
  <c r="H5" i="3"/>
  <c r="G5" i="3"/>
  <c r="H9" i="3"/>
  <c r="G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L36" i="3"/>
  <c r="AL56" i="3"/>
  <c r="AL100" i="3"/>
  <c r="AL95" i="3"/>
  <c r="AL20" i="3"/>
  <c r="AL66" i="3"/>
  <c r="AL96" i="3"/>
  <c r="AL78" i="3"/>
  <c r="AL73" i="3"/>
  <c r="AL74" i="3"/>
  <c r="AL47" i="3"/>
  <c r="AL104" i="3"/>
  <c r="AL99" i="3"/>
  <c r="AL98" i="3"/>
  <c r="AL44" i="3"/>
  <c r="AL86" i="3"/>
  <c r="AL116" i="3"/>
  <c r="AL76" i="3"/>
  <c r="AL12" i="3"/>
  <c r="AL113" i="3"/>
  <c r="AL88" i="3"/>
  <c r="AL109" i="3"/>
  <c r="AL131" i="3"/>
  <c r="AL59" i="3"/>
  <c r="AL80" i="3"/>
  <c r="AL107" i="3"/>
  <c r="AL8" i="3"/>
  <c r="AL64" i="3"/>
  <c r="AL124" i="3"/>
  <c r="AL94" i="3"/>
  <c r="AL69" i="3"/>
  <c r="AL42" i="3"/>
  <c r="AL32" i="3"/>
  <c r="AL52" i="3"/>
  <c r="AL11" i="3"/>
  <c r="AL121" i="3"/>
  <c r="AL83" i="3"/>
  <c r="AL102" i="3"/>
  <c r="AL106" i="3"/>
  <c r="AL91" i="3"/>
  <c r="AL30" i="3"/>
  <c r="AL128" i="3"/>
  <c r="AL112" i="3"/>
  <c r="AL25" i="3"/>
  <c r="AL60" i="3"/>
  <c r="AL110" i="3"/>
  <c r="AL122" i="3"/>
  <c r="AL101" i="3"/>
  <c r="AL14" i="3"/>
  <c r="AL10" i="3"/>
  <c r="AL13" i="3"/>
  <c r="AL114" i="3"/>
  <c r="AL15" i="3"/>
  <c r="AL87" i="3"/>
  <c r="AL105" i="3"/>
  <c r="AL75" i="3"/>
  <c r="AL117" i="3"/>
  <c r="AL48" i="3"/>
  <c r="AL72" i="3"/>
  <c r="AL130" i="3"/>
  <c r="AL67" i="3"/>
  <c r="AL126" i="3"/>
  <c r="AL50" i="3"/>
  <c r="AL57" i="3"/>
  <c r="AL46" i="3"/>
  <c r="AL111" i="3"/>
  <c r="AL5" i="3"/>
  <c r="AL61" i="3"/>
  <c r="AL26" i="3"/>
  <c r="AL4" i="3"/>
  <c r="AL40" i="3"/>
  <c r="AL29" i="3"/>
  <c r="AL115" i="3"/>
  <c r="AL62" i="3"/>
  <c r="AL54" i="3"/>
  <c r="AL108" i="3"/>
  <c r="AL43" i="3"/>
  <c r="AL23" i="3"/>
  <c r="AL63" i="3"/>
  <c r="AL127" i="3"/>
  <c r="AL24" i="3"/>
  <c r="AL81" i="3"/>
  <c r="AL129" i="3"/>
  <c r="AL53" i="3"/>
  <c r="AL6" i="3"/>
  <c r="AL119" i="3"/>
  <c r="AL39" i="3"/>
  <c r="AL17" i="3"/>
  <c r="AL21" i="3"/>
  <c r="AL123" i="3"/>
  <c r="AL55" i="3"/>
  <c r="AL58" i="3"/>
  <c r="AL71" i="3"/>
  <c r="AL27" i="3"/>
  <c r="AL37" i="3"/>
  <c r="AL49" i="3"/>
  <c r="AL125" i="3"/>
  <c r="AL65" i="3"/>
  <c r="AL84" i="3"/>
  <c r="AL82" i="3"/>
  <c r="AL120" i="3"/>
  <c r="AL93" i="3"/>
  <c r="AL118" i="3"/>
  <c r="AL70" i="3"/>
  <c r="AL7" i="3"/>
  <c r="AL92" i="3"/>
  <c r="AL33" i="3"/>
  <c r="AL28" i="3"/>
  <c r="AL68" i="3"/>
  <c r="AL18" i="3"/>
  <c r="AL16" i="3"/>
  <c r="AL90" i="3"/>
  <c r="AL9" i="3"/>
  <c r="AL38" i="3"/>
  <c r="AL103" i="3"/>
  <c r="AL85" i="3"/>
  <c r="AL22" i="3"/>
  <c r="AL19" i="3"/>
  <c r="AL2" i="3"/>
  <c r="AL45" i="3"/>
  <c r="AL79" i="3"/>
  <c r="AL41" i="3"/>
  <c r="AL97" i="3"/>
  <c r="AL77" i="3"/>
  <c r="AL51" i="3"/>
  <c r="AL31" i="3"/>
  <c r="AL34" i="3"/>
  <c r="AL3" i="3"/>
  <c r="AL89" i="3"/>
  <c r="AL35" i="3"/>
  <c r="E30" i="9"/>
  <c r="I27" i="9"/>
  <c r="D28" i="9"/>
  <c r="E26" i="9"/>
  <c r="C21" i="9"/>
  <c r="F20" i="9"/>
  <c r="E6" i="9"/>
  <c r="J21" i="9"/>
  <c r="F33" i="9"/>
  <c r="F5" i="9"/>
  <c r="J29" i="9"/>
  <c r="D5" i="9"/>
  <c r="I31" i="9"/>
  <c r="I19" i="9"/>
  <c r="C6" i="9"/>
  <c r="F9" i="9"/>
  <c r="I12" i="9"/>
  <c r="C4" i="9"/>
  <c r="J27" i="9"/>
  <c r="J9" i="9"/>
  <c r="I18" i="9"/>
  <c r="J16" i="9"/>
  <c r="E24" i="9"/>
  <c r="I5" i="9"/>
  <c r="J12" i="9"/>
  <c r="E27" i="9"/>
  <c r="I22" i="9"/>
  <c r="F23" i="9"/>
  <c r="J20" i="9"/>
  <c r="I29" i="9"/>
  <c r="D29" i="9"/>
  <c r="C33" i="9"/>
  <c r="D20" i="9"/>
  <c r="I24" i="9"/>
  <c r="C10" i="9"/>
  <c r="J19" i="9"/>
  <c r="J7" i="9"/>
  <c r="I30" i="9"/>
  <c r="F19" i="9"/>
  <c r="E4" i="9"/>
  <c r="D33" i="9"/>
  <c r="J11" i="9"/>
  <c r="I20" i="9"/>
  <c r="I6" i="9"/>
  <c r="D18" i="9"/>
  <c r="I9" i="9"/>
  <c r="E5" i="9"/>
  <c r="D7" i="9"/>
  <c r="F21" i="9"/>
  <c r="E8" i="9"/>
  <c r="F12" i="9"/>
  <c r="D26" i="9"/>
  <c r="D12" i="9"/>
  <c r="C24" i="9"/>
  <c r="F30" i="9"/>
  <c r="F16" i="9"/>
  <c r="I10" i="9"/>
  <c r="C18" i="9"/>
  <c r="C15" i="9"/>
  <c r="I26" i="9"/>
  <c r="E31" i="9"/>
  <c r="E10" i="9"/>
  <c r="D19" i="9"/>
  <c r="I7" i="9"/>
  <c r="F22" i="9"/>
  <c r="C28" i="9"/>
  <c r="E16" i="9"/>
  <c r="I8" i="9"/>
  <c r="E9" i="9"/>
  <c r="E11" i="9"/>
  <c r="C11" i="9"/>
  <c r="I15" i="9"/>
  <c r="F26" i="9"/>
  <c r="E7" i="9"/>
  <c r="I21" i="9"/>
  <c r="D11" i="9"/>
  <c r="J24" i="9"/>
  <c r="C25" i="9"/>
  <c r="C7" i="9"/>
  <c r="D8" i="9"/>
  <c r="E15" i="9"/>
  <c r="J10" i="9"/>
  <c r="J23" i="9"/>
  <c r="C19" i="9"/>
  <c r="F25" i="9"/>
  <c r="I13" i="9"/>
  <c r="C12" i="9"/>
  <c r="F31" i="9"/>
  <c r="F28" i="9"/>
  <c r="D27" i="9"/>
  <c r="F18" i="9"/>
  <c r="I16" i="9"/>
  <c r="D13" i="9"/>
  <c r="E14" i="9"/>
  <c r="C26" i="9"/>
  <c r="C31" i="9"/>
  <c r="J15" i="9"/>
  <c r="A20" i="3"/>
  <c r="J8" i="9"/>
  <c r="D25" i="9"/>
  <c r="J30" i="9"/>
  <c r="D9" i="9"/>
  <c r="E29" i="9"/>
  <c r="D14" i="9"/>
  <c r="F8" i="9"/>
  <c r="D24" i="9"/>
  <c r="D4" i="9"/>
  <c r="J5" i="9"/>
  <c r="J14" i="9"/>
  <c r="F15" i="9"/>
  <c r="F24" i="9"/>
  <c r="C29" i="9"/>
  <c r="C9" i="9"/>
  <c r="E33" i="9"/>
  <c r="D16" i="9"/>
  <c r="D30" i="9"/>
  <c r="J6" i="9"/>
  <c r="F14" i="9"/>
  <c r="E20" i="9"/>
  <c r="I4" i="9"/>
  <c r="E23" i="9"/>
  <c r="F11" i="9"/>
  <c r="I11" i="9"/>
  <c r="E21" i="9"/>
  <c r="F13" i="9"/>
  <c r="D6" i="9"/>
  <c r="F6" i="9"/>
  <c r="J13" i="9"/>
  <c r="E18" i="9"/>
  <c r="E25" i="9"/>
  <c r="E22" i="9"/>
  <c r="D22" i="9"/>
  <c r="J31" i="9"/>
  <c r="C22" i="9"/>
  <c r="I33" i="9"/>
  <c r="J33" i="9"/>
  <c r="F10" i="9"/>
  <c r="J18" i="9"/>
  <c r="J28" i="9"/>
  <c r="F29" i="9"/>
  <c r="C16" i="9"/>
  <c r="C27" i="9"/>
  <c r="J4" i="9"/>
  <c r="I28" i="9"/>
  <c r="J22" i="9"/>
  <c r="I23" i="9"/>
  <c r="A14" i="3"/>
  <c r="A17" i="3"/>
  <c r="C20" i="9"/>
  <c r="J25" i="9"/>
  <c r="F7" i="9"/>
  <c r="C30" i="9"/>
  <c r="F27" i="9"/>
  <c r="E13" i="9"/>
  <c r="C13" i="9"/>
  <c r="C14" i="9"/>
  <c r="E19" i="9"/>
  <c r="F4" i="9"/>
  <c r="I25" i="9"/>
  <c r="E12" i="9"/>
  <c r="E28" i="9"/>
  <c r="I14" i="9"/>
  <c r="D23" i="9"/>
  <c r="C8" i="9"/>
  <c r="D31" i="9"/>
  <c r="D15" i="9"/>
  <c r="C5" i="9"/>
  <c r="D21" i="9"/>
  <c r="C23" i="9"/>
  <c r="J26" i="9"/>
  <c r="D10" i="9"/>
  <c r="AM35" i="3" l="1"/>
  <c r="AM91" i="3"/>
  <c r="H14" i="9"/>
  <c r="AM6" i="3"/>
  <c r="AM86" i="3"/>
  <c r="AM46" i="3"/>
  <c r="AM77" i="3"/>
  <c r="AM87" i="3"/>
  <c r="AM106" i="3"/>
  <c r="AM94" i="3"/>
  <c r="AM44" i="3"/>
  <c r="AM9" i="3"/>
  <c r="H24" i="9"/>
  <c r="AM53" i="3"/>
  <c r="H15" i="9"/>
  <c r="AM102" i="3"/>
  <c r="AM129" i="3"/>
  <c r="H16" i="9"/>
  <c r="AM90" i="3"/>
  <c r="AM84" i="3"/>
  <c r="AM83" i="3"/>
  <c r="AM50" i="3"/>
  <c r="AM98" i="3"/>
  <c r="AM97" i="3"/>
  <c r="G29" i="9"/>
  <c r="AM124" i="3"/>
  <c r="AM81" i="3"/>
  <c r="H6" i="9"/>
  <c r="AM54" i="3"/>
  <c r="AM49" i="3"/>
  <c r="AM89" i="3"/>
  <c r="AM33" i="3"/>
  <c r="AM65" i="3"/>
  <c r="AM121" i="3"/>
  <c r="AM16" i="3"/>
  <c r="AM10" i="3"/>
  <c r="AM24" i="3"/>
  <c r="AM131" i="3"/>
  <c r="AM41" i="3"/>
  <c r="AM3" i="3"/>
  <c r="AM130" i="3"/>
  <c r="AM11" i="3"/>
  <c r="H13" i="9"/>
  <c r="AM64" i="3"/>
  <c r="H19" i="9"/>
  <c r="AM127" i="3"/>
  <c r="AM109" i="3"/>
  <c r="AM110" i="3"/>
  <c r="AM37" i="3"/>
  <c r="H26" i="9"/>
  <c r="AM73" i="3"/>
  <c r="AM4" i="3"/>
  <c r="H5" i="9"/>
  <c r="AM88" i="3"/>
  <c r="H25" i="9"/>
  <c r="AM78" i="3"/>
  <c r="G16" i="9"/>
  <c r="AM79" i="3"/>
  <c r="AM27" i="3"/>
  <c r="H8" i="9"/>
  <c r="G30" i="9"/>
  <c r="H20" i="9"/>
  <c r="AM8" i="3"/>
  <c r="AM14" i="3"/>
  <c r="G33" i="9"/>
  <c r="AM96" i="3"/>
  <c r="AM60" i="3"/>
  <c r="AM62" i="3"/>
  <c r="AM92" i="3"/>
  <c r="H4" i="9"/>
  <c r="AM66" i="3"/>
  <c r="AM52" i="3"/>
  <c r="AM18" i="3"/>
  <c r="AM101" i="3"/>
  <c r="AM113" i="3"/>
  <c r="H28" i="9"/>
  <c r="AM72" i="3"/>
  <c r="AM15" i="3"/>
  <c r="H21" i="9"/>
  <c r="AM19" i="3"/>
  <c r="AM99" i="3"/>
  <c r="AM118" i="3"/>
  <c r="AM115" i="3"/>
  <c r="AM71" i="3"/>
  <c r="AM7" i="3"/>
  <c r="AM125" i="3"/>
  <c r="AM20" i="3"/>
  <c r="AM26" i="3"/>
  <c r="H11" i="9"/>
  <c r="AM104" i="3"/>
  <c r="AM105" i="3"/>
  <c r="AM58" i="3"/>
  <c r="AM48" i="3"/>
  <c r="AM114" i="3"/>
  <c r="H12" i="9"/>
  <c r="AM22" i="3"/>
  <c r="AM107" i="3"/>
  <c r="AM63" i="3"/>
  <c r="AM93" i="3"/>
  <c r="AM55" i="3"/>
  <c r="AM57" i="3"/>
  <c r="AM95" i="3"/>
  <c r="AM61" i="3"/>
  <c r="AM68" i="3"/>
  <c r="AM47" i="3"/>
  <c r="AM25" i="3"/>
  <c r="AM29" i="3"/>
  <c r="G14" i="9"/>
  <c r="AM32" i="3"/>
  <c r="AM117" i="3"/>
  <c r="AM13" i="3"/>
  <c r="AM12" i="3"/>
  <c r="H9" i="9"/>
  <c r="AM100" i="3"/>
  <c r="AM120" i="3"/>
  <c r="AM122" i="3"/>
  <c r="AM123" i="3"/>
  <c r="AM76" i="3"/>
  <c r="AM5" i="3"/>
  <c r="AM126" i="3"/>
  <c r="AM34" i="3"/>
  <c r="H30" i="9"/>
  <c r="G25" i="9"/>
  <c r="AM112" i="3"/>
  <c r="AM45" i="3"/>
  <c r="AM21" i="3"/>
  <c r="AM42" i="3"/>
  <c r="H7" i="9"/>
  <c r="AM85" i="3"/>
  <c r="AM80" i="3"/>
  <c r="AM23" i="3"/>
  <c r="H23" i="9"/>
  <c r="AM82" i="3"/>
  <c r="AM17" i="3"/>
  <c r="H22" i="9"/>
  <c r="AM116" i="3"/>
  <c r="AM28" i="3"/>
  <c r="AM31" i="3"/>
  <c r="AM74" i="3"/>
  <c r="AM56" i="3"/>
  <c r="AM128" i="3"/>
  <c r="AM40" i="3"/>
  <c r="AM39" i="3"/>
  <c r="AM69" i="3"/>
  <c r="AM103" i="3"/>
  <c r="AM59" i="3"/>
  <c r="AM43" i="3"/>
  <c r="H27" i="9"/>
  <c r="AM30" i="3"/>
  <c r="AM70" i="3"/>
  <c r="AM36" i="3"/>
  <c r="AM111" i="3"/>
  <c r="AM67" i="3"/>
  <c r="AM51" i="3"/>
  <c r="H29" i="9"/>
  <c r="G31" i="9"/>
  <c r="G15" i="9"/>
  <c r="AM2" i="3"/>
  <c r="AO5" i="3" s="1"/>
  <c r="AM119" i="3"/>
  <c r="AM75" i="3"/>
  <c r="H18" i="9"/>
  <c r="AM38" i="3"/>
  <c r="H33" i="9"/>
  <c r="AM108" i="3"/>
  <c r="H31" i="9"/>
  <c r="H10" i="9"/>
  <c r="G5" i="6"/>
  <c r="F5" i="6"/>
  <c r="AP26" i="3" l="1"/>
  <c r="F7" i="3" s="1"/>
  <c r="AN5" i="3"/>
  <c r="J7" i="3" s="1"/>
  <c r="AO30" i="3"/>
  <c r="AP42" i="3"/>
  <c r="F8" i="3" s="1"/>
  <c r="AO2" i="3"/>
  <c r="AN2" i="3" s="1"/>
  <c r="J4" i="3" s="1"/>
  <c r="AP25" i="3"/>
  <c r="AO6" i="3"/>
  <c r="AN6" i="3" s="1"/>
  <c r="J8" i="3" s="1"/>
  <c r="AP47" i="3"/>
  <c r="AP21" i="3"/>
  <c r="AO16" i="3"/>
  <c r="AN16" i="3" s="1"/>
  <c r="J18" i="3" s="1"/>
  <c r="AO10" i="3"/>
  <c r="AN10" i="3" s="1"/>
  <c r="J12" i="3" s="1"/>
  <c r="AO9" i="3"/>
  <c r="AN9" i="3" s="1"/>
  <c r="J11" i="3" s="1"/>
  <c r="AO36" i="3"/>
  <c r="AN36" i="3" s="1"/>
  <c r="J38" i="3" s="1"/>
  <c r="AP82" i="3"/>
  <c r="AP22" i="3"/>
  <c r="AO13" i="3"/>
  <c r="AN13" i="3" s="1"/>
  <c r="J15" i="3" s="1"/>
  <c r="AO40" i="3"/>
  <c r="AN40" i="3" s="1"/>
  <c r="J42" i="3" s="1"/>
  <c r="AP107" i="3"/>
  <c r="AP65" i="3"/>
  <c r="AP50" i="3"/>
  <c r="AP74" i="3"/>
  <c r="AP103" i="3"/>
  <c r="AP57" i="3"/>
  <c r="AP81" i="3"/>
  <c r="AP117" i="3"/>
  <c r="AP31" i="3"/>
  <c r="F5" i="3" s="1"/>
  <c r="AP34" i="3"/>
  <c r="F9" i="3" s="1"/>
  <c r="AP73" i="3"/>
  <c r="AP43" i="3"/>
  <c r="AP66" i="3"/>
  <c r="AP7" i="3"/>
  <c r="AP24" i="3"/>
  <c r="AP58" i="3"/>
  <c r="AP51" i="3"/>
  <c r="AP90" i="3"/>
  <c r="AP97" i="3"/>
  <c r="AP111" i="3"/>
  <c r="AN30" i="3"/>
  <c r="J32" i="3" s="1"/>
  <c r="AP18" i="3"/>
  <c r="AP17" i="3"/>
  <c r="AP38" i="3"/>
  <c r="AP98" i="3"/>
  <c r="AP89" i="3"/>
  <c r="AP14" i="3"/>
  <c r="AP8" i="3"/>
  <c r="AP115" i="3"/>
  <c r="AP113" i="3"/>
  <c r="AO4" i="3"/>
  <c r="AN4" i="3" s="1"/>
  <c r="J6" i="3" s="1"/>
  <c r="AP20" i="3"/>
  <c r="AP12" i="3"/>
  <c r="F15" i="3" s="1"/>
  <c r="AO3" i="3"/>
  <c r="AN3" i="3" s="1"/>
  <c r="J5" i="3" s="1"/>
  <c r="AP15" i="3"/>
  <c r="AP23" i="3"/>
  <c r="AO34" i="3"/>
  <c r="AN34" i="3" s="1"/>
  <c r="J36" i="3" s="1"/>
  <c r="AP28" i="3"/>
  <c r="AP36" i="3"/>
  <c r="F3" i="3" s="1"/>
  <c r="AP46" i="3"/>
  <c r="AP62" i="3"/>
  <c r="AP78" i="3"/>
  <c r="AP94" i="3"/>
  <c r="AP61" i="3"/>
  <c r="AP77" i="3"/>
  <c r="AP93" i="3"/>
  <c r="AP105" i="3"/>
  <c r="AP116" i="3"/>
  <c r="AP5" i="3"/>
  <c r="AP9" i="3"/>
  <c r="AP13" i="3"/>
  <c r="AO17" i="3"/>
  <c r="AN17" i="3" s="1"/>
  <c r="J19" i="3" s="1"/>
  <c r="AO21" i="3"/>
  <c r="AN21" i="3" s="1"/>
  <c r="J23" i="3" s="1"/>
  <c r="AO25" i="3"/>
  <c r="AN25" i="3" s="1"/>
  <c r="J27" i="3" s="1"/>
  <c r="AP32" i="3"/>
  <c r="AP49" i="3"/>
  <c r="AP4" i="3"/>
  <c r="AO8" i="3"/>
  <c r="AN8" i="3" s="1"/>
  <c r="J10" i="3" s="1"/>
  <c r="AO12" i="3"/>
  <c r="AN12" i="3" s="1"/>
  <c r="J14" i="3" s="1"/>
  <c r="AP16" i="3"/>
  <c r="AO20" i="3"/>
  <c r="AN20" i="3" s="1"/>
  <c r="J22" i="3" s="1"/>
  <c r="AO24" i="3"/>
  <c r="AN24" i="3" s="1"/>
  <c r="J26" i="3" s="1"/>
  <c r="AP29" i="3"/>
  <c r="AP35" i="3"/>
  <c r="AP39" i="3"/>
  <c r="AO29" i="3"/>
  <c r="AN29" i="3" s="1"/>
  <c r="J31" i="3" s="1"/>
  <c r="AO33" i="3"/>
  <c r="AN33" i="3" s="1"/>
  <c r="J35" i="3" s="1"/>
  <c r="AO37" i="3"/>
  <c r="AN37" i="3" s="1"/>
  <c r="J39" i="3" s="1"/>
  <c r="AP41" i="3"/>
  <c r="AP48" i="3"/>
  <c r="AP56" i="3"/>
  <c r="AP64" i="3"/>
  <c r="AP72" i="3"/>
  <c r="AP80" i="3"/>
  <c r="AP88" i="3"/>
  <c r="AP96" i="3"/>
  <c r="AP55" i="3"/>
  <c r="AP63" i="3"/>
  <c r="AP71" i="3"/>
  <c r="AP79" i="3"/>
  <c r="AP87" i="3"/>
  <c r="AP95" i="3"/>
  <c r="AP102" i="3"/>
  <c r="AP106" i="3"/>
  <c r="AP110" i="3"/>
  <c r="AP114" i="3"/>
  <c r="F13" i="3" s="1"/>
  <c r="AP30" i="3"/>
  <c r="AP11" i="3"/>
  <c r="AO19" i="3"/>
  <c r="AN19" i="3" s="1"/>
  <c r="J21" i="3" s="1"/>
  <c r="AO28" i="3"/>
  <c r="AN28" i="3" s="1"/>
  <c r="J30" i="3" s="1"/>
  <c r="AO38" i="3"/>
  <c r="AN38" i="3" s="1"/>
  <c r="J40" i="3" s="1"/>
  <c r="AO32" i="3"/>
  <c r="AN32" i="3" s="1"/>
  <c r="J34" i="3" s="1"/>
  <c r="AP40" i="3"/>
  <c r="AP54" i="3"/>
  <c r="AP70" i="3"/>
  <c r="AP86" i="3"/>
  <c r="AP53" i="3"/>
  <c r="AP69" i="3"/>
  <c r="AP85" i="3"/>
  <c r="AP101" i="3"/>
  <c r="AP109" i="3"/>
  <c r="AP3" i="3"/>
  <c r="AO7" i="3"/>
  <c r="AN7" i="3" s="1"/>
  <c r="J9" i="3" s="1"/>
  <c r="AO11" i="3"/>
  <c r="AN11" i="3" s="1"/>
  <c r="J13" i="3" s="1"/>
  <c r="AO15" i="3"/>
  <c r="AN15" i="3" s="1"/>
  <c r="J17" i="3" s="1"/>
  <c r="AP19" i="3"/>
  <c r="AO23" i="3"/>
  <c r="AN23" i="3" s="1"/>
  <c r="J25" i="3" s="1"/>
  <c r="AO27" i="3"/>
  <c r="AN27" i="3" s="1"/>
  <c r="J29" i="3" s="1"/>
  <c r="AP45" i="3"/>
  <c r="AP2" i="3"/>
  <c r="AP6" i="3"/>
  <c r="AP10" i="3"/>
  <c r="F12" i="3" s="1"/>
  <c r="AO14" i="3"/>
  <c r="AN14" i="3" s="1"/>
  <c r="J16" i="3" s="1"/>
  <c r="AO18" i="3"/>
  <c r="AN18" i="3" s="1"/>
  <c r="J20" i="3" s="1"/>
  <c r="N20" i="3" s="1"/>
  <c r="AO22" i="3"/>
  <c r="AN22" i="3" s="1"/>
  <c r="J24" i="3" s="1"/>
  <c r="AO26" i="3"/>
  <c r="AN26" i="3" s="1"/>
  <c r="J28" i="3" s="1"/>
  <c r="K28" i="3" s="1"/>
  <c r="AP33" i="3"/>
  <c r="F2" i="3" s="1"/>
  <c r="AP37" i="3"/>
  <c r="F14" i="3" s="1"/>
  <c r="AP27" i="3"/>
  <c r="AO31" i="3"/>
  <c r="AN31" i="3" s="1"/>
  <c r="J33" i="3" s="1"/>
  <c r="AO35" i="3"/>
  <c r="AN35" i="3" s="1"/>
  <c r="J37" i="3" s="1"/>
  <c r="N37" i="3" s="1"/>
  <c r="AO39" i="3"/>
  <c r="AN39" i="3" s="1"/>
  <c r="J41" i="3" s="1"/>
  <c r="AP44" i="3"/>
  <c r="AP52" i="3"/>
  <c r="AP60" i="3"/>
  <c r="AP68" i="3"/>
  <c r="AP76" i="3"/>
  <c r="AP84" i="3"/>
  <c r="AP92" i="3"/>
  <c r="AP100" i="3"/>
  <c r="AP59" i="3"/>
  <c r="F10" i="3" s="1"/>
  <c r="AP67" i="3"/>
  <c r="AP75" i="3"/>
  <c r="AP83" i="3"/>
  <c r="AP91" i="3"/>
  <c r="AP99" i="3"/>
  <c r="AP104" i="3"/>
  <c r="AP108" i="3"/>
  <c r="AP112" i="3"/>
  <c r="M25" i="3"/>
  <c r="N25" i="3"/>
  <c r="K25" i="3"/>
  <c r="N12" i="3"/>
  <c r="K12" i="3"/>
  <c r="M12" i="3"/>
  <c r="M15" i="3"/>
  <c r="N15" i="3"/>
  <c r="K15" i="3"/>
  <c r="M38" i="3"/>
  <c r="N38" i="3"/>
  <c r="K38" i="3"/>
  <c r="M34" i="3"/>
  <c r="N34" i="3"/>
  <c r="K34" i="3"/>
  <c r="M27" i="3"/>
  <c r="N27" i="3"/>
  <c r="K27" i="3"/>
  <c r="M16" i="3"/>
  <c r="N16" i="3"/>
  <c r="K16" i="3"/>
  <c r="N26" i="3"/>
  <c r="K26" i="3"/>
  <c r="M26" i="3"/>
  <c r="N35" i="3"/>
  <c r="K35" i="3"/>
  <c r="M35" i="3"/>
  <c r="N5" i="3"/>
  <c r="K5" i="3"/>
  <c r="M5" i="3"/>
  <c r="N8" i="3"/>
  <c r="K8" i="3"/>
  <c r="M8" i="3"/>
  <c r="M36" i="3"/>
  <c r="N36" i="3"/>
  <c r="K36" i="3"/>
  <c r="M32" i="3"/>
  <c r="N32" i="3"/>
  <c r="K32" i="3"/>
  <c r="N13" i="3"/>
  <c r="K13" i="3"/>
  <c r="M13" i="3"/>
  <c r="M6" i="3"/>
  <c r="N6" i="3"/>
  <c r="K6" i="3"/>
  <c r="M7" i="3"/>
  <c r="N7" i="3"/>
  <c r="K7" i="3"/>
  <c r="M30" i="3"/>
  <c r="N30" i="3"/>
  <c r="K30" i="3"/>
  <c r="M17" i="3"/>
  <c r="N17" i="3"/>
  <c r="K17" i="3"/>
  <c r="M10" i="3"/>
  <c r="N10" i="3"/>
  <c r="K10" i="3"/>
  <c r="N22" i="3"/>
  <c r="K22" i="3"/>
  <c r="M22" i="3"/>
  <c r="M31" i="3"/>
  <c r="K31" i="3"/>
  <c r="N31" i="3"/>
  <c r="N39" i="3"/>
  <c r="K39" i="3"/>
  <c r="M39" i="3"/>
  <c r="N18" i="3"/>
  <c r="K18" i="3"/>
  <c r="M18" i="3"/>
  <c r="M21" i="3"/>
  <c r="N21" i="3"/>
  <c r="K21" i="3"/>
  <c r="M40" i="3"/>
  <c r="N40" i="3"/>
  <c r="K40" i="3"/>
  <c r="N9" i="3"/>
  <c r="K9" i="3"/>
  <c r="M9" i="3"/>
  <c r="N29" i="3"/>
  <c r="K29" i="3"/>
  <c r="M29" i="3"/>
  <c r="K20" i="3"/>
  <c r="F6" i="6"/>
  <c r="G6" i="6"/>
  <c r="N4" i="3" l="1"/>
  <c r="M4" i="3"/>
  <c r="K4" i="3"/>
  <c r="N11" i="3"/>
  <c r="M11" i="3"/>
  <c r="K11" i="3"/>
  <c r="K37" i="3"/>
  <c r="M37" i="3"/>
  <c r="K24" i="3"/>
  <c r="N24" i="3"/>
  <c r="M24" i="3"/>
  <c r="N14" i="3"/>
  <c r="M14" i="3"/>
  <c r="K14" i="3"/>
  <c r="N23" i="3"/>
  <c r="M23" i="3"/>
  <c r="K23" i="3"/>
  <c r="M33" i="3"/>
  <c r="N33" i="3"/>
  <c r="K33" i="3"/>
  <c r="M28" i="3"/>
  <c r="N28" i="3"/>
  <c r="K19" i="3"/>
  <c r="N19" i="3"/>
  <c r="M19" i="3"/>
  <c r="M20" i="3"/>
  <c r="F4" i="3"/>
  <c r="G9" i="9"/>
  <c r="G22" i="9"/>
  <c r="G5" i="9"/>
  <c r="G20" i="9"/>
  <c r="G10" i="9"/>
  <c r="G6" i="9"/>
  <c r="G18" i="9"/>
  <c r="G12" i="9"/>
  <c r="G21" i="9"/>
  <c r="G7" i="9"/>
  <c r="G8" i="9"/>
  <c r="G4" i="9"/>
  <c r="G24" i="9"/>
  <c r="G19" i="9"/>
  <c r="G11" i="9"/>
  <c r="G13" i="9"/>
  <c r="G23" i="9"/>
  <c r="G26" i="9"/>
  <c r="F6" i="3"/>
  <c r="F11" i="3"/>
  <c r="G28" i="9"/>
  <c r="G27" i="9"/>
  <c r="G7" i="6"/>
  <c r="F7" i="6"/>
  <c r="O25" i="3"/>
  <c r="O23" i="3"/>
  <c r="O21" i="3"/>
  <c r="O17" i="3"/>
  <c r="O16" i="3"/>
  <c r="O15" i="3"/>
  <c r="O11" i="3"/>
  <c r="O10" i="3"/>
  <c r="O7" i="3"/>
  <c r="O6" i="3"/>
  <c r="O4" i="3"/>
  <c r="O26" i="3"/>
  <c r="O24" i="3"/>
  <c r="O22" i="3"/>
  <c r="O20" i="3"/>
  <c r="O19" i="3"/>
  <c r="O18" i="3"/>
  <c r="O14" i="3"/>
  <c r="O13" i="3"/>
  <c r="O12" i="3"/>
  <c r="O9" i="3"/>
  <c r="O8" i="3"/>
  <c r="O5" i="3"/>
  <c r="B7" i="6" l="1"/>
  <c r="B8" i="8" s="1"/>
  <c r="P8" i="3"/>
  <c r="C7" i="6" s="1"/>
  <c r="C8" i="8" s="1"/>
  <c r="Q8" i="3"/>
  <c r="D7" i="6" s="1"/>
  <c r="D8" i="8" s="1"/>
  <c r="B11" i="6"/>
  <c r="B12" i="8" s="1"/>
  <c r="P12" i="3"/>
  <c r="C11" i="6" s="1"/>
  <c r="C12" i="8" s="1"/>
  <c r="Q12" i="3"/>
  <c r="D11" i="6" s="1"/>
  <c r="D12" i="8" s="1"/>
  <c r="B13" i="6"/>
  <c r="P14" i="3"/>
  <c r="C13" i="6" s="1"/>
  <c r="Q14" i="3"/>
  <c r="D13" i="6" s="1"/>
  <c r="B18" i="6"/>
  <c r="P19" i="3"/>
  <c r="C18" i="6" s="1"/>
  <c r="Q19" i="3"/>
  <c r="D18" i="6" s="1"/>
  <c r="B21" i="6"/>
  <c r="P22" i="3"/>
  <c r="C21" i="6" s="1"/>
  <c r="Q22" i="3"/>
  <c r="D21" i="6" s="1"/>
  <c r="P26" i="3"/>
  <c r="Q26" i="3"/>
  <c r="B5" i="6"/>
  <c r="B6" i="8" s="1"/>
  <c r="Q6" i="3"/>
  <c r="D5" i="6" s="1"/>
  <c r="D6" i="8" s="1"/>
  <c r="P6" i="3"/>
  <c r="C5" i="6" s="1"/>
  <c r="C6" i="8" s="1"/>
  <c r="B9" i="6"/>
  <c r="B10" i="8" s="1"/>
  <c r="Q10" i="3"/>
  <c r="D9" i="6" s="1"/>
  <c r="D10" i="8" s="1"/>
  <c r="P10" i="3"/>
  <c r="C9" i="6" s="1"/>
  <c r="C10" i="8" s="1"/>
  <c r="B14" i="6"/>
  <c r="Q15" i="3"/>
  <c r="D14" i="6" s="1"/>
  <c r="P15" i="3"/>
  <c r="C14" i="6" s="1"/>
  <c r="B16" i="6"/>
  <c r="Q17" i="3"/>
  <c r="D16" i="6" s="1"/>
  <c r="P17" i="3"/>
  <c r="C16" i="6" s="1"/>
  <c r="B22" i="6"/>
  <c r="Q23" i="3"/>
  <c r="D22" i="6" s="1"/>
  <c r="P23" i="3"/>
  <c r="C22" i="6" s="1"/>
  <c r="F8" i="6"/>
  <c r="G8" i="6"/>
  <c r="B4" i="6"/>
  <c r="B5" i="8" s="1"/>
  <c r="P5" i="3"/>
  <c r="C4" i="6" s="1"/>
  <c r="C5" i="8" s="1"/>
  <c r="Q5" i="3"/>
  <c r="D4" i="6" s="1"/>
  <c r="D5" i="8" s="1"/>
  <c r="B8" i="6"/>
  <c r="B9" i="8" s="1"/>
  <c r="P9" i="3"/>
  <c r="C8" i="6" s="1"/>
  <c r="C9" i="8" s="1"/>
  <c r="Q9" i="3"/>
  <c r="D8" i="6" s="1"/>
  <c r="D9" i="8" s="1"/>
  <c r="B12" i="6"/>
  <c r="B13" i="8" s="1"/>
  <c r="P13" i="3"/>
  <c r="C12" i="6" s="1"/>
  <c r="C13" i="8" s="1"/>
  <c r="Q13" i="3"/>
  <c r="D12" i="6" s="1"/>
  <c r="D13" i="8" s="1"/>
  <c r="B17" i="6"/>
  <c r="P18" i="3"/>
  <c r="C17" i="6" s="1"/>
  <c r="Q18" i="3"/>
  <c r="D17" i="6" s="1"/>
  <c r="B19" i="6"/>
  <c r="P20" i="3"/>
  <c r="C19" i="6" s="1"/>
  <c r="Q20" i="3"/>
  <c r="D19" i="6" s="1"/>
  <c r="B23" i="6"/>
  <c r="P24" i="3"/>
  <c r="C23" i="6" s="1"/>
  <c r="Q24" i="3"/>
  <c r="D23" i="6" s="1"/>
  <c r="B3" i="6"/>
  <c r="B4" i="8" s="1"/>
  <c r="Q4" i="3"/>
  <c r="P4" i="3"/>
  <c r="B6" i="6"/>
  <c r="B7" i="8" s="1"/>
  <c r="Q7" i="3"/>
  <c r="D6" i="6" s="1"/>
  <c r="D7" i="8" s="1"/>
  <c r="P7" i="3"/>
  <c r="C6" i="6" s="1"/>
  <c r="C7" i="8" s="1"/>
  <c r="B10" i="6"/>
  <c r="B11" i="8" s="1"/>
  <c r="Q11" i="3"/>
  <c r="D10" i="6" s="1"/>
  <c r="D11" i="8" s="1"/>
  <c r="P11" i="3"/>
  <c r="C10" i="6" s="1"/>
  <c r="C11" i="8" s="1"/>
  <c r="B15" i="6"/>
  <c r="Q16" i="3"/>
  <c r="D15" i="6" s="1"/>
  <c r="P16" i="3"/>
  <c r="C15" i="6" s="1"/>
  <c r="B20" i="6"/>
  <c r="Q21" i="3"/>
  <c r="D20" i="6" s="1"/>
  <c r="P21" i="3"/>
  <c r="C20" i="6" s="1"/>
  <c r="B24" i="6"/>
  <c r="Q25" i="3"/>
  <c r="D24" i="6" s="1"/>
  <c r="P25" i="3"/>
  <c r="C24" i="6" s="1"/>
  <c r="D3" i="6" l="1"/>
  <c r="Q27" i="3"/>
  <c r="D25" i="6" s="1"/>
  <c r="C3" i="6"/>
  <c r="P27" i="3"/>
  <c r="C25" i="6" s="1"/>
  <c r="G9" i="6"/>
  <c r="F9" i="6"/>
  <c r="F10" i="6" l="1"/>
  <c r="G10" i="6"/>
  <c r="C26" i="6"/>
  <c r="C4" i="8"/>
  <c r="C14" i="8" s="1"/>
  <c r="D4" i="8"/>
  <c r="D14" i="8" s="1"/>
  <c r="D26" i="6"/>
  <c r="G11" i="6" l="1"/>
  <c r="F11" i="6"/>
  <c r="F12" i="6" l="1"/>
  <c r="G12" i="6"/>
  <c r="G13" i="6" l="1"/>
  <c r="F13" i="6"/>
  <c r="F14" i="6" l="1"/>
  <c r="G14" i="6"/>
  <c r="G15" i="6" l="1"/>
  <c r="F15" i="6"/>
  <c r="F16" i="6" l="1"/>
  <c r="G16" i="6"/>
  <c r="G17" i="6" l="1"/>
  <c r="F17" i="6"/>
  <c r="F18" i="6" l="1"/>
  <c r="G18" i="6"/>
  <c r="G19" i="6" l="1"/>
  <c r="F19" i="6"/>
  <c r="F20" i="6" l="1"/>
  <c r="G20" i="6"/>
  <c r="G21" i="6" l="1"/>
  <c r="F21" i="6"/>
  <c r="F22" i="6" l="1"/>
  <c r="G22" i="6"/>
  <c r="G23" i="6" l="1"/>
  <c r="F2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K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としたのだが、将来この名前ルールも変わるかもしれない。しかたがないので、マクロを組んでセルの背景色で判断することにした。</t>
        </r>
      </text>
    </comment>
    <comment ref="AM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1"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組織登場順序で連結した組織リスト。なお、旧組織の配下は、『旧</t>
        </r>
        <r>
          <rPr>
            <sz val="9"/>
            <color indexed="81"/>
            <rFont val="MS P ゴシック"/>
            <family val="2"/>
          </rPr>
          <t>_</t>
        </r>
        <r>
          <rPr>
            <sz val="9"/>
            <color indexed="81"/>
            <rFont val="ＭＳ Ｐゴシック"/>
            <family val="3"/>
            <charset val="128"/>
          </rPr>
          <t>』で示す。</t>
        </r>
      </text>
    </comment>
    <comment ref="AO1"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1"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AR1"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<sst xmlns="http://schemas.openxmlformats.org/spreadsheetml/2006/main" count="5289" uniqueCount="1487">
  <si>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</si>
  <si>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</si>
  <si>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</si>
  <si>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</si>
  <si>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</si>
  <si>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</si>
  <si>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</si>
  <si>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</si>
  <si>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</si>
  <si>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</si>
  <si>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</si>
  <si>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</si>
  <si>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</si>
  <si>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</si>
  <si>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</si>
  <si>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</si>
  <si>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</si>
  <si>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</si>
  <si>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</si>
  <si>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</si>
  <si>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</si>
  <si>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</si>
  <si>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</si>
  <si>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</si>
  <si>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</si>
  <si>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</si>
  <si>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</si>
  <si>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</si>
  <si>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</si>
  <si>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</si>
  <si>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</si>
  <si>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</si>
  <si>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</si>
  <si>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</si>
  <si>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</si>
  <si>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</si>
  <si>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</si>
  <si>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</si>
  <si>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</si>
  <si>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</si>
  <si>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</si>
  <si>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</si>
  <si>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</si>
  <si>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</si>
  <si>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</si>
  <si>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</si>
  <si>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</si>
  <si>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</si>
  <si>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</si>
  <si>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</si>
  <si>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</si>
  <si>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</si>
  <si>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</si>
  <si>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</si>
  <si>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</si>
  <si>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</si>
  <si>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</si>
  <si>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</si>
  <si>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</si>
  <si>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</si>
  <si>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</si>
  <si>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</si>
  <si>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</si>
  <si>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</si>
  <si>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</si>
  <si>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</si>
  <si>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</si>
  <si>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</si>
  <si>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</si>
  <si>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</si>
  <si>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</si>
  <si>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</si>
  <si>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</si>
  <si>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</si>
  <si>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</si>
  <si>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</si>
  <si>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</si>
  <si>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</si>
  <si>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</si>
  <si>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</si>
  <si>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</si>
  <si>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</si>
  <si>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</si>
  <si>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</si>
  <si>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</si>
  <si>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</si>
  <si>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</si>
  <si>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</si>
  <si>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</si>
  <si>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</si>
  <si>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</si>
  <si>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</si>
  <si>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</si>
  <si>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</si>
  <si>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</si>
  <si>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</si>
  <si>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</si>
  <si>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</si>
  <si>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</si>
  <si>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</si>
  <si>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</si>
  <si>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</si>
  <si>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</si>
  <si>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</si>
  <si>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</si>
  <si>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</si>
  <si>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</si>
  <si>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</si>
  <si>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</si>
  <si>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</si>
  <si>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</si>
  <si>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</si>
  <si>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</si>
  <si>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</si>
  <si>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</si>
  <si>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</si>
  <si>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</si>
  <si>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</si>
  <si>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</si>
  <si>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</si>
  <si>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</si>
  <si>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</si>
  <si>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</si>
  <si>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</si>
  <si>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</si>
  <si>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</si>
  <si>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</si>
  <si>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</si>
  <si>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</si>
  <si>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</si>
  <si>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</si>
  <si>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</si>
  <si>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</si>
  <si>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</si>
  <si>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</si>
  <si>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</si>
  <si>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</si>
  <si>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</si>
  <si>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</si>
  <si>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</si>
  <si>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</si>
  <si>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</si>
  <si>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</si>
  <si>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</si>
  <si>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</si>
  <si>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</si>
  <si>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</si>
  <si>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</si>
  <si>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</si>
  <si>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</si>
  <si>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</si>
  <si>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</si>
  <si>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</si>
  <si>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</si>
  <si>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</si>
  <si>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</si>
  <si>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</si>
  <si>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</si>
  <si>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</si>
  <si>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</si>
  <si>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</si>
  <si>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</si>
  <si>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</si>
  <si>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</si>
  <si>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</si>
  <si>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</si>
  <si>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</si>
  <si>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</si>
  <si>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</si>
  <si>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</si>
  <si>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</si>
  <si>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</si>
  <si>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</si>
  <si>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</si>
  <si>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</si>
  <si>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</si>
  <si>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</si>
  <si>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</si>
  <si>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</si>
  <si>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</si>
  <si>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</si>
  <si>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</si>
  <si>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</si>
  <si>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</si>
  <si>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</si>
  <si>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</si>
  <si>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</si>
  <si>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</si>
  <si>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</si>
  <si>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</si>
  <si>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</si>
  <si>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</si>
  <si>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</si>
  <si>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</si>
  <si>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</si>
  <si>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</si>
  <si>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</si>
  <si>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</si>
  <si>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</si>
  <si>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</si>
  <si>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</si>
  <si>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</si>
  <si>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</si>
  <si>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</si>
  <si>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</si>
  <si>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</si>
  <si>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</si>
  <si>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</si>
  <si>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</si>
  <si>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</si>
  <si>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</si>
  <si>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</si>
  <si>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</si>
  <si>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</si>
  <si>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</si>
  <si>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</si>
  <si>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</si>
  <si>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</si>
  <si>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</si>
  <si>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</si>
  <si>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</si>
  <si>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</si>
  <si>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</si>
  <si>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</si>
  <si>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</si>
  <si>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</si>
  <si>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</si>
  <si>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</si>
  <si>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</si>
  <si>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</si>
  <si>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</si>
  <si>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</si>
  <si>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</si>
  <si>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</si>
  <si>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</si>
  <si>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</si>
  <si>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</si>
  <si>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</si>
  <si>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</si>
  <si>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</si>
  <si>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</si>
  <si>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</si>
  <si>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</si>
  <si>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</si>
  <si>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</si>
  <si>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</si>
  <si>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</si>
  <si>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</si>
  <si>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</si>
  <si>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</si>
  <si>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</si>
  <si>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</si>
  <si>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</si>
  <si>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</si>
  <si>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</si>
  <si>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</si>
  <si>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</si>
  <si>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</si>
  <si>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</si>
  <si>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</si>
  <si>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</si>
  <si>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</si>
  <si>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</si>
  <si>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</si>
  <si>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</si>
  <si>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</si>
  <si>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</si>
  <si>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</si>
  <si>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</si>
  <si>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</si>
  <si>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</si>
  <si>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</si>
  <si>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</si>
  <si>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</si>
  <si>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</si>
  <si>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</si>
  <si>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</si>
  <si>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</si>
  <si>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</si>
  <si>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</si>
  <si>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</si>
  <si>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</si>
  <si>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</si>
  <si>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</si>
  <si>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</si>
  <si>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</si>
  <si>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</si>
  <si>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</si>
  <si>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</si>
  <si>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</si>
  <si>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</si>
  <si>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</si>
  <si>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</si>
  <si>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</si>
  <si>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</si>
  <si>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</si>
  <si>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</si>
  <si>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</si>
  <si>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</si>
  <si>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</si>
  <si>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</si>
  <si>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</si>
  <si>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</si>
  <si>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</si>
  <si>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</si>
  <si>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</si>
  <si>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</si>
  <si>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</si>
  <si>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</si>
  <si>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</si>
  <si>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</si>
  <si>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</si>
  <si>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</si>
  <si>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</si>
  <si>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</si>
  <si>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</si>
  <si>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</si>
  <si>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</si>
  <si>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</si>
  <si>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</si>
  <si>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</si>
  <si>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</si>
  <si>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</si>
  <si>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</si>
  <si>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</si>
  <si>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</si>
  <si>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</si>
  <si>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</si>
  <si>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</si>
  <si>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</si>
  <si>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</si>
  <si>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</si>
  <si>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</si>
  <si>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</si>
  <si>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</si>
  <si>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</si>
  <si>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</si>
  <si>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</si>
  <si>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</si>
  <si>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</si>
  <si>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</si>
  <si>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</si>
  <si>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</si>
  <si>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</si>
  <si>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</si>
  <si>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</si>
  <si>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</si>
  <si>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</si>
  <si>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</si>
  <si>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</si>
  <si>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</si>
  <si>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</si>
  <si>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</si>
  <si>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</si>
  <si>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</si>
  <si>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</si>
  <si>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</si>
  <si>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</si>
  <si>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</si>
  <si>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</si>
  <si>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</si>
  <si>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</si>
  <si>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</si>
  <si>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</si>
  <si>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</si>
  <si>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</si>
  <si>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</si>
  <si>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</si>
  <si>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</si>
  <si>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</si>
  <si>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</si>
  <si>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</si>
  <si>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</si>
  <si>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</si>
  <si>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</si>
  <si>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</si>
  <si>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</si>
  <si>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</si>
  <si>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</si>
  <si>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</si>
  <si>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</si>
  <si>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</si>
  <si>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</si>
  <si>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</si>
  <si>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</si>
  <si>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</si>
  <si>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</si>
  <si>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</si>
  <si>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</si>
  <si>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</si>
  <si>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</si>
  <si>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</si>
  <si>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</si>
  <si>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</si>
  <si>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</si>
  <si>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</si>
  <si>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</si>
  <si>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</si>
  <si>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</si>
  <si>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</si>
  <si>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</si>
  <si>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</si>
  <si>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</si>
  <si>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</si>
  <si>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</si>
  <si>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</si>
  <si>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</si>
  <si>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</si>
  <si>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</si>
  <si>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</si>
  <si>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</si>
  <si>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</si>
  <si>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</si>
  <si>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</si>
  <si>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</si>
  <si>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</si>
  <si>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</si>
  <si>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</si>
  <si>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</si>
  <si>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</si>
  <si>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</si>
  <si>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</si>
  <si>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</si>
  <si>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</si>
  <si>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</si>
  <si>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</si>
  <si>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</si>
  <si>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</si>
  <si>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</si>
  <si>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</si>
  <si>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</si>
  <si>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</si>
  <si>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</si>
  <si>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</si>
  <si>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</si>
  <si>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</si>
  <si>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</si>
  <si>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</si>
  <si>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</si>
  <si>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</si>
  <si>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</si>
  <si>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</si>
  <si>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</si>
  <si>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</si>
  <si>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</si>
  <si>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</si>
  <si>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</si>
  <si>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</si>
  <si>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</si>
  <si>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</si>
  <si>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</si>
  <si>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</si>
  <si>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</si>
  <si>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</si>
  <si>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</si>
  <si>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</si>
  <si>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</si>
  <si>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</si>
  <si>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</si>
  <si>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</si>
  <si>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</si>
  <si>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</si>
  <si>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</si>
  <si>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</si>
  <si>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</si>
  <si>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</si>
  <si>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</si>
  <si>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</si>
  <si>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</si>
  <si>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</si>
  <si>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</si>
  <si>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</si>
  <si>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</si>
  <si>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</si>
  <si>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</si>
  <si>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</si>
  <si>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</si>
  <si>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</si>
  <si>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</si>
  <si>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</si>
  <si>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</si>
  <si>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</si>
  <si>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</si>
  <si>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</si>
  <si>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</si>
  <si>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</si>
  <si>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</si>
  <si>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</si>
  <si>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</si>
  <si>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</si>
  <si>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</si>
  <si>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</si>
  <si>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</si>
  <si>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</si>
  <si>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</si>
  <si>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</si>
  <si>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</si>
  <si>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</si>
  <si>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</si>
  <si>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</si>
  <si>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</si>
  <si>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</si>
  <si>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</si>
  <si>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</si>
  <si>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</si>
  <si>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</si>
  <si>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</si>
  <si>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</si>
  <si>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</si>
  <si>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</si>
  <si>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</si>
  <si>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</si>
  <si>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</si>
  <si>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</si>
  <si>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</si>
  <si>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</si>
  <si>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</si>
  <si>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</si>
  <si>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</si>
  <si>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</si>
  <si>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</si>
  <si>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</si>
  <si>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</si>
  <si>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</si>
  <si>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</si>
  <si>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</si>
  <si>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</si>
  <si>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</si>
  <si>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</si>
  <si>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</si>
  <si>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</si>
  <si>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</si>
  <si>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</si>
  <si>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</si>
  <si>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</si>
  <si>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</si>
  <si>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</si>
  <si>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</si>
  <si>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</si>
  <si>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</si>
  <si>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</si>
  <si>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</si>
  <si>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</si>
  <si>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</si>
  <si>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</si>
  <si>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</si>
  <si>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</si>
  <si>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</si>
  <si>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</si>
  <si>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</si>
  <si>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</si>
  <si>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</si>
  <si>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</si>
  <si>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</si>
  <si>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</si>
  <si>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</si>
  <si>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</si>
  <si>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</si>
  <si>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</si>
  <si>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</si>
  <si>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</si>
  <si>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</si>
  <si>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</si>
  <si>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</si>
  <si>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</si>
  <si>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</si>
  <si>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</si>
  <si>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</si>
  <si>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</si>
  <si>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</si>
  <si>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</si>
  <si>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</si>
  <si>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</si>
  <si>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</si>
  <si>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</si>
  <si>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</si>
  <si>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</si>
  <si>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</si>
  <si>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</si>
  <si>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</si>
  <si>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</si>
  <si>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</si>
  <si>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</si>
  <si>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</si>
  <si>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</si>
  <si>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</si>
  <si>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</si>
  <si>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</si>
  <si>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</si>
  <si>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</si>
  <si>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</si>
  <si>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</si>
  <si>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</si>
  <si>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</si>
  <si>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</si>
  <si>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</si>
  <si>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</si>
  <si>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</si>
  <si>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</si>
  <si>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</si>
  <si>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</si>
  <si>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</si>
  <si>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</si>
  <si>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</si>
  <si>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</si>
  <si>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</si>
  <si>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</si>
  <si>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</si>
  <si>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</si>
  <si>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</si>
  <si>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</si>
  <si>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</si>
  <si>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</si>
  <si>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</si>
  <si>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</si>
  <si>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</si>
  <si>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</si>
  <si>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</si>
  <si>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</si>
  <si>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</si>
  <si>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</si>
  <si>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</si>
  <si>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</si>
  <si>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</si>
  <si>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</si>
  <si>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</si>
  <si>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</si>
  <si>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</si>
  <si>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</si>
  <si>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</si>
  <si>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</si>
  <si>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</si>
  <si>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</si>
  <si>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</si>
  <si>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</si>
  <si>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</si>
  <si>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</si>
  <si>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</si>
  <si>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</si>
  <si>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</si>
  <si>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</si>
  <si>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</si>
  <si>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</si>
  <si>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</si>
  <si>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</si>
  <si>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</si>
  <si>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</si>
  <si>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</si>
  <si>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</si>
  <si>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</si>
  <si>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</si>
  <si>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</si>
  <si>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</si>
  <si>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</si>
  <si>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</si>
  <si>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</si>
  <si>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</si>
  <si>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</si>
  <si>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</si>
  <si>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</si>
  <si>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</si>
  <si>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</si>
  <si>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</si>
  <si>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</si>
  <si>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</si>
  <si>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</si>
  <si>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</si>
  <si>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</si>
  <si>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</si>
  <si>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</si>
  <si>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</si>
  <si>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</si>
  <si>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</si>
  <si>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</si>
  <si>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</si>
  <si>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</si>
  <si>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</si>
  <si>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</si>
  <si>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</si>
  <si>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</si>
  <si>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</si>
  <si>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</si>
  <si>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</si>
  <si>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</si>
  <si>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</si>
  <si>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</si>
  <si>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</si>
  <si>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</si>
  <si>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</si>
  <si>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</si>
  <si>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</si>
  <si>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</si>
  <si>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</si>
  <si>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</si>
  <si>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</si>
  <si>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</si>
  <si>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</si>
  <si>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</si>
  <si>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</si>
  <si>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</si>
  <si>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</si>
  <si>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</si>
  <si>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</si>
  <si>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</si>
  <si>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</si>
  <si>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</si>
  <si>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</si>
  <si>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</si>
  <si>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</si>
  <si>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</si>
  <si>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</si>
  <si>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</si>
  <si>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</si>
  <si>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</si>
  <si>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</si>
  <si>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</si>
  <si>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</si>
  <si>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</si>
  <si>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</si>
  <si>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</si>
  <si>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</si>
  <si>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</si>
  <si>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</si>
  <si>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</si>
  <si>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</si>
  <si>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</si>
  <si>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</si>
  <si>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</si>
  <si>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</si>
  <si>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</si>
  <si>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</si>
  <si>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</si>
  <si>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</si>
  <si>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</si>
  <si>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</si>
  <si>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</si>
  <si>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</si>
  <si>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</si>
  <si>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</si>
  <si>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</si>
  <si>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</si>
  <si>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</si>
  <si>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</si>
  <si>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</si>
  <si>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</si>
  <si>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</si>
  <si>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</si>
  <si>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</si>
  <si>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</si>
  <si>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</si>
  <si>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</si>
  <si>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</si>
  <si>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</si>
  <si>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</si>
  <si>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</si>
  <si>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</si>
  <si>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</si>
  <si>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</si>
  <si>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</si>
  <si>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</si>
  <si>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</si>
  <si>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</si>
  <si>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</si>
  <si>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</si>
  <si>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</si>
  <si>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</si>
  <si>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</si>
  <si>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</si>
  <si>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</si>
  <si>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</si>
  <si>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</si>
  <si>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</si>
  <si>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</si>
  <si>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</si>
  <si>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</si>
  <si>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</si>
  <si>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</si>
  <si>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</si>
  <si>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</si>
  <si>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</si>
  <si>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</si>
  <si>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</si>
  <si>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</si>
  <si>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</si>
  <si>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</si>
  <si>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</si>
  <si>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</si>
  <si>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</si>
  <si>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</si>
  <si>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</si>
  <si>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</si>
  <si>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</si>
  <si>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</si>
  <si>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</si>
  <si>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</si>
  <si>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</si>
  <si>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</si>
  <si>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</si>
  <si>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</si>
  <si>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</si>
  <si>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</si>
  <si>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</si>
  <si>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</si>
  <si>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</si>
  <si>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</si>
  <si>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</si>
  <si>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</si>
  <si>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</si>
  <si>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</si>
  <si>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</si>
  <si>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</si>
  <si>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</si>
  <si>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</si>
  <si>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</si>
  <si>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</si>
  <si>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</si>
  <si>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</si>
  <si>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</si>
  <si>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</si>
  <si>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</si>
  <si>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</si>
  <si>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</si>
  <si>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</si>
  <si>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</si>
  <si>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</si>
  <si>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</si>
  <si>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</si>
  <si>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</si>
  <si>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</si>
  <si>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</si>
  <si>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</si>
  <si>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</si>
  <si>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</si>
  <si>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</si>
  <si>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</si>
  <si>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</si>
  <si>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</si>
  <si>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</si>
  <si>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</si>
  <si>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</si>
  <si>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</si>
  <si>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</si>
  <si>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</si>
  <si>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</si>
  <si>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</si>
  <si>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</si>
  <si>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</si>
  <si>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</si>
  <si>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</si>
  <si>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</si>
  <si>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</si>
  <si>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</si>
  <si>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</si>
  <si>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</si>
  <si>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</si>
  <si>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</si>
  <si>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</si>
  <si>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</si>
  <si>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</si>
  <si>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</si>
  <si>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</si>
  <si>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</si>
  <si>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</si>
  <si>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</si>
  <si>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</si>
  <si>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</si>
  <si>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</si>
  <si>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</si>
  <si>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</si>
  <si>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</si>
  <si>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</si>
  <si>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</si>
  <si>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</si>
  <si>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</si>
  <si>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</si>
  <si>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</si>
  <si>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</si>
  <si>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</si>
  <si>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</si>
  <si>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</si>
  <si>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</si>
  <si>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</si>
  <si>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</si>
  <si>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</si>
  <si>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</si>
  <si>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</si>
  <si>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</si>
  <si>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</si>
  <si>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</si>
  <si>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</si>
  <si>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</si>
  <si>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</si>
  <si>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</si>
  <si>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</si>
  <si>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</si>
  <si>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</si>
  <si>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</si>
  <si>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</si>
  <si>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</si>
  <si>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</si>
  <si>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</si>
  <si>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</si>
  <si>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</si>
  <si>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</si>
  <si>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</si>
  <si>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</si>
  <si>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</si>
  <si>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</si>
  <si>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</si>
  <si>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</si>
  <si>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</si>
  <si>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</si>
  <si>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</si>
  <si>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</si>
  <si>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</si>
  <si>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</si>
  <si>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</si>
  <si>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</si>
  <si>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</si>
  <si>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</si>
  <si>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</si>
  <si>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</si>
  <si>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</si>
  <si>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</si>
  <si>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</si>
  <si>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</si>
  <si>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</si>
  <si>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</si>
  <si>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</si>
  <si>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</si>
  <si>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</si>
  <si>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</si>
  <si>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</si>
  <si>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</si>
  <si>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</si>
  <si>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</si>
  <si>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</si>
  <si>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</si>
  <si>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</si>
  <si>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</si>
  <si>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</si>
  <si>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</si>
  <si>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</si>
  <si>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</si>
  <si>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</si>
  <si>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</si>
  <si>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</si>
  <si>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</si>
  <si>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</si>
  <si>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</si>
  <si>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</si>
  <si>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</si>
  <si>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</si>
  <si>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</si>
  <si>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</si>
  <si>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</si>
  <si>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</si>
  <si>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</si>
  <si>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</si>
  <si>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</si>
  <si>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</si>
  <si>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</si>
  <si>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</si>
  <si>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</si>
  <si>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</si>
  <si>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</si>
  <si>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</si>
  <si>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</si>
  <si>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</si>
  <si>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</si>
  <si>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</si>
  <si>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</si>
  <si>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</si>
  <si>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</si>
  <si>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</si>
  <si>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</si>
  <si>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</si>
  <si>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</si>
  <si>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</si>
  <si>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</si>
  <si>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</si>
  <si>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</si>
  <si>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</si>
  <si>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</si>
  <si>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</si>
  <si>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</si>
  <si>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</si>
  <si>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</si>
  <si>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</si>
  <si>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</si>
  <si>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</si>
  <si>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</si>
  <si>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</si>
  <si>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</si>
  <si>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</si>
  <si>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</si>
  <si>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</si>
  <si>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</si>
  <si>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</si>
  <si>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</si>
  <si>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</si>
  <si>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</si>
  <si>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</si>
  <si>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</si>
  <si>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</si>
  <si>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</si>
  <si>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</si>
  <si>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</si>
  <si>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</si>
  <si>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</si>
  <si>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</si>
  <si>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</si>
  <si>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</si>
  <si>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</si>
  <si>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</si>
  <si>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</si>
  <si>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</si>
  <si>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</si>
  <si>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</si>
  <si>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</si>
  <si>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</si>
  <si>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</si>
  <si>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</si>
  <si>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</si>
  <si>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</si>
  <si>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</si>
  <si>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</si>
  <si>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</si>
  <si>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</si>
  <si>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</si>
  <si>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</si>
  <si>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</si>
  <si>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</si>
  <si>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</si>
  <si>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</si>
  <si>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</si>
  <si>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</si>
  <si>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</si>
  <si>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</si>
  <si>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</si>
  <si>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</si>
  <si>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</si>
  <si>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</si>
  <si>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</si>
  <si>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</si>
  <si>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</si>
  <si>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</si>
  <si>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</si>
  <si>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</si>
  <si>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</si>
  <si>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</si>
  <si>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</si>
  <si>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</si>
  <si>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</si>
  <si>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</si>
  <si>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</si>
  <si>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</si>
  <si>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</si>
  <si>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</si>
  <si>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</si>
  <si>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</si>
  <si>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</si>
  <si>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</si>
  <si>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</si>
  <si>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</si>
  <si>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</si>
  <si>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</si>
  <si>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</si>
  <si>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r>
      <t>ＶＣ</t>
    </r>
    <r>
      <rPr>
        <b/>
        <sz val="11"/>
        <color rgb="FFFF0000"/>
        <rFont val="ＭＳ ゴシック"/>
        <family val="3"/>
        <charset val="128"/>
      </rPr>
      <t>本</t>
    </r>
    <phoneticPr fontId="6"/>
  </si>
  <si>
    <t>列AMから</t>
    <rPh sb="0" eb="1">
      <t>レツ</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</si>
  <si>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</si>
  <si>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</si>
  <si>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</si>
  <si>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</si>
  <si>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</si>
  <si>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</si>
  <si>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</si>
  <si>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1"/>
  </si>
  <si>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</si>
  <si>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</si>
  <si>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</si>
  <si>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</si>
  <si>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</si>
  <si>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</si>
  <si>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</si>
  <si>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</si>
  <si>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</si>
  <si>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</si>
  <si>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</si>
  <si>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</si>
  <si>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</si>
  <si>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</si>
  <si>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r>
      <t>西本</t>
    </r>
    <r>
      <rPr>
        <b/>
        <sz val="11"/>
        <color rgb="FFFF0000"/>
        <rFont val="ＭＳ ゴシック"/>
        <family val="3"/>
        <charset val="128"/>
      </rPr>
      <t>部</t>
    </r>
    <phoneticPr fontId="6"/>
  </si>
  <si>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</si>
  <si>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</si>
  <si>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</si>
  <si>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</si>
  <si>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</si>
  <si>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</si>
  <si>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</si>
  <si>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1"/>
  </si>
  <si>
    <t>西地創</t>
    <phoneticPr fontId="11"/>
  </si>
  <si>
    <t>西企画</t>
  </si>
  <si>
    <r>
      <t>ＧＢ</t>
    </r>
    <r>
      <rPr>
        <b/>
        <sz val="11"/>
        <color rgb="FFFF0000"/>
        <rFont val="ＭＳ ゴシック"/>
        <family val="3"/>
        <charset val="128"/>
      </rPr>
      <t>本</t>
    </r>
    <phoneticPr fontId="6"/>
  </si>
  <si>
    <t>結果</t>
    <rPh sb="0" eb="2">
      <t>ケッカ</t>
    </rPh>
    <phoneticPr fontId="6"/>
  </si>
  <si>
    <t>Ｇ推進</t>
    <phoneticPr fontId="11"/>
  </si>
  <si>
    <t>Ｇ上海</t>
  </si>
  <si>
    <t>Ｇ星国</t>
    <phoneticPr fontId="11"/>
  </si>
  <si>
    <t>Ｇ米国</t>
  </si>
  <si>
    <t>ＧＢＩ</t>
  </si>
  <si>
    <t>ＧＢア</t>
  </si>
  <si>
    <t>ＧＢＥ</t>
    <phoneticPr fontId="11"/>
  </si>
  <si>
    <t>ＧＩＯ</t>
    <phoneticPr fontId="11"/>
  </si>
  <si>
    <t>ＧＢＰ</t>
  </si>
  <si>
    <t>ＧＢ企</t>
  </si>
  <si>
    <r>
      <t>セ事</t>
    </r>
    <r>
      <rPr>
        <b/>
        <sz val="11"/>
        <color rgb="FFFF0000"/>
        <rFont val="ＭＳ ゴシック"/>
        <family val="3"/>
        <charset val="128"/>
      </rPr>
      <t>本</t>
    </r>
    <phoneticPr fontId="6"/>
  </si>
  <si>
    <t>セ事サ</t>
    <phoneticPr fontId="11"/>
  </si>
  <si>
    <t>セ事Ｉ</t>
    <phoneticPr fontId="11"/>
  </si>
  <si>
    <t>セ事プ</t>
    <phoneticPr fontId="11"/>
  </si>
  <si>
    <t>セ事企</t>
    <rPh sb="2" eb="3">
      <t>キ</t>
    </rPh>
    <phoneticPr fontId="11"/>
  </si>
  <si>
    <r>
      <t>ＣＩ</t>
    </r>
    <r>
      <rPr>
        <b/>
        <sz val="11"/>
        <color rgb="FFFF0000"/>
        <rFont val="ＭＳ ゴシック"/>
        <family val="3"/>
        <charset val="128"/>
      </rPr>
      <t>本</t>
    </r>
    <phoneticPr fontId="6"/>
  </si>
  <si>
    <t>ＣＩＢ</t>
    <phoneticPr fontId="11"/>
  </si>
  <si>
    <t>ＣＩＳ</t>
    <phoneticPr fontId="11"/>
  </si>
  <si>
    <t>ＣＩ企</t>
  </si>
  <si>
    <r>
      <t>ＮＩ</t>
    </r>
    <r>
      <rPr>
        <b/>
        <sz val="11"/>
        <color rgb="FFFF0000"/>
        <rFont val="ＭＳ ゴシック"/>
        <family val="3"/>
        <charset val="128"/>
      </rPr>
      <t>本</t>
    </r>
    <phoneticPr fontId="11"/>
  </si>
  <si>
    <t>ＮＩビ</t>
    <phoneticPr fontId="11"/>
  </si>
  <si>
    <t>ＮＩＩ</t>
    <phoneticPr fontId="11"/>
  </si>
  <si>
    <t>ＮＩネ</t>
    <phoneticPr fontId="11"/>
  </si>
  <si>
    <t>ＮＩサ</t>
    <phoneticPr fontId="11"/>
  </si>
  <si>
    <t>ＮＩア</t>
    <phoneticPr fontId="11"/>
  </si>
  <si>
    <t>ＮＩ企</t>
    <phoneticPr fontId="11"/>
  </si>
  <si>
    <r>
      <t>ＡＩ</t>
    </r>
    <r>
      <rPr>
        <b/>
        <sz val="11"/>
        <color rgb="FFFF0000"/>
        <rFont val="ＭＳ ゴシック"/>
        <family val="3"/>
        <charset val="128"/>
      </rPr>
      <t>本</t>
    </r>
    <rPh sb="2" eb="3">
      <t>ホン</t>
    </rPh>
    <phoneticPr fontId="11"/>
  </si>
  <si>
    <t>ＡＩＳ</t>
    <phoneticPr fontId="11"/>
  </si>
  <si>
    <t>ＡＩＲ</t>
    <phoneticPr fontId="11"/>
  </si>
  <si>
    <t>ＡＩＩ</t>
    <phoneticPr fontId="11"/>
  </si>
  <si>
    <t>ＡＩＡ</t>
    <phoneticPr fontId="11"/>
  </si>
  <si>
    <t>ＡＩＤ</t>
    <phoneticPr fontId="11"/>
  </si>
  <si>
    <t>ＡＩ企</t>
    <phoneticPr fontId="11"/>
  </si>
  <si>
    <r>
      <t>ＮＳ</t>
    </r>
    <r>
      <rPr>
        <b/>
        <sz val="11"/>
        <color rgb="FFFF0000"/>
        <rFont val="ＭＳ ゴシック"/>
        <family val="3"/>
        <charset val="128"/>
      </rPr>
      <t>本</t>
    </r>
    <rPh sb="2" eb="3">
      <t>ホン</t>
    </rPh>
    <phoneticPr fontId="11"/>
  </si>
  <si>
    <t>ＮＳＳ</t>
    <phoneticPr fontId="11"/>
  </si>
  <si>
    <t>ＮＳＭ</t>
    <phoneticPr fontId="11"/>
  </si>
  <si>
    <t>ＮＳＴ</t>
    <phoneticPr fontId="11"/>
  </si>
  <si>
    <t>ＮＳ企</t>
    <rPh sb="2" eb="3">
      <t>クワダ</t>
    </rPh>
    <phoneticPr fontId="11"/>
  </si>
  <si>
    <r>
      <t>ＩＰ</t>
    </r>
    <r>
      <rPr>
        <b/>
        <sz val="11"/>
        <color rgb="FFFF0000"/>
        <rFont val="ＭＳ ゴシック"/>
        <family val="3"/>
        <charset val="128"/>
      </rPr>
      <t>Ｃ</t>
    </r>
    <phoneticPr fontId="11"/>
  </si>
  <si>
    <t>ＩＰＲ</t>
    <phoneticPr fontId="11"/>
  </si>
  <si>
    <t>ＩＰＭ</t>
    <phoneticPr fontId="11"/>
  </si>
  <si>
    <t>ＩＰＬ</t>
    <phoneticPr fontId="11"/>
  </si>
  <si>
    <t>ＩＰ企</t>
    <phoneticPr fontId="11"/>
  </si>
  <si>
    <r>
      <t>ＮＰ</t>
    </r>
    <r>
      <rPr>
        <b/>
        <sz val="11"/>
        <color rgb="FFFF0000"/>
        <rFont val="ＭＳ ゴシック"/>
        <family val="3"/>
        <charset val="128"/>
      </rPr>
      <t>Ｃ</t>
    </r>
    <phoneticPr fontId="11"/>
  </si>
  <si>
    <t>ＮＰＬ</t>
    <phoneticPr fontId="11"/>
  </si>
  <si>
    <t>ＮＰ企</t>
    <rPh sb="2" eb="3">
      <t>キ</t>
    </rPh>
    <phoneticPr fontId="11"/>
  </si>
  <si>
    <r>
      <t>ＲＤ</t>
    </r>
    <r>
      <rPr>
        <b/>
        <sz val="11"/>
        <color rgb="FFFF0000"/>
        <rFont val="ＭＳ ゴシック"/>
        <family val="3"/>
        <charset val="128"/>
      </rPr>
      <t>Ｃ</t>
    </r>
    <phoneticPr fontId="11"/>
  </si>
  <si>
    <t>ＲＤＭ</t>
    <phoneticPr fontId="11"/>
  </si>
  <si>
    <t>ＲＤＤ</t>
    <phoneticPr fontId="11"/>
  </si>
  <si>
    <t>ＲＤＲ</t>
    <phoneticPr fontId="11"/>
  </si>
  <si>
    <t>ＲＤＷ</t>
    <phoneticPr fontId="11"/>
  </si>
  <si>
    <t>ＲＤ企</t>
    <phoneticPr fontId="11"/>
  </si>
  <si>
    <r>
      <t>２０</t>
    </r>
    <r>
      <rPr>
        <b/>
        <sz val="11"/>
        <color rgb="FFFF0000"/>
        <rFont val="ＭＳ ゴシック"/>
        <family val="3"/>
        <charset val="128"/>
      </rPr>
      <t>推</t>
    </r>
    <rPh sb="2" eb="3">
      <t>スイ</t>
    </rPh>
    <phoneticPr fontId="11"/>
  </si>
  <si>
    <r>
      <t>ＩＯ</t>
    </r>
    <r>
      <rPr>
        <b/>
        <sz val="11"/>
        <color rgb="FFFF0000"/>
        <rFont val="ＭＳ ゴシック"/>
        <family val="3"/>
        <charset val="128"/>
      </rPr>
      <t>推</t>
    </r>
    <rPh sb="2" eb="3">
      <t>スイ</t>
    </rPh>
    <phoneticPr fontId="11"/>
  </si>
  <si>
    <t>ＩＯビ</t>
    <phoneticPr fontId="11"/>
  </si>
  <si>
    <t>ＩＯＧ</t>
    <phoneticPr fontId="11"/>
  </si>
  <si>
    <t>ＩＯ企</t>
    <rPh sb="2" eb="3">
      <t>キ</t>
    </rPh>
    <phoneticPr fontId="11"/>
  </si>
  <si>
    <r>
      <t>営推</t>
    </r>
    <r>
      <rPr>
        <b/>
        <sz val="11"/>
        <color rgb="FFFF0000"/>
        <rFont val="ＭＳ ゴシック"/>
        <family val="3"/>
        <charset val="128"/>
      </rPr>
      <t>部</t>
    </r>
    <rPh sb="0" eb="3">
      <t>エイスイブ</t>
    </rPh>
    <phoneticPr fontId="11"/>
  </si>
  <si>
    <t>営推チ</t>
    <phoneticPr fontId="11"/>
  </si>
  <si>
    <t>営推マ</t>
  </si>
  <si>
    <t>営推進</t>
  </si>
  <si>
    <t>営推企</t>
  </si>
  <si>
    <r>
      <t>情セ</t>
    </r>
    <r>
      <rPr>
        <b/>
        <sz val="11"/>
        <color rgb="FFFF0000"/>
        <rFont val="ＭＳ ゴシック"/>
        <family val="3"/>
        <charset val="128"/>
      </rPr>
      <t>部</t>
    </r>
    <phoneticPr fontId="6"/>
  </si>
  <si>
    <r>
      <t>ＤＸ</t>
    </r>
    <r>
      <rPr>
        <b/>
        <sz val="11"/>
        <color rgb="FFFF0000"/>
        <rFont val="ＭＳ ゴシック"/>
        <family val="3"/>
        <charset val="128"/>
      </rPr>
      <t>部</t>
    </r>
    <phoneticPr fontId="11"/>
  </si>
  <si>
    <t>Ｄ基幹</t>
    <rPh sb="1" eb="3">
      <t>キカン</t>
    </rPh>
    <phoneticPr fontId="11"/>
  </si>
  <si>
    <t>ＤＡＰ</t>
    <phoneticPr fontId="11"/>
  </si>
  <si>
    <t>ＤＭＳ</t>
    <phoneticPr fontId="11"/>
  </si>
  <si>
    <t>Ｄ環境</t>
    <rPh sb="1" eb="3">
      <t>カンキョウ</t>
    </rPh>
    <phoneticPr fontId="11"/>
  </si>
  <si>
    <r>
      <t>経企</t>
    </r>
    <r>
      <rPr>
        <b/>
        <sz val="11"/>
        <color rgb="FFFF0000"/>
        <rFont val="ＭＳ ゴシック"/>
        <family val="3"/>
        <charset val="128"/>
      </rPr>
      <t>部</t>
    </r>
    <phoneticPr fontId="6"/>
  </si>
  <si>
    <t>経企画</t>
  </si>
  <si>
    <t>経推進</t>
  </si>
  <si>
    <t>経財務</t>
    <rPh sb="1" eb="3">
      <t>ザイム</t>
    </rPh>
    <phoneticPr fontId="11"/>
  </si>
  <si>
    <t>経戦略</t>
  </si>
  <si>
    <t>経関企</t>
  </si>
  <si>
    <r>
      <rPr>
        <b/>
        <sz val="11"/>
        <color rgb="FFFF0000"/>
        <rFont val="ＭＳ ゴシック"/>
        <family val="3"/>
        <charset val="128"/>
      </rPr>
      <t>経Ｃ</t>
    </r>
    <r>
      <rPr>
        <u/>
        <sz val="11"/>
        <color rgb="FFFF0000"/>
        <rFont val="ＭＳ ゴシック"/>
        <family val="3"/>
        <charset val="128"/>
      </rPr>
      <t>Ｃ</t>
    </r>
    <phoneticPr fontId="6"/>
  </si>
  <si>
    <t>経ＣＳ</t>
  </si>
  <si>
    <t>経輸出</t>
    <phoneticPr fontId="11"/>
  </si>
  <si>
    <t>経知財</t>
    <rPh sb="1" eb="3">
      <t>チザイ</t>
    </rPh>
    <phoneticPr fontId="11"/>
  </si>
  <si>
    <r>
      <t>総務</t>
    </r>
    <r>
      <rPr>
        <b/>
        <sz val="11"/>
        <color rgb="FFFF0000"/>
        <rFont val="ＭＳ ゴシック"/>
        <family val="3"/>
        <charset val="128"/>
      </rPr>
      <t>部</t>
    </r>
    <phoneticPr fontId="6"/>
  </si>
  <si>
    <t>総総務</t>
  </si>
  <si>
    <t>総法務</t>
  </si>
  <si>
    <t>総啓発</t>
  </si>
  <si>
    <t>総倫理</t>
  </si>
  <si>
    <r>
      <t>人事</t>
    </r>
    <r>
      <rPr>
        <b/>
        <sz val="11"/>
        <color rgb="FFFF0000"/>
        <rFont val="ＭＳ ゴシック"/>
        <family val="3"/>
        <charset val="128"/>
      </rPr>
      <t>部</t>
    </r>
    <phoneticPr fontId="6"/>
  </si>
  <si>
    <t>人ＴＭ</t>
    <phoneticPr fontId="11"/>
  </si>
  <si>
    <r>
      <t>考査</t>
    </r>
    <r>
      <rPr>
        <b/>
        <sz val="11"/>
        <color rgb="FFFF0000"/>
        <rFont val="ＭＳ ゴシック"/>
        <family val="3"/>
        <charset val="128"/>
      </rPr>
      <t>部</t>
    </r>
    <phoneticPr fontId="6"/>
  </si>
  <si>
    <r>
      <t>監査</t>
    </r>
    <r>
      <rPr>
        <b/>
        <sz val="11"/>
        <color rgb="FFFF0000"/>
        <rFont val="ＭＳ ゴシック"/>
        <family val="3"/>
        <charset val="128"/>
      </rPr>
      <t>室</t>
    </r>
    <phoneticPr fontId="6"/>
  </si>
  <si>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</si>
  <si>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</si>
  <si>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</si>
  <si>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</si>
  <si>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</si>
  <si>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</si>
  <si>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</si>
  <si>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</si>
  <si>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</si>
  <si>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</si>
  <si>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</si>
  <si>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</si>
  <si>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</si>
  <si>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</si>
  <si>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</si>
  <si>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</si>
  <si>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8"/>
  </si>
  <si>
    <t>取引総額</t>
    <rPh sb="0" eb="2">
      <t>トリヒキ</t>
    </rPh>
    <rPh sb="2" eb="4">
      <t>ソウガク</t>
    </rPh>
    <phoneticPr fontId="2"/>
  </si>
  <si>
    <t>取引回数</t>
    <rPh sb="0" eb="2">
      <t>トリヒキ</t>
    </rPh>
    <rPh sb="2" eb="4">
      <t>カイスウ</t>
    </rPh>
    <phoneticPr fontId="18"/>
  </si>
  <si>
    <t>取引回数</t>
    <rPh sb="0" eb="2">
      <t>トリヒキ</t>
    </rPh>
    <rPh sb="2" eb="4">
      <t>カイスウ</t>
    </rPh>
    <phoneticPr fontId="2"/>
  </si>
  <si>
    <t>国内総額</t>
    <rPh sb="0" eb="2">
      <t>コクナイ</t>
    </rPh>
    <rPh sb="2" eb="4">
      <t>ソウガク</t>
    </rPh>
    <phoneticPr fontId="18"/>
  </si>
  <si>
    <t>国内総額</t>
    <rPh sb="0" eb="2">
      <t>コクナイ</t>
    </rPh>
    <rPh sb="2" eb="4">
      <t>ソウガク</t>
    </rPh>
    <phoneticPr fontId="2"/>
  </si>
  <si>
    <t>国内回数</t>
    <rPh sb="0" eb="2">
      <t>コクナイ</t>
    </rPh>
    <rPh sb="2" eb="4">
      <t>カイスウ</t>
    </rPh>
    <phoneticPr fontId="18"/>
  </si>
  <si>
    <t>国内回数</t>
    <rPh sb="0" eb="2">
      <t>コクナイ</t>
    </rPh>
    <rPh sb="2" eb="4">
      <t>カイスウ</t>
    </rPh>
    <phoneticPr fontId="2"/>
  </si>
  <si>
    <t>出荷日自</t>
    <rPh sb="0" eb="3">
      <t>シュッカビ</t>
    </rPh>
    <rPh sb="3" eb="4">
      <t>ジ</t>
    </rPh>
    <phoneticPr fontId="18"/>
  </si>
  <si>
    <t>出荷日自</t>
    <rPh sb="0" eb="3">
      <t>シュッカビ</t>
    </rPh>
    <rPh sb="3" eb="4">
      <t>ジ</t>
    </rPh>
    <phoneticPr fontId="2"/>
  </si>
  <si>
    <t>ＣＩＳ</t>
  </si>
  <si>
    <t>出荷日至</t>
    <rPh sb="0" eb="3">
      <t>シュッカビ</t>
    </rPh>
    <rPh sb="3" eb="4">
      <t>イタ</t>
    </rPh>
    <phoneticPr fontId="18"/>
  </si>
  <si>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</si>
  <si>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</si>
  <si>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</si>
  <si>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</si>
  <si>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</si>
  <si>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</si>
  <si>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</si>
  <si>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</si>
  <si>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</si>
  <si>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</si>
  <si>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1"/>
  </si>
  <si>
    <t>組織名称・略称・英文呼称</t>
    <rPh sb="0" eb="2">
      <t>ソシキ</t>
    </rPh>
    <rPh sb="2" eb="4">
      <t>メイショウ</t>
    </rPh>
    <rPh sb="5" eb="7">
      <t>リャクショウ</t>
    </rPh>
    <rPh sb="8" eb="10">
      <t>エイブン</t>
    </rPh>
    <rPh sb="10" eb="12">
      <t>コショウ</t>
    </rPh>
    <phoneticPr fontId="11"/>
  </si>
  <si>
    <t>経営企画部</t>
    <rPh sb="0" eb="2">
      <t>ケイエイ</t>
    </rPh>
    <rPh sb="2" eb="4">
      <t>キカク</t>
    </rPh>
    <rPh sb="4" eb="5">
      <t>ブ</t>
    </rPh>
    <phoneticPr fontId="11"/>
  </si>
  <si>
    <t>組織名称</t>
    <rPh sb="0" eb="2">
      <t>ソシキ</t>
    </rPh>
    <rPh sb="2" eb="4">
      <t>メイショウ</t>
    </rPh>
    <phoneticPr fontId="11"/>
  </si>
  <si>
    <t>略称</t>
    <rPh sb="0" eb="2">
      <t>リャクショウ</t>
    </rPh>
    <phoneticPr fontId="11"/>
  </si>
  <si>
    <t>英文呼称</t>
    <rPh sb="0" eb="2">
      <t>エイブン</t>
    </rPh>
    <rPh sb="2" eb="4">
      <t>コショウ</t>
    </rPh>
    <phoneticPr fontId="11"/>
  </si>
  <si>
    <t>Value Co-creation事業本部</t>
    <rPh sb="17" eb="19">
      <t>ジギョウ</t>
    </rPh>
    <rPh sb="19" eb="21">
      <t>ホンブ</t>
    </rPh>
    <phoneticPr fontId="11"/>
  </si>
  <si>
    <t>ＶＣ本</t>
  </si>
  <si>
    <t>Value Co-creation Business Headquarters</t>
    <phoneticPr fontId="11"/>
  </si>
  <si>
    <t xml:space="preserve">ビジネスリレーション第一部門
</t>
    <rPh sb="10" eb="12">
      <t>ダイイチ</t>
    </rPh>
    <rPh sb="12" eb="14">
      <t>ブモン</t>
    </rPh>
    <phoneticPr fontId="11"/>
  </si>
  <si>
    <t>Business Relation Section-1</t>
    <phoneticPr fontId="11"/>
  </si>
  <si>
    <t xml:space="preserve">ビジネスリレーション第二部門
</t>
    <rPh sb="10" eb="12">
      <t>ダイニ</t>
    </rPh>
    <rPh sb="12" eb="14">
      <t>ブモン</t>
    </rPh>
    <phoneticPr fontId="11"/>
  </si>
  <si>
    <t>Business Relation Section-2</t>
  </si>
  <si>
    <t xml:space="preserve">ビジネスリレーション第三部門
</t>
    <rPh sb="10" eb="12">
      <t>ダイサン</t>
    </rPh>
    <rPh sb="12" eb="14">
      <t>ブモン</t>
    </rPh>
    <phoneticPr fontId="11"/>
  </si>
  <si>
    <t>Business Relation Section-3</t>
  </si>
  <si>
    <t>北海道支店</t>
    <rPh sb="0" eb="3">
      <t>ホッカイドウ</t>
    </rPh>
    <rPh sb="3" eb="5">
      <t>シテン</t>
    </rPh>
    <phoneticPr fontId="11"/>
  </si>
  <si>
    <t>Hokkaido Branch Office</t>
    <phoneticPr fontId="11"/>
  </si>
  <si>
    <t>東北支店</t>
    <rPh sb="0" eb="2">
      <t>トウホク</t>
    </rPh>
    <rPh sb="2" eb="4">
      <t>シテン</t>
    </rPh>
    <phoneticPr fontId="11"/>
  </si>
  <si>
    <t>Tohoku Branch Office</t>
  </si>
  <si>
    <t>福島営業所</t>
    <rPh sb="0" eb="2">
      <t>フクシマ</t>
    </rPh>
    <rPh sb="2" eb="5">
      <t>エイギョウショ</t>
    </rPh>
    <phoneticPr fontId="11"/>
  </si>
  <si>
    <t>Fukushima Branch Office</t>
  </si>
  <si>
    <t>ＧＴＭ推進部門</t>
    <rPh sb="3" eb="5">
      <t>スイシン</t>
    </rPh>
    <rPh sb="5" eb="7">
      <t>ブモン</t>
    </rPh>
    <phoneticPr fontId="11"/>
  </si>
  <si>
    <t>Go-to-Market Section</t>
  </si>
  <si>
    <t xml:space="preserve">まちづくりビジネスユニット
</t>
    <phoneticPr fontId="11"/>
  </si>
  <si>
    <t>Community Development Business Unit</t>
  </si>
  <si>
    <t xml:space="preserve">カスタマーエンゲージメントビジネスユニット
</t>
    <phoneticPr fontId="11"/>
  </si>
  <si>
    <t>Customer Engagement Business Unit</t>
  </si>
  <si>
    <t>トータルソリューションビジネスユニット</t>
    <phoneticPr fontId="11"/>
  </si>
  <si>
    <t>Total Solution Business Unit</t>
  </si>
  <si>
    <t>ユーザオペレーションサポートビジネスユニット</t>
    <phoneticPr fontId="11"/>
  </si>
  <si>
    <t>User Operation Support Business Unit</t>
  </si>
  <si>
    <t>ＤＸイノベーションプロジェクト</t>
    <phoneticPr fontId="11"/>
  </si>
  <si>
    <t>Digital Transformation Innovation Project</t>
  </si>
  <si>
    <t>企画総務部門</t>
    <rPh sb="0" eb="2">
      <t>キカク</t>
    </rPh>
    <rPh sb="2" eb="4">
      <t>ソウム</t>
    </rPh>
    <rPh sb="4" eb="6">
      <t>ブモン</t>
    </rPh>
    <phoneticPr fontId="11"/>
  </si>
  <si>
    <t>Planning and General Affairs Section</t>
  </si>
  <si>
    <t>西日本事業本部</t>
    <rPh sb="0" eb="1">
      <t>ニシ</t>
    </rPh>
    <rPh sb="1" eb="3">
      <t>ニホン</t>
    </rPh>
    <rPh sb="3" eb="5">
      <t>ジギョウ</t>
    </rPh>
    <rPh sb="5" eb="7">
      <t>ホンブ</t>
    </rPh>
    <phoneticPr fontId="11"/>
  </si>
  <si>
    <t>西本部</t>
  </si>
  <si>
    <t>Business Headquarters-West</t>
  </si>
  <si>
    <t>営業部門</t>
    <rPh sb="0" eb="2">
      <t>エイギョウ</t>
    </rPh>
    <rPh sb="2" eb="4">
      <t>ブモン</t>
    </rPh>
    <phoneticPr fontId="11"/>
  </si>
  <si>
    <t>Sales Section</t>
  </si>
  <si>
    <t>東海支店</t>
    <rPh sb="0" eb="2">
      <t>トウカイ</t>
    </rPh>
    <rPh sb="2" eb="4">
      <t>シテン</t>
    </rPh>
    <phoneticPr fontId="11"/>
  </si>
  <si>
    <t>Tokai Branch Office</t>
  </si>
  <si>
    <t>九州支店</t>
    <rPh sb="0" eb="2">
      <t>キュウシュウ</t>
    </rPh>
    <rPh sb="2" eb="4">
      <t>シテン</t>
    </rPh>
    <phoneticPr fontId="11"/>
  </si>
  <si>
    <t>Kyushu Branch Office</t>
  </si>
  <si>
    <t>ソリューションビジネスユニット</t>
    <phoneticPr fontId="11"/>
  </si>
  <si>
    <t>Solution Business Unit</t>
  </si>
  <si>
    <t>ネットワークマネジメントビジネスユニット</t>
    <phoneticPr fontId="11"/>
  </si>
  <si>
    <t>Network Management Business Unit</t>
    <phoneticPr fontId="11"/>
  </si>
  <si>
    <t>ビジネスインキュベーションビジネスユニット</t>
    <phoneticPr fontId="11"/>
  </si>
  <si>
    <t>Business Incubation Business Unit</t>
    <phoneticPr fontId="11"/>
  </si>
  <si>
    <t>地域創生ビジネスプロジェクト</t>
    <rPh sb="0" eb="2">
      <t>チイキ</t>
    </rPh>
    <rPh sb="2" eb="4">
      <t>ソウセイ</t>
    </rPh>
    <phoneticPr fontId="11"/>
  </si>
  <si>
    <t>Regional Revitalization Business Project</t>
    <phoneticPr fontId="11"/>
  </si>
  <si>
    <t>企画総務部門</t>
    <rPh sb="2" eb="4">
      <t>ソウム</t>
    </rPh>
    <phoneticPr fontId="11"/>
  </si>
  <si>
    <t>グローバル事業本部</t>
    <phoneticPr fontId="11"/>
  </si>
  <si>
    <t>ＧＢ本</t>
  </si>
  <si>
    <t>Global Business Headquarters</t>
    <phoneticPr fontId="11"/>
  </si>
  <si>
    <t>グローバルアライアンス推進部門</t>
    <rPh sb="11" eb="13">
      <t>スイシン</t>
    </rPh>
    <rPh sb="13" eb="15">
      <t>ブモン</t>
    </rPh>
    <phoneticPr fontId="11"/>
  </si>
  <si>
    <t>Global Alliance Section</t>
    <phoneticPr fontId="11"/>
  </si>
  <si>
    <t>上海駐在員事務所</t>
    <rPh sb="0" eb="2">
      <t>シャンハイ</t>
    </rPh>
    <rPh sb="2" eb="5">
      <t>チュウザイイン</t>
    </rPh>
    <rPh sb="5" eb="7">
      <t>ジム</t>
    </rPh>
    <rPh sb="7" eb="8">
      <t>ショ</t>
    </rPh>
    <phoneticPr fontId="11"/>
  </si>
  <si>
    <t>Shanghai Representative Office</t>
  </si>
  <si>
    <t>シンガポール支店</t>
    <rPh sb="6" eb="8">
      <t>シテン</t>
    </rPh>
    <phoneticPr fontId="11"/>
  </si>
  <si>
    <t>Singapore Office</t>
    <phoneticPr fontId="11"/>
  </si>
  <si>
    <t>米国支店</t>
    <rPh sb="0" eb="2">
      <t>ベイコク</t>
    </rPh>
    <rPh sb="2" eb="4">
      <t>シテン</t>
    </rPh>
    <phoneticPr fontId="11"/>
  </si>
  <si>
    <t>US Office</t>
  </si>
  <si>
    <t>グローバルソリューションビジネスユニット</t>
    <phoneticPr fontId="11"/>
  </si>
  <si>
    <t>Global Solution Business Unit</t>
    <phoneticPr fontId="11"/>
  </si>
  <si>
    <t>プロダクトインキュベーションセンタ</t>
    <phoneticPr fontId="11"/>
  </si>
  <si>
    <t>Product Incubation Center</t>
    <phoneticPr fontId="11"/>
  </si>
  <si>
    <t>光プロダクツビジネスユニット</t>
    <phoneticPr fontId="11"/>
  </si>
  <si>
    <t>Optical Products Business Unit</t>
  </si>
  <si>
    <t>環境ビジネスユニット</t>
    <rPh sb="0" eb="2">
      <t>カンキョウ</t>
    </rPh>
    <phoneticPr fontId="11"/>
  </si>
  <si>
    <t>Environmental Business Unit</t>
  </si>
  <si>
    <t>アドバンスマテリアルビジネスユニット</t>
    <phoneticPr fontId="11"/>
  </si>
  <si>
    <t>Advanced Material Business Unit</t>
  </si>
  <si>
    <t>ＥＵＶ技術センタ</t>
    <rPh sb="3" eb="5">
      <t>ギジュツ</t>
    </rPh>
    <phoneticPr fontId="11"/>
  </si>
  <si>
    <t>Extreme Ultraviolet Mirror Technical Center</t>
    <phoneticPr fontId="11"/>
  </si>
  <si>
    <t>ＩＯＷＮ光学材料推進部門</t>
    <phoneticPr fontId="11"/>
  </si>
  <si>
    <t>IOWN Optical Materials Promotion Section</t>
    <phoneticPr fontId="11"/>
  </si>
  <si>
    <t>プロジェクト推進部門</t>
    <phoneticPr fontId="11"/>
  </si>
  <si>
    <t>Project Management Section</t>
    <phoneticPr fontId="11"/>
  </si>
  <si>
    <t>セキュリティ事業本部</t>
    <phoneticPr fontId="11"/>
  </si>
  <si>
    <t>セ事本</t>
  </si>
  <si>
    <t>Security Business Headquarters</t>
  </si>
  <si>
    <t>セキュリティサービス＆ソリューションビジネスユニット</t>
    <phoneticPr fontId="11"/>
  </si>
  <si>
    <t>Security Service and Solution Business Unit</t>
    <phoneticPr fontId="11"/>
  </si>
  <si>
    <t>ＩＰソリューションビジネスユニット</t>
    <phoneticPr fontId="11"/>
  </si>
  <si>
    <t>Network and Security Solution Business Unit</t>
    <phoneticPr fontId="11"/>
  </si>
  <si>
    <t>プロフェッショナルプロデュースプロジェクト</t>
    <phoneticPr fontId="11"/>
  </si>
  <si>
    <t>Professional Produce Project</t>
    <phoneticPr fontId="11"/>
  </si>
  <si>
    <t>クラウドＩｏＴ事業本部</t>
    <phoneticPr fontId="11"/>
  </si>
  <si>
    <t>ＣＩ本</t>
  </si>
  <si>
    <t>Cloud and IoT Business Headquarters</t>
  </si>
  <si>
    <t xml:space="preserve">先端ビジネス開発ビジネスユニット
</t>
    <phoneticPr fontId="11"/>
  </si>
  <si>
    <t>Advanced Business Development Business Unit</t>
    <phoneticPr fontId="11"/>
  </si>
  <si>
    <t>ＩｏＴソリューションビジネスユニット</t>
    <phoneticPr fontId="11"/>
  </si>
  <si>
    <t>IoT Solutions Business Unit</t>
    <phoneticPr fontId="11"/>
  </si>
  <si>
    <t>クラウドソリューションビジネスユニット</t>
    <phoneticPr fontId="11"/>
  </si>
  <si>
    <t>Cloud Solutions Business Unit</t>
  </si>
  <si>
    <t>ネットワークイノベーション事業本部</t>
    <rPh sb="13" eb="15">
      <t>ジギョウ</t>
    </rPh>
    <rPh sb="15" eb="17">
      <t>ホンブ</t>
    </rPh>
    <phoneticPr fontId="11"/>
  </si>
  <si>
    <t>ＮＩ本</t>
    <phoneticPr fontId="11"/>
  </si>
  <si>
    <t>Network Innovation Business Headquarters</t>
    <phoneticPr fontId="11"/>
  </si>
  <si>
    <t>ネットワークビジネスデベロップメントビジネスユニット</t>
    <phoneticPr fontId="11"/>
  </si>
  <si>
    <t>Network Business Development Business Unit</t>
    <phoneticPr fontId="11"/>
  </si>
  <si>
    <t>ＩＯＷＮビジネスデベロップメントビジネスユニット</t>
    <phoneticPr fontId="11"/>
  </si>
  <si>
    <t>IOWN Business Development Business Unit</t>
    <phoneticPr fontId="11"/>
  </si>
  <si>
    <t>ネットワークアドバンスメントビジネスユニット</t>
    <phoneticPr fontId="11"/>
  </si>
  <si>
    <t>Network Advancement Business Unit</t>
    <phoneticPr fontId="11"/>
  </si>
  <si>
    <t>ネットワークサービスインテグレーションビジネスユニット</t>
    <phoneticPr fontId="11"/>
  </si>
  <si>
    <t>Network Service Integration Business Unit</t>
    <phoneticPr fontId="11"/>
  </si>
  <si>
    <t>アクセス＆トランスポートネットワークビジネスユニット</t>
    <phoneticPr fontId="23"/>
  </si>
  <si>
    <t>Access and Transport Network Business Unit</t>
    <phoneticPr fontId="11"/>
  </si>
  <si>
    <t>ＡＩロボティクス事業本部</t>
    <phoneticPr fontId="11"/>
  </si>
  <si>
    <t>ＡＩ本</t>
    <rPh sb="2" eb="3">
      <t>ホン</t>
    </rPh>
    <phoneticPr fontId="11"/>
  </si>
  <si>
    <t>AI and Robotics Business Headquarters</t>
    <phoneticPr fontId="11"/>
  </si>
  <si>
    <t>ビジネスストラテジー部門</t>
    <phoneticPr fontId="11"/>
  </si>
  <si>
    <t>Business Strategy Section</t>
    <phoneticPr fontId="11"/>
  </si>
  <si>
    <t>ロボティクスソリューションビジネスユニット</t>
    <phoneticPr fontId="11"/>
  </si>
  <si>
    <t>Robotics Solutions Business Unit</t>
    <phoneticPr fontId="11"/>
  </si>
  <si>
    <t>ＩＡイノベーションビジネスユニット</t>
    <phoneticPr fontId="11"/>
  </si>
  <si>
    <t>Intelligent Automation Innovation Business Unit</t>
    <phoneticPr fontId="11"/>
  </si>
  <si>
    <t>アドバンスデータアナリシスビジネスユニット</t>
    <phoneticPr fontId="11"/>
  </si>
  <si>
    <t>Advanced Data Analysis Business Unit</t>
    <phoneticPr fontId="11"/>
  </si>
  <si>
    <t>ディスラプティブイノベーションビジネスユニット</t>
    <phoneticPr fontId="11"/>
  </si>
  <si>
    <t>Disruptive Innovation Business Unit</t>
    <phoneticPr fontId="11"/>
  </si>
  <si>
    <t>Planning and General Affairs Section</t>
    <phoneticPr fontId="11"/>
  </si>
  <si>
    <t>ＮＷセキュリティマネジメント事業本部</t>
    <rPh sb="14" eb="16">
      <t>ジギョウ</t>
    </rPh>
    <rPh sb="16" eb="18">
      <t>ホンブ</t>
    </rPh>
    <phoneticPr fontId="11"/>
  </si>
  <si>
    <t>ＮＳ本</t>
    <rPh sb="2" eb="3">
      <t>ホン</t>
    </rPh>
    <phoneticPr fontId="11"/>
  </si>
  <si>
    <t>Network and Security Management Business Headquarters</t>
    <phoneticPr fontId="11"/>
  </si>
  <si>
    <t>ＩＣＴ-２４サービスオペレーションビジネスユニット</t>
    <phoneticPr fontId="11"/>
  </si>
  <si>
    <t>ICT-24 Service Operation Business Unit</t>
    <phoneticPr fontId="11"/>
  </si>
  <si>
    <t>システムマネジメントビジネスユニット</t>
    <phoneticPr fontId="11"/>
  </si>
  <si>
    <t>System Management Business Unit</t>
    <phoneticPr fontId="11"/>
  </si>
  <si>
    <t>テクニカルイノベーションビジネスユニット</t>
    <phoneticPr fontId="23"/>
  </si>
  <si>
    <t>Technical Innovation Business Unit</t>
    <phoneticPr fontId="11"/>
  </si>
  <si>
    <t>ＩＰＥＳビジネスセンタ</t>
    <phoneticPr fontId="11"/>
  </si>
  <si>
    <t>ＩＰＣ</t>
    <phoneticPr fontId="11"/>
  </si>
  <si>
    <t>IPES Business Center</t>
    <phoneticPr fontId="11"/>
  </si>
  <si>
    <t>ＩＰ調査分析ビジネスユニット</t>
    <phoneticPr fontId="11"/>
  </si>
  <si>
    <t>IP Investigation and Analysis Business Unit</t>
    <phoneticPr fontId="11"/>
  </si>
  <si>
    <t>ＩＰマネジメントビジネスユニット</t>
    <phoneticPr fontId="11"/>
  </si>
  <si>
    <t>IP Management Business Unit</t>
    <phoneticPr fontId="11"/>
  </si>
  <si>
    <t>リーガルＤＸビジネスユニット</t>
    <phoneticPr fontId="11"/>
  </si>
  <si>
    <t>Legal Digital Transformation Business Unit</t>
    <phoneticPr fontId="11"/>
  </si>
  <si>
    <t>ネットワーク基盤技術センタ</t>
    <rPh sb="6" eb="8">
      <t>キバン</t>
    </rPh>
    <rPh sb="8" eb="10">
      <t>ギジュツ</t>
    </rPh>
    <phoneticPr fontId="11"/>
  </si>
  <si>
    <t>ＮＰＣ</t>
    <phoneticPr fontId="11"/>
  </si>
  <si>
    <t>Network Platform Technology Center</t>
    <phoneticPr fontId="11"/>
  </si>
  <si>
    <t>リンク基盤ビジネスユニット</t>
    <phoneticPr fontId="11"/>
  </si>
  <si>
    <t>Link Platform Business Unit</t>
    <phoneticPr fontId="11"/>
  </si>
  <si>
    <t>企画総務部門</t>
    <phoneticPr fontId="11"/>
  </si>
  <si>
    <t>ラピッド開発センタ</t>
    <phoneticPr fontId="11"/>
  </si>
  <si>
    <t>ＲＤＣ</t>
    <phoneticPr fontId="11"/>
  </si>
  <si>
    <t>Rapid Development Center</t>
    <phoneticPr fontId="11"/>
  </si>
  <si>
    <t>技術マネジメントプロジェクト</t>
    <phoneticPr fontId="11"/>
  </si>
  <si>
    <t>Technology Management Project</t>
    <phoneticPr fontId="11"/>
  </si>
  <si>
    <t>データ流通サービス技術プロジェクト</t>
    <rPh sb="3" eb="5">
      <t>リュウツウ</t>
    </rPh>
    <rPh sb="9" eb="11">
      <t>ギジュツ</t>
    </rPh>
    <phoneticPr fontId="23"/>
  </si>
  <si>
    <t>Data Sharing Service Technology Project</t>
    <phoneticPr fontId="11"/>
  </si>
  <si>
    <t>ＩＣＴリソース管理技術プロジェクト</t>
    <rPh sb="7" eb="9">
      <t>カンリ</t>
    </rPh>
    <rPh sb="9" eb="11">
      <t>ギジュツ</t>
    </rPh>
    <phoneticPr fontId="11"/>
  </si>
  <si>
    <t>ICT Resource Management Technology Project</t>
    <phoneticPr fontId="11"/>
  </si>
  <si>
    <t>ワイヤレスアクセス技術プロジェクト</t>
    <rPh sb="9" eb="11">
      <t>ギジュツ</t>
    </rPh>
    <phoneticPr fontId="11"/>
  </si>
  <si>
    <t>Wireless Access Technology Project</t>
    <phoneticPr fontId="11"/>
  </si>
  <si>
    <t>２０２０推進室</t>
    <rPh sb="4" eb="7">
      <t>スイシンシツ</t>
    </rPh>
    <phoneticPr fontId="11"/>
  </si>
  <si>
    <t>２０推</t>
    <rPh sb="2" eb="3">
      <t>スイ</t>
    </rPh>
    <phoneticPr fontId="11"/>
  </si>
  <si>
    <t>2020 Business Promotion Office</t>
    <phoneticPr fontId="11"/>
  </si>
  <si>
    <t>ＩＯＷＮ推進室</t>
    <phoneticPr fontId="11"/>
  </si>
  <si>
    <t>ＩＯ推</t>
    <rPh sb="2" eb="3">
      <t>スイ</t>
    </rPh>
    <phoneticPr fontId="11"/>
  </si>
  <si>
    <t>IOWN Business Promotion Office</t>
    <phoneticPr fontId="11"/>
  </si>
  <si>
    <t>ビジネス戦略部門</t>
    <rPh sb="4" eb="8">
      <t>センリャクブモン</t>
    </rPh>
    <phoneticPr fontId="11"/>
  </si>
  <si>
    <t>グローバル戦略部門</t>
    <rPh sb="5" eb="9">
      <t>センリャクブモン</t>
    </rPh>
    <phoneticPr fontId="11"/>
  </si>
  <si>
    <t>営業推進部</t>
    <phoneticPr fontId="11"/>
  </si>
  <si>
    <t>営推部</t>
    <rPh sb="0" eb="3">
      <t>エイスイブ</t>
    </rPh>
    <phoneticPr fontId="11"/>
  </si>
  <si>
    <t>Sales Promotion Department</t>
    <phoneticPr fontId="11"/>
  </si>
  <si>
    <t>チャネル営業推進部門</t>
    <rPh sb="4" eb="6">
      <t>エイギョウ</t>
    </rPh>
    <rPh sb="6" eb="8">
      <t>スイシン</t>
    </rPh>
    <rPh sb="8" eb="10">
      <t>ブモン</t>
    </rPh>
    <phoneticPr fontId="23"/>
  </si>
  <si>
    <t>Channel Sales Promotion Section</t>
    <phoneticPr fontId="11"/>
  </si>
  <si>
    <t>マーケティング部門</t>
    <rPh sb="7" eb="9">
      <t>ブモン</t>
    </rPh>
    <phoneticPr fontId="23"/>
  </si>
  <si>
    <t>Marketing Section</t>
  </si>
  <si>
    <t>営業推進部門</t>
    <rPh sb="0" eb="2">
      <t>エイギョウ</t>
    </rPh>
    <rPh sb="2" eb="4">
      <t>スイシン</t>
    </rPh>
    <rPh sb="4" eb="6">
      <t>ブモン</t>
    </rPh>
    <phoneticPr fontId="11"/>
  </si>
  <si>
    <t>Sales Promotion Section</t>
  </si>
  <si>
    <t>企画総務部門</t>
    <rPh sb="2" eb="4">
      <t>ソウム</t>
    </rPh>
    <rPh sb="4" eb="6">
      <t>ブモン</t>
    </rPh>
    <phoneticPr fontId="11"/>
  </si>
  <si>
    <t>情報セキュリティ推進部</t>
    <rPh sb="0" eb="2">
      <t>ジョウホウ</t>
    </rPh>
    <rPh sb="8" eb="11">
      <t>スイシンブ</t>
    </rPh>
    <phoneticPr fontId="11"/>
  </si>
  <si>
    <t>情セ部</t>
  </si>
  <si>
    <t>Information Security Department</t>
  </si>
  <si>
    <t>デジタルトランスフォーメーション推進部</t>
    <phoneticPr fontId="11"/>
  </si>
  <si>
    <t>ＤＸ部</t>
    <phoneticPr fontId="11"/>
  </si>
  <si>
    <t>Digital Transformation Promotion Department</t>
    <phoneticPr fontId="11"/>
  </si>
  <si>
    <t>基幹システム部門</t>
    <phoneticPr fontId="11"/>
  </si>
  <si>
    <t>Enterprise System Section</t>
    <phoneticPr fontId="11"/>
  </si>
  <si>
    <t>業務アプリケーション部門</t>
    <rPh sb="0" eb="2">
      <t>ギョウム</t>
    </rPh>
    <rPh sb="10" eb="12">
      <t>ブモン</t>
    </rPh>
    <phoneticPr fontId="23"/>
  </si>
  <si>
    <t>Business Application Section</t>
    <phoneticPr fontId="11"/>
  </si>
  <si>
    <t>マネジメントシステム部門</t>
    <phoneticPr fontId="11"/>
  </si>
  <si>
    <t>Management System Section</t>
    <phoneticPr fontId="11"/>
  </si>
  <si>
    <t>環境対策推進室</t>
  </si>
  <si>
    <t>Environmental Protection Office</t>
    <phoneticPr fontId="11"/>
  </si>
  <si>
    <t>経企部</t>
  </si>
  <si>
    <t>Business Strategy Management Department</t>
    <phoneticPr fontId="11"/>
  </si>
  <si>
    <t>企画部門</t>
    <rPh sb="0" eb="2">
      <t>キカク</t>
    </rPh>
    <rPh sb="2" eb="4">
      <t>ブモン</t>
    </rPh>
    <phoneticPr fontId="23"/>
  </si>
  <si>
    <t>Planning Section</t>
  </si>
  <si>
    <t>経営推進部門</t>
    <rPh sb="0" eb="2">
      <t>ケイエイ</t>
    </rPh>
    <rPh sb="2" eb="4">
      <t>スイシン</t>
    </rPh>
    <phoneticPr fontId="23"/>
  </si>
  <si>
    <t>Business Management Section</t>
  </si>
  <si>
    <t>財務部門</t>
    <rPh sb="0" eb="4">
      <t>ザイムブモン</t>
    </rPh>
    <phoneticPr fontId="11"/>
  </si>
  <si>
    <t>Accounting and Finance Section</t>
    <phoneticPr fontId="11"/>
  </si>
  <si>
    <t>経営戦略部門</t>
    <rPh sb="0" eb="2">
      <t>ケイエイ</t>
    </rPh>
    <rPh sb="2" eb="4">
      <t>センリャク</t>
    </rPh>
    <rPh sb="4" eb="6">
      <t>ブモン</t>
    </rPh>
    <phoneticPr fontId="11"/>
  </si>
  <si>
    <t>関連企業推進部門</t>
  </si>
  <si>
    <t>Affiliated Companies Management Section</t>
  </si>
  <si>
    <t>コーポレート・コミュニケーション部門</t>
    <rPh sb="16" eb="17">
      <t>ブ</t>
    </rPh>
    <rPh sb="17" eb="18">
      <t>モン</t>
    </rPh>
    <phoneticPr fontId="23"/>
  </si>
  <si>
    <t>経ＣＣ</t>
  </si>
  <si>
    <t>Corporate Communications Section</t>
  </si>
  <si>
    <t>ＣＳ推進部門</t>
    <rPh sb="4" eb="6">
      <t>ブモン</t>
    </rPh>
    <phoneticPr fontId="23"/>
  </si>
  <si>
    <t>Customer Satisfaction Section</t>
  </si>
  <si>
    <t>技術輸出管理室</t>
    <phoneticPr fontId="11"/>
  </si>
  <si>
    <t>Technology Export Administration Office</t>
    <phoneticPr fontId="11"/>
  </si>
  <si>
    <t>知的財産推進室</t>
    <rPh sb="0" eb="4">
      <t>チテキザイサン</t>
    </rPh>
    <rPh sb="4" eb="7">
      <t>スイシンシツ</t>
    </rPh>
    <phoneticPr fontId="11"/>
  </si>
  <si>
    <t>Intellectual Property Office</t>
    <phoneticPr fontId="11"/>
  </si>
  <si>
    <t>総務部</t>
    <rPh sb="0" eb="2">
      <t>ソウム</t>
    </rPh>
    <rPh sb="2" eb="3">
      <t>ブ</t>
    </rPh>
    <phoneticPr fontId="11"/>
  </si>
  <si>
    <t>総務部</t>
  </si>
  <si>
    <t>General Affairs Department</t>
    <phoneticPr fontId="11"/>
  </si>
  <si>
    <t>総務部門</t>
    <rPh sb="0" eb="2">
      <t>ソウム</t>
    </rPh>
    <rPh sb="2" eb="4">
      <t>ブモン</t>
    </rPh>
    <phoneticPr fontId="23"/>
  </si>
  <si>
    <t>General Affairs Section</t>
    <phoneticPr fontId="11"/>
  </si>
  <si>
    <t>法務部門</t>
  </si>
  <si>
    <t>Legal Affairs Section</t>
    <phoneticPr fontId="11"/>
  </si>
  <si>
    <t>人権啓発室</t>
  </si>
  <si>
    <t>Human Rights Awareness Office</t>
  </si>
  <si>
    <t>企業倫理推進室</t>
  </si>
  <si>
    <t>Business Ethics Office</t>
    <phoneticPr fontId="11"/>
  </si>
  <si>
    <t>人事部</t>
    <phoneticPr fontId="11"/>
  </si>
  <si>
    <t>Human Resources Department</t>
  </si>
  <si>
    <t>タレントマネジメント推進室</t>
    <rPh sb="10" eb="12">
      <t>スイシン</t>
    </rPh>
    <rPh sb="12" eb="13">
      <t>シツ</t>
    </rPh>
    <phoneticPr fontId="11"/>
  </si>
  <si>
    <t>Talent Management Office</t>
    <phoneticPr fontId="11"/>
  </si>
  <si>
    <t>考査部</t>
    <rPh sb="0" eb="2">
      <t>コウサ</t>
    </rPh>
    <rPh sb="2" eb="3">
      <t>ブ</t>
    </rPh>
    <phoneticPr fontId="11"/>
  </si>
  <si>
    <t>考査部</t>
  </si>
  <si>
    <t>Internal Audit Department</t>
  </si>
  <si>
    <t>監査役室</t>
    <rPh sb="0" eb="3">
      <t>カンサヤク</t>
    </rPh>
    <rPh sb="3" eb="4">
      <t>シツ</t>
    </rPh>
    <phoneticPr fontId="11"/>
  </si>
  <si>
    <t>監査室</t>
  </si>
  <si>
    <t>Auditors Office</t>
    <phoneticPr fontId="11"/>
  </si>
  <si>
    <t>組織</t>
  </si>
  <si>
    <t>年間登録</t>
  </si>
  <si>
    <t>個別</t>
  </si>
  <si>
    <t>現登録</t>
  </si>
  <si>
    <t>合計</t>
  </si>
  <si>
    <t>カラムの指定⇒</t>
    <rPh sb="4" eb="6">
      <t>シテイ</t>
    </rPh>
    <phoneticPr fontId="29"/>
  </si>
  <si>
    <t>件名</t>
    <rPh sb="0" eb="2">
      <t>ケンメイ</t>
    </rPh>
    <phoneticPr fontId="29"/>
  </si>
  <si>
    <t>仕向地</t>
    <rPh sb="0" eb="3">
      <t>シムケチ</t>
    </rPh>
    <phoneticPr fontId="29"/>
  </si>
  <si>
    <t>顧客・契約先</t>
    <rPh sb="0" eb="2">
      <t>コキャク</t>
    </rPh>
    <rPh sb="3" eb="6">
      <t>ケイヤクサキ</t>
    </rPh>
    <phoneticPr fontId="29"/>
  </si>
  <si>
    <t>最終需要者</t>
    <rPh sb="0" eb="2">
      <t>サイシュウ</t>
    </rPh>
    <rPh sb="2" eb="4">
      <t>ジュヨウ</t>
    </rPh>
    <rPh sb="4" eb="5">
      <t>シャ</t>
    </rPh>
    <phoneticPr fontId="29"/>
  </si>
  <si>
    <t>申請者所属</t>
    <phoneticPr fontId="29"/>
  </si>
  <si>
    <t>金額_円</t>
    <rPh sb="0" eb="2">
      <t>キンガク</t>
    </rPh>
    <rPh sb="3" eb="4">
      <t>エン</t>
    </rPh>
    <phoneticPr fontId="29"/>
  </si>
  <si>
    <t>特一包括</t>
    <rPh sb="0" eb="2">
      <t>トクイチ</t>
    </rPh>
    <rPh sb="2" eb="4">
      <t>ホウカツ</t>
    </rPh>
    <phoneticPr fontId="6"/>
  </si>
  <si>
    <t>品名</t>
    <rPh sb="0" eb="2">
      <t>ヒンメイ</t>
    </rPh>
    <phoneticPr fontId="29"/>
  </si>
  <si>
    <t>顧客</t>
    <rPh sb="0" eb="2">
      <t>コキャク</t>
    </rPh>
    <phoneticPr fontId="29"/>
  </si>
  <si>
    <t>需要者</t>
    <rPh sb="0" eb="3">
      <t>ジュヨウシャ</t>
    </rPh>
    <phoneticPr fontId="29"/>
  </si>
  <si>
    <t>本部</t>
    <rPh sb="0" eb="2">
      <t>ホンブ</t>
    </rPh>
    <phoneticPr fontId="29"/>
  </si>
  <si>
    <t>金額（千円）</t>
    <rPh sb="0" eb="2">
      <t>キンガク</t>
    </rPh>
    <rPh sb="3" eb="5">
      <t>センエン</t>
    </rPh>
    <phoneticPr fontId="29"/>
  </si>
  <si>
    <t>（BU）</t>
    <phoneticPr fontId="29"/>
  </si>
  <si>
    <t>（金額：円）</t>
    <rPh sb="1" eb="3">
      <t>キンガク</t>
    </rPh>
    <rPh sb="4" eb="5">
      <t>エン</t>
    </rPh>
    <phoneticPr fontId="29"/>
  </si>
  <si>
    <t>少額特例</t>
    <rPh sb="0" eb="2">
      <t>ショウガク</t>
    </rPh>
    <rPh sb="2" eb="4">
      <t>トクレイ</t>
    </rPh>
    <phoneticPr fontId="6"/>
  </si>
  <si>
    <t>公知特例</t>
    <rPh sb="0" eb="2">
      <t>コウチ</t>
    </rPh>
    <rPh sb="2" eb="4">
      <t>トクレイ</t>
    </rPh>
    <phoneticPr fontId="29"/>
  </si>
  <si>
    <t>申請相談</t>
    <rPh sb="0" eb="2">
      <t>シンセイ</t>
    </rPh>
    <rPh sb="2" eb="4">
      <t>ソウダン</t>
    </rPh>
    <phoneticPr fontId="6"/>
  </si>
  <si>
    <t>セルの固定色の扱いができていないのでここに値が入ってこない。これでいいのか？</t>
    <rPh sb="3" eb="5">
      <t>コテイ</t>
    </rPh>
    <rPh sb="5" eb="6">
      <t>ショク</t>
    </rPh>
    <rPh sb="7" eb="8">
      <t>アツカ</t>
    </rPh>
    <rPh sb="21" eb="22">
      <t>アタイ</t>
    </rPh>
    <rPh sb="23" eb="24">
      <t>ハイ</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</si>
</sst>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Red]&quot;¥&quot;\-#,##0"/>
    <numFmt numFmtId="176" formatCode="0\ &quot;件&quot;"/>
    <numFmt numFmtId="177" formatCode="[$¥-411]#,##0;[$¥-411]#,##0"/>
  </numFmts>
  <fonts count="33">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b/>
      <sz val="11"/>
      <color rgb="FFFF0000"/>
      <name val="ＭＳ ゴシック"/>
      <family val="3"/>
      <charset val="128"/>
    </font>
    <font>
      <sz val="6"/>
      <name val="ＭＳ Ｐゴシック"/>
      <family val="3"/>
      <charset val="128"/>
    </font>
    <font>
      <sz val="11"/>
      <color rgb="FFFF0000"/>
      <name val="ＭＳ ゴシック"/>
      <family val="3"/>
      <charset val="128"/>
    </font>
    <font>
      <u/>
      <sz val="11"/>
      <color rgb="FFFF0000"/>
      <name val="ＭＳ 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b/>
      <sz val="16"/>
      <color rgb="FF000000"/>
      <name val="メイリオ"/>
      <family val="3"/>
      <charset val="128"/>
    </font>
    <font>
      <sz val="11"/>
      <color rgb="FF000000"/>
      <name val="メイリオ"/>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s>
  <fills count="17">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s>
  <borders count="65">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ck">
        <color rgb="FF000000"/>
      </left>
      <right style="thick">
        <color rgb="FF000000"/>
      </right>
      <top style="thick">
        <color rgb="FF000000"/>
      </top>
      <bottom/>
      <diagonal/>
    </border>
    <border>
      <left style="thick">
        <color rgb="FF000000"/>
      </left>
      <right style="thick">
        <color rgb="FF000000"/>
      </right>
      <top/>
      <bottom style="thick">
        <color rgb="FF000000"/>
      </bottom>
      <diagonal/>
    </border>
    <border>
      <left style="thick">
        <color rgb="FF000000"/>
      </left>
      <right style="thick">
        <color rgb="FF000000"/>
      </right>
      <top/>
      <bottom style="medium">
        <color rgb="FF000000"/>
      </bottom>
      <diagonal/>
    </border>
    <border>
      <left style="thick">
        <color rgb="FF000000"/>
      </left>
      <right style="thick">
        <color rgb="FF000000"/>
      </right>
      <top style="thick">
        <color rgb="FF000000"/>
      </top>
      <bottom style="thin">
        <color rgb="FF000000"/>
      </bottom>
      <diagonal/>
    </border>
    <border>
      <left style="thick">
        <color rgb="FF000000"/>
      </left>
      <right style="thick">
        <color rgb="FF000000"/>
      </right>
      <top style="medium">
        <color rgb="FF000000"/>
      </top>
      <bottom style="thin">
        <color rgb="FF000000"/>
      </bottom>
      <diagonal/>
    </border>
    <border>
      <left style="thick">
        <color rgb="FF000000"/>
      </left>
      <right style="thick">
        <color rgb="FF000000"/>
      </right>
      <top style="thin">
        <color rgb="FF000000"/>
      </top>
      <bottom style="thin">
        <color rgb="FF000000"/>
      </bottom>
      <diagonal/>
    </border>
    <border>
      <left style="thick">
        <color rgb="FF000000"/>
      </left>
      <right style="thick">
        <color rgb="FF000000"/>
      </right>
      <top style="thin">
        <color rgb="FF000000"/>
      </top>
      <bottom style="thick">
        <color rgb="FF000000"/>
      </bottom>
      <diagonal/>
    </border>
  </borders>
  <cellStyleXfs count="5">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7" fillId="0" borderId="0">
      <alignment vertical="center"/>
    </xf>
    <xf numFmtId="38" fontId="27" fillId="0" borderId="0" applyFont="0" applyFill="0" applyBorder="0" applyAlignment="0" applyProtection="0">
      <alignment vertical="center"/>
    </xf>
  </cellStyleXfs>
  <cellXfs count="167">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0" fillId="7" borderId="4" xfId="0"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12" fillId="0" borderId="2"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7" fillId="13" borderId="26" xfId="0" applyFont="1" applyFill="1" applyBorder="1" applyAlignment="1" applyProtection="1"/>
    <xf numFmtId="177" fontId="19" fillId="0" borderId="27" xfId="0" applyNumberFormat="1" applyFont="1" applyBorder="1" applyAlignment="1" applyProtection="1">
      <protection locked="0"/>
    </xf>
    <xf numFmtId="0" fontId="19" fillId="0" borderId="27" xfId="0" applyFont="1" applyBorder="1" applyAlignment="1" applyProtection="1">
      <protection locked="0"/>
    </xf>
    <xf numFmtId="0" fontId="0" fillId="0" borderId="28" xfId="0" applyBorder="1">
      <alignment vertical="center"/>
    </xf>
    <xf numFmtId="177" fontId="19" fillId="0" borderId="27" xfId="1" applyNumberFormat="1" applyFont="1" applyBorder="1" applyAlignment="1" applyProtection="1">
      <protection locked="0"/>
    </xf>
    <xf numFmtId="0" fontId="17" fillId="11" borderId="27" xfId="0" applyFont="1" applyFill="1" applyBorder="1" applyAlignment="1" applyProtection="1"/>
    <xf numFmtId="14" fontId="17" fillId="0" borderId="29" xfId="0" applyNumberFormat="1" applyFont="1" applyFill="1" applyBorder="1" applyAlignment="1" applyProtection="1">
      <alignment horizontal="left"/>
      <protection locked="0"/>
    </xf>
    <xf numFmtId="0" fontId="0" fillId="0" borderId="30" xfId="0" applyBorder="1">
      <alignment vertical="center"/>
    </xf>
    <xf numFmtId="14" fontId="17"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20" fillId="0" borderId="0" xfId="2" applyFont="1">
      <alignment vertical="center"/>
    </xf>
    <xf numFmtId="0" fontId="21" fillId="0" borderId="0" xfId="2" applyFont="1" applyAlignment="1">
      <alignment horizontal="right" vertical="center"/>
    </xf>
    <xf numFmtId="0" fontId="20" fillId="6" borderId="0" xfId="2" applyFont="1" applyFill="1">
      <alignment vertical="center"/>
    </xf>
    <xf numFmtId="0" fontId="22" fillId="0" borderId="0" xfId="2" applyFont="1">
      <alignment vertical="center"/>
    </xf>
    <xf numFmtId="0" fontId="20" fillId="0" borderId="0" xfId="2" applyFont="1" applyAlignment="1">
      <alignment horizontal="right" vertical="center"/>
    </xf>
    <xf numFmtId="31" fontId="21"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20" fillId="6" borderId="0" xfId="2" applyFont="1" applyFill="1" applyAlignment="1">
      <alignment vertical="top"/>
    </xf>
    <xf numFmtId="0" fontId="20"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21" fillId="0" borderId="2" xfId="2" applyFont="1" applyFill="1" applyBorder="1" applyAlignment="1">
      <alignment vertical="top"/>
    </xf>
    <xf numFmtId="0" fontId="9" fillId="0" borderId="49" xfId="2" applyFont="1" applyFill="1" applyBorder="1" applyAlignment="1">
      <alignment vertical="top"/>
    </xf>
    <xf numFmtId="0" fontId="21"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5" fillId="0" borderId="58" xfId="0" applyFont="1" applyBorder="1" applyAlignment="1">
      <alignment horizontal="center" vertical="center" wrapText="1" readingOrder="1"/>
    </xf>
    <xf numFmtId="0" fontId="25" fillId="0" borderId="59" xfId="0" applyFont="1" applyBorder="1" applyAlignment="1">
      <alignment horizontal="center" vertical="center" wrapText="1" readingOrder="1"/>
    </xf>
    <xf numFmtId="0" fontId="25" fillId="0" borderId="60" xfId="0" applyFont="1" applyBorder="1" applyAlignment="1">
      <alignment horizontal="center" vertical="center" wrapText="1" readingOrder="1"/>
    </xf>
    <xf numFmtId="0" fontId="26" fillId="0" borderId="61" xfId="0" applyFont="1" applyBorder="1" applyAlignment="1">
      <alignment horizontal="left" vertical="center" wrapText="1" readingOrder="1"/>
    </xf>
    <xf numFmtId="0" fontId="26" fillId="0" borderId="61" xfId="0" applyFont="1" applyBorder="1" applyAlignment="1">
      <alignment horizontal="right" vertical="center" wrapText="1" readingOrder="1"/>
    </xf>
    <xf numFmtId="0" fontId="26" fillId="0" borderId="62" xfId="0" applyFont="1" applyBorder="1" applyAlignment="1">
      <alignment horizontal="right" vertical="center" wrapText="1" readingOrder="1"/>
    </xf>
    <xf numFmtId="0" fontId="26" fillId="0" borderId="63" xfId="0" applyFont="1" applyBorder="1" applyAlignment="1">
      <alignment horizontal="left" vertical="center" wrapText="1" readingOrder="1"/>
    </xf>
    <xf numFmtId="0" fontId="26" fillId="0" borderId="63" xfId="0" applyFont="1" applyBorder="1" applyAlignment="1">
      <alignment horizontal="right" vertical="center" wrapText="1" readingOrder="1"/>
    </xf>
    <xf numFmtId="0" fontId="25" fillId="0" borderId="64" xfId="0" applyFont="1" applyBorder="1" applyAlignment="1">
      <alignment horizontal="center" vertical="center" wrapText="1" readingOrder="1"/>
    </xf>
    <xf numFmtId="0" fontId="27" fillId="0" borderId="0" xfId="3">
      <alignment vertical="center"/>
    </xf>
    <xf numFmtId="0" fontId="28" fillId="2" borderId="0" xfId="3" applyFont="1" applyFill="1">
      <alignment vertical="center"/>
    </xf>
    <xf numFmtId="0" fontId="30" fillId="2" borderId="0" xfId="3" applyFont="1" applyFill="1">
      <alignment vertical="center"/>
    </xf>
    <xf numFmtId="0" fontId="31" fillId="2" borderId="0" xfId="3" applyFont="1" applyFill="1">
      <alignment vertical="center"/>
    </xf>
    <xf numFmtId="0" fontId="27" fillId="0" borderId="0" xfId="3" applyFill="1">
      <alignment vertical="center"/>
    </xf>
    <xf numFmtId="0" fontId="28" fillId="0" borderId="0" xfId="3" applyFont="1" applyFill="1">
      <alignment vertical="center"/>
    </xf>
    <xf numFmtId="0" fontId="30" fillId="0" borderId="0" xfId="3" applyFont="1" applyFill="1">
      <alignment vertical="center"/>
    </xf>
    <xf numFmtId="0" fontId="4" fillId="0" borderId="0" xfId="0" applyFont="1" applyFill="1" applyAlignment="1">
      <alignment horizontal="center" vertical="center"/>
    </xf>
    <xf numFmtId="0" fontId="31" fillId="0" borderId="0" xfId="3" applyFont="1" applyFill="1">
      <alignment vertical="center"/>
    </xf>
    <xf numFmtId="0" fontId="27" fillId="16" borderId="0" xfId="3" applyFill="1">
      <alignment vertical="center"/>
    </xf>
    <xf numFmtId="0" fontId="27" fillId="12" borderId="2" xfId="3" applyFill="1" applyBorder="1">
      <alignment vertical="center"/>
    </xf>
    <xf numFmtId="38" fontId="0" fillId="12" borderId="0" xfId="4" applyFont="1" applyFill="1">
      <alignment vertical="center"/>
    </xf>
    <xf numFmtId="0" fontId="32" fillId="12" borderId="2" xfId="3" applyFont="1" applyFill="1" applyBorder="1">
      <alignment vertical="center"/>
    </xf>
    <xf numFmtId="0" fontId="0" fillId="0" borderId="16" xfId="0" applyBorder="1" applyAlignment="1">
      <alignment horizontal="left" vertical="center"/>
    </xf>
    <xf numFmtId="0" fontId="0" fillId="0" borderId="0" xfId="0" applyBorder="1" applyAlignment="1">
      <alignment horizontal="left" vertical="center"/>
    </xf>
    <xf numFmtId="0" fontId="0" fillId="0" borderId="20" xfId="0" applyBorder="1" applyAlignment="1">
      <alignment horizontal="left" vertical="center"/>
    </xf>
    <xf numFmtId="0" fontId="0" fillId="0" borderId="18"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25" fillId="0" borderId="58" xfId="0" applyFont="1" applyBorder="1" applyAlignment="1">
      <alignment horizontal="center" vertical="center" wrapText="1" readingOrder="1"/>
    </xf>
    <xf numFmtId="0" fontId="25" fillId="0" borderId="59" xfId="0" applyFont="1" applyBorder="1" applyAlignment="1">
      <alignment horizontal="center" vertical="center" wrapText="1" readingOrder="1"/>
    </xf>
  </cellXfs>
  <cellStyles count="5">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s>
  <dxfs count="28">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oneCellAnchor>
    <xdr:from>
      <xdr:col>4</xdr:col>
      <xdr:colOff>123825</xdr:colOff>
      <xdr:row>18</xdr:row>
      <xdr:rowOff>104775</xdr:rowOff>
    </xdr:from>
    <xdr:ext cx="990599" cy="496700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2752725" y="4400550"/>
          <a:ext cx="990599" cy="496700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申請者所属をそのままコピーしてくる。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B:G</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F</a:t>
          </a:r>
          <a:r>
            <a:rPr kumimoji="1" lang="ja-JP" altLang="en-US" sz="1100">
              <a:solidFill>
                <a:srgbClr val="FF0000"/>
              </a:solidFill>
            </a:rPr>
            <a:t>列）</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2733825"/>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153900" y="3248025"/>
          <a:ext cx="952500" cy="2733825"/>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登場回数計数のうえ実績連結。</a:t>
          </a:r>
          <a:endParaRPr kumimoji="1" lang="en-US" altLang="ja-JP" sz="1100">
            <a:solidFill>
              <a:srgbClr val="FF0000"/>
            </a:solidFill>
          </a:endParaRPr>
        </a:p>
        <a:p>
          <a:r>
            <a:rPr kumimoji="1" lang="en-US" altLang="ja-JP" sz="1100">
              <a:solidFill>
                <a:srgbClr val="FF0000"/>
              </a:solidFill>
            </a:rPr>
            <a:t>W</a:t>
          </a:r>
          <a:r>
            <a:rPr kumimoji="1" lang="ja-JP" altLang="en-US" sz="1100">
              <a:solidFill>
                <a:srgbClr val="FF0000"/>
              </a:solidFill>
            </a:rPr>
            <a:t>列は自動集計。</a:t>
          </a:r>
        </a:p>
      </xdr:txBody>
    </xdr:sp>
    <xdr:clientData/>
  </xdr:oneCellAnchor>
  <xdr:oneCellAnchor>
    <xdr:from>
      <xdr:col>26</xdr:col>
      <xdr:colOff>114300</xdr:colOff>
      <xdr:row>2</xdr:row>
      <xdr:rowOff>38100</xdr:rowOff>
    </xdr:from>
    <xdr:ext cx="952500" cy="8808309"/>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202275" y="514350"/>
          <a:ext cx="952500" cy="8808309"/>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列を並べ替える。空白セルがあってもよい。</a:t>
          </a:r>
          <a:r>
            <a:rPr kumimoji="1" lang="en-US" altLang="ja-JP" sz="1100">
              <a:solidFill>
                <a:srgbClr val="FF0000"/>
              </a:solidFill>
            </a:rPr>
            <a:t>Z</a:t>
          </a:r>
          <a:r>
            <a:rPr kumimoji="1" lang="ja-JP" altLang="en-US" sz="1100">
              <a:solidFill>
                <a:srgbClr val="FF0000"/>
              </a:solidFill>
            </a:rPr>
            <a:t>列に名寄せの和を作る。</a:t>
          </a:r>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列に</a:t>
          </a:r>
          <a:r>
            <a:rPr kumimoji="1" lang="en-US" altLang="ja-JP" sz="1100">
              <a:solidFill>
                <a:srgbClr val="FF0000"/>
              </a:solidFill>
            </a:rPr>
            <a:t>1</a:t>
          </a:r>
          <a:r>
            <a:rPr kumimoji="1" lang="ja-JP" altLang="en-US" sz="1100">
              <a:solidFill>
                <a:srgbClr val="FF0000"/>
              </a:solidFill>
            </a:rPr>
            <a:t>～６位などで取り上げるものを数字</a:t>
          </a:r>
          <a:r>
            <a:rPr kumimoji="1" lang="en-US" altLang="ja-JP" sz="1100">
              <a:solidFill>
                <a:srgbClr val="FF0000"/>
              </a:solidFill>
            </a:rPr>
            <a:t>1</a:t>
          </a:r>
          <a:r>
            <a:rPr kumimoji="1" lang="ja-JP" altLang="en-US" sz="1100">
              <a:solidFill>
                <a:srgbClr val="FF0000"/>
              </a:solidFill>
            </a:rPr>
            <a:t>からたとえば</a:t>
          </a:r>
          <a:r>
            <a:rPr kumimoji="1" lang="en-US" altLang="ja-JP" sz="1100">
              <a:solidFill>
                <a:srgbClr val="FF0000"/>
              </a:solidFill>
            </a:rPr>
            <a:t>6</a:t>
          </a:r>
          <a:r>
            <a:rPr kumimoji="1" lang="ja-JP" altLang="en-US" sz="1100">
              <a:solidFill>
                <a:srgbClr val="FF0000"/>
              </a:solidFill>
            </a:rPr>
            <a:t>までで入力。</a:t>
          </a:r>
          <a:endParaRPr kumimoji="1" lang="en-US" altLang="ja-JP" sz="1100">
            <a:solidFill>
              <a:srgbClr val="FF0000"/>
            </a:solidFill>
          </a:endParaRPr>
        </a:p>
        <a:p>
          <a:r>
            <a:rPr kumimoji="1" lang="en-US" altLang="ja-JP" sz="1100">
              <a:solidFill>
                <a:srgbClr val="FF0000"/>
              </a:solidFill>
            </a:rPr>
            <a:t>AH:AI</a:t>
          </a:r>
          <a:r>
            <a:rPr kumimoji="1" lang="ja-JP" altLang="en-US" sz="1100">
              <a:solidFill>
                <a:srgbClr val="FF0000"/>
              </a:solidFill>
            </a:rPr>
            <a:t>列に国名と審査件数が自動で抽出される。</a:t>
          </a:r>
        </a:p>
      </xdr:txBody>
    </xdr:sp>
    <xdr:clientData/>
  </xdr:oneCellAnchor>
  <xdr:oneCellAnchor>
    <xdr:from>
      <xdr:col>32</xdr:col>
      <xdr:colOff>19050</xdr:colOff>
      <xdr:row>9</xdr:row>
      <xdr:rowOff>152400</xdr:rowOff>
    </xdr:from>
    <xdr:ext cx="952500" cy="1681101"/>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012400" y="2295525"/>
          <a:ext cx="952500" cy="168110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自動の順序付け（同順位もあるので）をもとに手作業で順位づけ</a:t>
          </a:r>
        </a:p>
      </xdr:txBody>
    </xdr:sp>
    <xdr:clientData/>
  </xdr:oneCellAnchor>
  <xdr:oneCellAnchor>
    <xdr:from>
      <xdr:col>45</xdr:col>
      <xdr:colOff>0</xdr:colOff>
      <xdr:row>3</xdr:row>
      <xdr:rowOff>0</xdr:rowOff>
    </xdr:from>
    <xdr:ext cx="952500" cy="1208921"/>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461325" y="714375"/>
          <a:ext cx="952500" cy="12089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9525</xdr:colOff>
      <xdr:row>3</xdr:row>
      <xdr:rowOff>0</xdr:rowOff>
    </xdr:from>
    <xdr:ext cx="952500" cy="736740"/>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5823525" y="714375"/>
          <a:ext cx="952500" cy="73674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件数を表に記載</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7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P196" workbookViewId="0">
      <selection activeCell="T199" sqref="T199"/>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199" sqref="T199"/>
    </sheetView>
  </sheetViews>
  <sheetFormatPr defaultRowHeight="18.75"/>
  <cols>
    <col min="1" max="1" width="13"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2" width="7.375" style="12" bestFit="1" customWidth="1"/>
    <col min="33"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3" t="s">
        <v>1063</v>
      </c>
      <c r="AG1" s="6" t="s">
        <v>1066</v>
      </c>
      <c r="AH1" s="5" t="s">
        <v>1065</v>
      </c>
      <c r="AI1" s="5" t="s">
        <v>1065</v>
      </c>
      <c r="AK1" s="3" t="s">
        <v>1063</v>
      </c>
      <c r="AL1" s="5" t="s">
        <v>1065</v>
      </c>
      <c r="AM1" s="5" t="s">
        <v>1065</v>
      </c>
      <c r="AN1" s="5" t="s">
        <v>1065</v>
      </c>
      <c r="AO1" s="5" t="s">
        <v>1065</v>
      </c>
      <c r="AP1" s="5" t="s">
        <v>1065</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65" ca="1" si="1">IF(E2="","",IFERROR(LOOKUP(1,0/(AK:AK=E2),AP:AP),"旧 "&amp;E2))</f>
        <v>旧 ＧＢ光</v>
      </c>
      <c r="G2" s="8" t="str">
        <f>IF(ISBLANK(E2),"",IF(COUNTIF(AK:AK,"="&amp;E2)&gt;0,"",MAX(G$1:G1)+1))</f>
        <v/>
      </c>
      <c r="H2" s="8">
        <f>IF(E2="","",COUNTIF(B:B,E2))</f>
        <v>25</v>
      </c>
      <c r="S2" t="s">
        <v>27</v>
      </c>
      <c r="T2" s="9" t="s">
        <v>27</v>
      </c>
      <c r="U2" s="10">
        <f t="shared" ref="U2:U25" si="2">IF(ISBLANK(T2),"",COUNTIF(S:S,T2))</f>
        <v>52</v>
      </c>
      <c r="V2" s="10">
        <f>IF(OR(U2="",U2=0),"",COUNTIF(U$2:U2,"&gt;0"))</f>
        <v>1</v>
      </c>
      <c r="W2" s="10" t="str">
        <f>IFERROR(LOOKUP(1,0/(V:V=ROW()-ROW(V$1)),T:T),"")</f>
        <v>販売</v>
      </c>
      <c r="X2" s="10">
        <f>IFERROR(LOOKUP(1,0/(V:V=ROW()-ROW(V$1)),U:U),"")</f>
        <v>52</v>
      </c>
      <c r="Z2" t="s">
        <v>68</v>
      </c>
      <c r="AB2" s="11" t="s">
        <v>68</v>
      </c>
      <c r="AC2" s="8">
        <f>IF(ISBLANK(AB2),"",COUNTIF(Z:Z,AB2))</f>
        <v>29</v>
      </c>
      <c r="AD2" s="12">
        <f t="shared" ref="AD2:AD11" si="3">SUM(AC2)</f>
        <v>29</v>
      </c>
      <c r="AE2" s="8">
        <f t="shared" ref="AE2:AE65" si="4">IF(ISBLANK(AD2),"",RANK(AD2,AD$2:AD$30,0))</f>
        <v>1</v>
      </c>
      <c r="AF2" s="12">
        <v>1</v>
      </c>
      <c r="AK2" s="13" t="s">
        <v>1068</v>
      </c>
      <c r="AL2" s="14" t="e">
        <f ca="1">IF(セルの固定色(AK2)=セルの固定色(AK$2),1,"")</f>
        <v>#NAME?</v>
      </c>
      <c r="AM2" s="14" t="e">
        <f ca="1">IF(OR(ISBLANK(AL2),AL2=""),"",COUNTIF(AL$2:AL2,"&gt;0"))</f>
        <v>#NAME?</v>
      </c>
      <c r="AN2" s="14" t="str">
        <f t="shared" ref="AN2:AN40" ca="1" si="5">IFERROR(LOOKUP(1,0/(AM:AM=ROW()-ROW(AN$1)),AK:AK),IFERROR(LOOKUP(1,0/(G:G=AO2),F:F),""))</f>
        <v/>
      </c>
      <c r="AO2" s="14" t="e">
        <f ca="1">-(MAX(AM:AM)-ROW()+ROW(AO$2)-1)</f>
        <v>#NAME?</v>
      </c>
      <c r="AP2" s="14" t="e">
        <f ca="1">IF(ISBLANK(AK2),"",LOOKUP(1,0/(AM$2:AM2=MAX(AM$2:AM2)),AK$2:AK2))</f>
        <v>#NAME?</v>
      </c>
      <c r="AR2" t="s">
        <v>689</v>
      </c>
      <c r="AS2" t="s">
        <v>700</v>
      </c>
      <c r="AU2" t="s">
        <v>955</v>
      </c>
    </row>
    <row r="3" spans="1:47">
      <c r="A3" s="15">
        <v>44013</v>
      </c>
      <c r="B3" t="s">
        <v>90</v>
      </c>
      <c r="C3" s="8" t="b">
        <f>IF(B3="","",COUNTIF(B$1:B2,B3)=0)</f>
        <v>1</v>
      </c>
      <c r="D3" s="8">
        <f>IF(B3="","",IF(C3,COUNTIF(C$2:C3,TRUE),""))</f>
        <v>2</v>
      </c>
      <c r="E3" s="8" t="str">
        <f t="shared" si="0"/>
        <v>ＧＢＥ</v>
      </c>
      <c r="F3" s="8" t="str">
        <f t="shared" ca="1" si="1"/>
        <v>旧 ＧＢＥ</v>
      </c>
      <c r="G3" s="8" t="str">
        <f>IF(ISBLANK(E3),"",IF(COUNTIF(AK:AK,"="&amp;E3)&gt;0,"",MAX(G$1:G2)+1))</f>
        <v/>
      </c>
      <c r="H3" s="8">
        <f>IF(E3="","",COUNTIF(B:B,E3))</f>
        <v>2</v>
      </c>
      <c r="J3" s="16" t="s">
        <v>1069</v>
      </c>
      <c r="K3" s="16" t="s">
        <v>1070</v>
      </c>
      <c r="L3" s="17" t="s">
        <v>1071</v>
      </c>
      <c r="M3" s="16" t="s">
        <v>1072</v>
      </c>
      <c r="N3" s="16" t="s">
        <v>1073</v>
      </c>
      <c r="P3" s="16" t="s">
        <v>1070</v>
      </c>
      <c r="Q3" s="16" t="s">
        <v>1071</v>
      </c>
      <c r="S3" t="s">
        <v>87</v>
      </c>
      <c r="T3" s="9" t="s">
        <v>54</v>
      </c>
      <c r="U3" s="10">
        <f t="shared" si="2"/>
        <v>28</v>
      </c>
      <c r="V3" s="10">
        <f>IF(OR(U3="",U3=0),"",COUNTIF(U$2:U3,"&gt;0"))</f>
        <v>2</v>
      </c>
      <c r="W3" s="10" t="str">
        <f t="shared" ref="W3:W25" si="6">IFERROR(LOOKUP(1,0/(V:V=ROW()-ROW(V$1)),T:T),"")</f>
        <v>無償提供</v>
      </c>
      <c r="X3" s="10">
        <f t="shared" ref="X3:X25" si="7">IFERROR(LOOKUP(1,0/(V:V=ROW()-ROW(V$1)),U:U),"")</f>
        <v>28</v>
      </c>
      <c r="Z3" t="s">
        <v>68</v>
      </c>
      <c r="AB3" s="18" t="s">
        <v>37</v>
      </c>
      <c r="AC3" s="8">
        <f t="shared" ref="AC3:AC66" si="8">IF(ISBLANK(AB3),"",COUNTIF(Z:Z,AB3))</f>
        <v>13</v>
      </c>
      <c r="AE3" s="8" t="str">
        <f t="shared" si="4"/>
        <v/>
      </c>
      <c r="AG3" s="12">
        <v>1</v>
      </c>
      <c r="AH3" s="8" t="str">
        <f>LOOKUP(1,0/(AF$2:AF$30=AG3),AB$2:AB$30)</f>
        <v>米国</v>
      </c>
      <c r="AI3" s="8">
        <f>LOOKUP(1,0/(AF$2:AF$30=AG3),AD$2:AD$30)</f>
        <v>29</v>
      </c>
      <c r="AK3" s="19" t="s">
        <v>1074</v>
      </c>
      <c r="AL3" s="14" t="e">
        <f ca="1">IF(セルの固定色(AK3)=セルの固定色(AK$2),1,"")</f>
        <v>#NAME?</v>
      </c>
      <c r="AM3" s="14" t="e">
        <f ca="1">IF(OR(ISBLANK(AL3),AL3=""),"",COUNTIF(AL$2:AL3,"&gt;0"))</f>
        <v>#NAME?</v>
      </c>
      <c r="AN3" s="14" t="str">
        <f t="shared" ca="1" si="5"/>
        <v/>
      </c>
      <c r="AO3" s="14" t="e">
        <f t="shared" ref="AO3:AO40" ca="1" si="9">-(MAX(AM:AM)-ROW()+ROW(AO$2)-1)</f>
        <v>#NAME?</v>
      </c>
      <c r="AP3" s="14" t="e">
        <f ca="1">IF(ISBLANK(AK3),"",LOOKUP(1,0/(AM$2:AM3=MAX(AM$2:AM3)),AK$2:AK3))</f>
        <v>#N/A</v>
      </c>
      <c r="AR3" t="s">
        <v>692</v>
      </c>
      <c r="AS3" t="s">
        <v>713</v>
      </c>
    </row>
    <row r="4" spans="1:47">
      <c r="A4" s="7" t="s">
        <v>1075</v>
      </c>
      <c r="B4" t="s">
        <v>47</v>
      </c>
      <c r="C4" s="8" t="b">
        <f>IF(B4="","",COUNTIF(B$1:B3,B4)=0)</f>
        <v>1</v>
      </c>
      <c r="D4" s="8">
        <f>IF(B4="","",IF(C4,COUNTIF(C$2:C4,TRUE),""))</f>
        <v>3</v>
      </c>
      <c r="E4" s="8" t="str">
        <f t="shared" si="0"/>
        <v>ＧＢ営</v>
      </c>
      <c r="F4" s="8" t="str">
        <f t="shared" ca="1" si="1"/>
        <v>旧 ＧＢ営</v>
      </c>
      <c r="G4" s="8" t="str">
        <f>IF(ISBLANK(E4),"",IF(COUNTIF(AK:AK,"="&amp;E4)&gt;0,"",MAX(G$1:G3)+1))</f>
        <v/>
      </c>
      <c r="H4" s="8">
        <f t="shared" ref="H4:H67" si="10">IF(E4="","",COUNTIF(B:B,E4))</f>
        <v>44</v>
      </c>
      <c r="J4" s="20" t="str">
        <f t="shared" ref="J4:J42" ca="1" si="11">AN2</f>
        <v/>
      </c>
      <c r="K4" s="20" t="str">
        <f ca="1">IF(J4="","",SUMIF(F:F,"="&amp;J4,H:H))</f>
        <v/>
      </c>
      <c r="L4">
        <v>3</v>
      </c>
      <c r="M4" s="8" t="str">
        <f ca="1">IF(J4="","",(SUM(K4:L4)&gt;0))</f>
        <v/>
      </c>
      <c r="N4" s="8" t="str">
        <f ca="1">IF(J4="","",IF(M4,COUNTIF(M$4:M4,TRUE),0))</f>
        <v/>
      </c>
      <c r="O4" s="8" t="str">
        <f ca="1">IFERROR(LOOKUP(1,0/(N$4:N$40=ROW()-ROW(O$3)),J$4:J$40),"")</f>
        <v/>
      </c>
      <c r="P4" s="8" t="str">
        <f ca="1">IF(O4="","",IFERROR(LOOKUP(1,0/(J$4:J$40=O4),K$4:K$40),""))</f>
        <v/>
      </c>
      <c r="Q4" s="8" t="str">
        <f ca="1">IF(O4="","",IFERROR(LOOKUP(1,0/(J$4:J$40=O4),L$4:L$40),""))</f>
        <v/>
      </c>
      <c r="S4" t="s">
        <v>27</v>
      </c>
      <c r="T4" s="9" t="s">
        <v>779</v>
      </c>
      <c r="U4" s="10">
        <f t="shared" si="2"/>
        <v>1</v>
      </c>
      <c r="V4" s="10">
        <f>IF(OR(U4="",U4=0),"",COUNTIF(U$2:U4,"&gt;0"))</f>
        <v>3</v>
      </c>
      <c r="W4" s="10" t="str">
        <f t="shared" si="6"/>
        <v>展示・デモ</v>
      </c>
      <c r="X4" s="10">
        <f t="shared" si="7"/>
        <v>1</v>
      </c>
      <c r="Z4" t="s">
        <v>37</v>
      </c>
      <c r="AB4" s="18" t="s">
        <v>653</v>
      </c>
      <c r="AC4" s="8">
        <f t="shared" si="8"/>
        <v>1</v>
      </c>
      <c r="AD4" s="12">
        <f>SUM(AC3:AC4)</f>
        <v>14</v>
      </c>
      <c r="AE4" s="8">
        <f t="shared" si="4"/>
        <v>2</v>
      </c>
      <c r="AF4" s="12">
        <v>2</v>
      </c>
      <c r="AG4" s="12">
        <v>2</v>
      </c>
      <c r="AH4" s="8" t="str">
        <f t="shared" ref="AH4:AH8" si="12">LOOKUP(1,0/(AF$2:AF$30=AG4),AB$2:AB$30)</f>
        <v>中華人民共和国</v>
      </c>
      <c r="AI4" s="8">
        <f t="shared" ref="AI4:AI8" si="13">LOOKUP(1,0/(AF$2:AF$30=AG4),AD$2:AD$30)</f>
        <v>14</v>
      </c>
      <c r="AK4" s="19" t="s">
        <v>1076</v>
      </c>
      <c r="AL4" s="14" t="e">
        <f ca="1">IF(セルの固定色(AK4)=セルの固定色(AK$2),1,"")</f>
        <v>#NAME?</v>
      </c>
      <c r="AM4" s="14" t="e">
        <f ca="1">IF(OR(ISBLANK(AL4),AL4=""),"",COUNTIF(AL$2:AL4,"&gt;0"))</f>
        <v>#NAME?</v>
      </c>
      <c r="AN4" s="14" t="str">
        <f t="shared" ca="1" si="5"/>
        <v/>
      </c>
      <c r="AO4" s="14" t="e">
        <f t="shared" ca="1" si="9"/>
        <v>#NAME?</v>
      </c>
      <c r="AP4" s="14" t="e">
        <f ca="1">IF(ISBLANK(AK4),"",LOOKUP(1,0/(AM$2:AM4=MAX(AM$2:AM4)),AK$2:AK4))</f>
        <v>#N/A</v>
      </c>
      <c r="AR4" t="s">
        <v>829</v>
      </c>
      <c r="AS4" t="s">
        <v>790</v>
      </c>
    </row>
    <row r="5" spans="1:47">
      <c r="A5" s="15">
        <v>44104</v>
      </c>
      <c r="B5" t="s">
        <v>47</v>
      </c>
      <c r="C5" s="8" t="b">
        <f>IF(B5="","",COUNTIF(B$1:B4,B5)=0)</f>
        <v>0</v>
      </c>
      <c r="D5" s="8" t="str">
        <f>IF(B5="","",IF(C5,COUNTIF(C$2:C5,TRUE),""))</f>
        <v/>
      </c>
      <c r="E5" s="8" t="str">
        <f t="shared" si="0"/>
        <v>ＧＢＳ</v>
      </c>
      <c r="F5" s="8" t="str">
        <f t="shared" ca="1" si="1"/>
        <v>旧 ＧＢＳ</v>
      </c>
      <c r="G5" s="8" t="str">
        <f>IF(ISBLANK(E5),"",IF(COUNTIF(AK:AK,"="&amp;E5)&gt;0,"",MAX(G$1:G4)+1))</f>
        <v/>
      </c>
      <c r="H5" s="8">
        <f t="shared" si="10"/>
        <v>5</v>
      </c>
      <c r="J5" s="20" t="str">
        <f t="shared" ca="1" si="11"/>
        <v/>
      </c>
      <c r="K5" s="20" t="str">
        <f t="shared" ref="K5:K40" ca="1" si="14">IF(J5="","",SUMIF(F:F,"="&amp;J5,H:H))</f>
        <v/>
      </c>
      <c r="M5" s="8" t="str">
        <f t="shared" ref="M5:M40" ca="1" si="15">IF(J5="","",(SUM(K5:L5)&gt;0))</f>
        <v/>
      </c>
      <c r="N5" s="8" t="str">
        <f ca="1">IF(J5="","",IF(M5,COUNTIF(M$4:M5,TRUE),0))</f>
        <v/>
      </c>
      <c r="O5" s="8" t="str">
        <f t="shared" ref="O5:O26" ca="1" si="16">IFERROR(LOOKUP(1,0/(N$4:N$40=ROW()-ROW(O$3)),J$4:J$40),"")</f>
        <v/>
      </c>
      <c r="P5" s="8" t="str">
        <f t="shared" ref="P5:P26" ca="1" si="17">IF(O5="","",IFERROR(LOOKUP(1,0/(J$4:J$40=O5),K$4:K$40),""))</f>
        <v/>
      </c>
      <c r="Q5" s="8" t="str">
        <f t="shared" ref="Q5:Q26" ca="1" si="18">IF(O5="","",IFERROR(LOOKUP(1,0/(J$4:J$40=O5),L$4:L$40),""))</f>
        <v/>
      </c>
      <c r="S5" t="s">
        <v>27</v>
      </c>
      <c r="T5" s="9" t="s">
        <v>166</v>
      </c>
      <c r="U5" s="10">
        <f t="shared" si="2"/>
        <v>2</v>
      </c>
      <c r="V5" s="10">
        <f>IF(OR(U5="",U5=0),"",COUNTIF(U$2:U5,"&gt;0"))</f>
        <v>4</v>
      </c>
      <c r="W5" s="10" t="str">
        <f t="shared" si="6"/>
        <v>貸出</v>
      </c>
      <c r="X5" s="10">
        <f t="shared" si="7"/>
        <v>2</v>
      </c>
      <c r="Z5" t="s">
        <v>79</v>
      </c>
      <c r="AB5" s="18" t="s">
        <v>124</v>
      </c>
      <c r="AC5" s="8">
        <f t="shared" si="8"/>
        <v>1</v>
      </c>
      <c r="AD5" s="12">
        <f t="shared" si="3"/>
        <v>1</v>
      </c>
      <c r="AE5" s="8">
        <f t="shared" si="4"/>
        <v>14</v>
      </c>
      <c r="AG5" s="12">
        <v>3</v>
      </c>
      <c r="AH5" s="8" t="str">
        <f t="shared" si="12"/>
        <v>台湾</v>
      </c>
      <c r="AI5" s="8">
        <f t="shared" si="13"/>
        <v>10</v>
      </c>
      <c r="AK5" s="19" t="s">
        <v>1077</v>
      </c>
      <c r="AL5" s="14" t="e">
        <f ca="1">IF(セルの固定色(AK5)=セルの固定色(AK$2),1,"")</f>
        <v>#NAME?</v>
      </c>
      <c r="AM5" s="14" t="e">
        <f ca="1">IF(OR(ISBLANK(AL5),AL5=""),"",COUNTIF(AL$2:AL5,"&gt;0"))</f>
        <v>#NAME?</v>
      </c>
      <c r="AN5" s="14" t="str">
        <f t="shared" ca="1" si="5"/>
        <v/>
      </c>
      <c r="AO5" s="14" t="e">
        <f t="shared" ca="1" si="9"/>
        <v>#NAME?</v>
      </c>
      <c r="AP5" s="14" t="e">
        <f ca="1">IF(ISBLANK(AK5),"",LOOKUP(1,0/(AM$2:AM5=MAX(AM$2:AM5)),AK$2:AK5))</f>
        <v>#N/A</v>
      </c>
      <c r="AR5" t="s">
        <v>876</v>
      </c>
      <c r="AS5" t="s">
        <v>835</v>
      </c>
    </row>
    <row r="6" spans="1:47">
      <c r="A6" s="21" t="s">
        <v>1078</v>
      </c>
      <c r="B6" t="s">
        <v>47</v>
      </c>
      <c r="C6" s="8" t="b">
        <f>IF(B6="","",COUNTIF(B$1:B5,B6)=0)</f>
        <v>0</v>
      </c>
      <c r="D6" s="8" t="str">
        <f>IF(B6="","",IF(C6,COUNTIF(C$2:C6,TRUE),""))</f>
        <v/>
      </c>
      <c r="E6" s="8" t="str">
        <f t="shared" si="0"/>
        <v>ＩＰＲ</v>
      </c>
      <c r="F6" s="8" t="str">
        <f t="shared" ca="1" si="1"/>
        <v>旧 ＩＰＲ</v>
      </c>
      <c r="G6" s="8" t="str">
        <f>IF(ISBLANK(E6),"",IF(COUNTIF(AK:AK,"="&amp;E6)&gt;0,"",MAX(G$1:G5)+1))</f>
        <v/>
      </c>
      <c r="H6" s="8">
        <f t="shared" si="10"/>
        <v>1</v>
      </c>
      <c r="J6" s="20" t="str">
        <f t="shared" ca="1" si="11"/>
        <v/>
      </c>
      <c r="K6" s="20" t="str">
        <f t="shared" ca="1" si="14"/>
        <v/>
      </c>
      <c r="L6">
        <v>74</v>
      </c>
      <c r="M6" s="8" t="str">
        <f t="shared" ca="1" si="15"/>
        <v/>
      </c>
      <c r="N6" s="8" t="str">
        <f ca="1">IF(J6="","",IF(M6,COUNTIF(M$4:M6,TRUE),0))</f>
        <v/>
      </c>
      <c r="O6" s="8" t="str">
        <f t="shared" ca="1" si="16"/>
        <v/>
      </c>
      <c r="P6" s="8" t="str">
        <f t="shared" ca="1" si="17"/>
        <v/>
      </c>
      <c r="Q6" s="8" t="str">
        <f t="shared" ca="1" si="18"/>
        <v/>
      </c>
      <c r="S6" t="s">
        <v>54</v>
      </c>
      <c r="T6" s="9" t="s">
        <v>1079</v>
      </c>
      <c r="U6" s="10">
        <f t="shared" si="2"/>
        <v>0</v>
      </c>
      <c r="V6" s="10" t="str">
        <f>IF(OR(U6="",U6=0),"",COUNTIF(U$2:U6,"&gt;0"))</f>
        <v/>
      </c>
      <c r="W6" s="10" t="str">
        <f t="shared" si="6"/>
        <v>製造・評価</v>
      </c>
      <c r="X6" s="10">
        <f t="shared" si="7"/>
        <v>4</v>
      </c>
      <c r="Z6" t="s">
        <v>83</v>
      </c>
      <c r="AB6" s="18" t="s">
        <v>44</v>
      </c>
      <c r="AC6" s="8">
        <f t="shared" si="8"/>
        <v>10</v>
      </c>
      <c r="AD6" s="12">
        <f t="shared" si="3"/>
        <v>10</v>
      </c>
      <c r="AE6" s="8">
        <f t="shared" si="4"/>
        <v>3</v>
      </c>
      <c r="AF6" s="12">
        <v>3</v>
      </c>
      <c r="AG6" s="12">
        <v>4</v>
      </c>
      <c r="AH6" s="8" t="str">
        <f t="shared" si="12"/>
        <v>ドイツ</v>
      </c>
      <c r="AI6" s="8">
        <f t="shared" si="13"/>
        <v>7</v>
      </c>
      <c r="AK6" s="19" t="s">
        <v>1080</v>
      </c>
      <c r="AL6" s="14" t="e">
        <f ca="1">IF(セルの固定色(AK6)=セルの固定色(AK$2),1,"")</f>
        <v>#NAME?</v>
      </c>
      <c r="AM6" s="14" t="e">
        <f ca="1">IF(OR(ISBLANK(AL6),AL6=""),"",COUNTIF(AL$2:AL6,"&gt;0"))</f>
        <v>#NAME?</v>
      </c>
      <c r="AN6" s="14" t="str">
        <f t="shared" ca="1" si="5"/>
        <v/>
      </c>
      <c r="AO6" s="14" t="e">
        <f t="shared" ca="1" si="9"/>
        <v>#NAME?</v>
      </c>
      <c r="AP6" s="14" t="e">
        <f ca="1">IF(ISBLANK(AK6),"",LOOKUP(1,0/(AM$2:AM6=MAX(AM$2:AM6)),AK$2:AK6))</f>
        <v>#N/A</v>
      </c>
      <c r="AR6" t="s">
        <v>907</v>
      </c>
      <c r="AS6" t="s">
        <v>840</v>
      </c>
    </row>
    <row r="7" spans="1:47">
      <c r="A7" s="11">
        <f>COLUMN(B1)</f>
        <v>2</v>
      </c>
      <c r="B7" t="s">
        <v>47</v>
      </c>
      <c r="C7" s="8" t="b">
        <f>IF(B7="","",COUNTIF(B$1:B6,B7)=0)</f>
        <v>0</v>
      </c>
      <c r="D7" s="8" t="str">
        <f>IF(B7="","",IF(C7,COUNTIF(C$2:C7,TRUE),""))</f>
        <v/>
      </c>
      <c r="E7" s="8" t="str">
        <f t="shared" si="0"/>
        <v>Ｇ推進</v>
      </c>
      <c r="F7" s="8" t="str">
        <f t="shared" ca="1" si="1"/>
        <v>旧 Ｇ推進</v>
      </c>
      <c r="G7" s="8" t="str">
        <f>IF(ISBLANK(E7),"",IF(COUNTIF(AK:AK,"="&amp;E7)&gt;0,"",MAX(G$1:G6)+1))</f>
        <v/>
      </c>
      <c r="H7" s="8">
        <f t="shared" si="10"/>
        <v>5</v>
      </c>
      <c r="J7" s="20" t="str">
        <f t="shared" ca="1" si="11"/>
        <v/>
      </c>
      <c r="K7" s="20" t="str">
        <f t="shared" ca="1" si="14"/>
        <v/>
      </c>
      <c r="L7">
        <v>4</v>
      </c>
      <c r="M7" s="8" t="str">
        <f t="shared" ca="1" si="15"/>
        <v/>
      </c>
      <c r="N7" s="8" t="str">
        <f ca="1">IF(J7="","",IF(M7,COUNTIF(M$4:M7,TRUE),0))</f>
        <v/>
      </c>
      <c r="O7" s="8" t="str">
        <f t="shared" ca="1" si="16"/>
        <v/>
      </c>
      <c r="P7" s="8" t="str">
        <f t="shared" ca="1" si="17"/>
        <v/>
      </c>
      <c r="Q7" s="8" t="str">
        <f t="shared" ca="1" si="18"/>
        <v/>
      </c>
      <c r="S7" t="s">
        <v>27</v>
      </c>
      <c r="T7" s="9" t="s">
        <v>87</v>
      </c>
      <c r="U7" s="10">
        <f t="shared" si="2"/>
        <v>4</v>
      </c>
      <c r="V7" s="10">
        <f>IF(OR(U7="",U7=0),"",COUNTIF(U$2:U7,"&gt;0"))</f>
        <v>5</v>
      </c>
      <c r="W7" s="10" t="str">
        <f t="shared" si="6"/>
        <v>修理・交換</v>
      </c>
      <c r="X7" s="10">
        <f t="shared" si="7"/>
        <v>4</v>
      </c>
      <c r="Z7" t="s">
        <v>124</v>
      </c>
      <c r="AB7" s="18" t="s">
        <v>525</v>
      </c>
      <c r="AC7" s="8">
        <f t="shared" si="8"/>
        <v>1</v>
      </c>
      <c r="AD7" s="12">
        <f t="shared" si="3"/>
        <v>1</v>
      </c>
      <c r="AE7" s="8">
        <f t="shared" si="4"/>
        <v>14</v>
      </c>
      <c r="AG7" s="12">
        <v>5</v>
      </c>
      <c r="AH7" s="8" t="str">
        <f t="shared" si="12"/>
        <v>シンガポール</v>
      </c>
      <c r="AI7" s="8">
        <f t="shared" si="13"/>
        <v>6</v>
      </c>
      <c r="AK7" s="19" t="s">
        <v>1081</v>
      </c>
      <c r="AL7" s="14" t="e">
        <f ca="1">IF(セルの固定色(AK7)=セルの固定色(AK$2),1,"")</f>
        <v>#NAME?</v>
      </c>
      <c r="AM7" s="14" t="e">
        <f ca="1">IF(OR(ISBLANK(AL7),AL7=""),"",COUNTIF(AL$2:AL7,"&gt;0"))</f>
        <v>#NAME?</v>
      </c>
      <c r="AN7" s="14" t="str">
        <f t="shared" ca="1" si="5"/>
        <v/>
      </c>
      <c r="AO7" s="14" t="e">
        <f t="shared" ca="1" si="9"/>
        <v>#NAME?</v>
      </c>
      <c r="AP7" s="14" t="e">
        <f ca="1">IF(ISBLANK(AK7),"",LOOKUP(1,0/(AM$2:AM7=MAX(AM$2:AM7)),AK$2:AK7))</f>
        <v>#N/A</v>
      </c>
      <c r="AR7" t="s">
        <v>933</v>
      </c>
      <c r="AS7" t="s">
        <v>862</v>
      </c>
    </row>
    <row r="8" spans="1:47">
      <c r="A8" s="21" t="s">
        <v>1082</v>
      </c>
      <c r="B8" t="s">
        <v>47</v>
      </c>
      <c r="C8" s="8" t="b">
        <f>IF(B8="","",COUNTIF(B$1:B7,B8)=0)</f>
        <v>0</v>
      </c>
      <c r="D8" s="8" t="str">
        <f>IF(B8="","",IF(C8,COUNTIF(C$2:C8,TRUE),""))</f>
        <v/>
      </c>
      <c r="E8" s="8" t="str">
        <f t="shared" si="0"/>
        <v>セ事Ｉ</v>
      </c>
      <c r="F8" s="8" t="str">
        <f t="shared" ca="1" si="1"/>
        <v>旧 セ事Ｉ</v>
      </c>
      <c r="G8" s="8" t="str">
        <f>IF(ISBLANK(E8),"",IF(COUNTIF(AK:AK,"="&amp;E8)&gt;0,"",MAX(G$1:G7)+1))</f>
        <v/>
      </c>
      <c r="H8" s="8">
        <f t="shared" si="10"/>
        <v>3</v>
      </c>
      <c r="J8" s="20" t="str">
        <f t="shared" ca="1" si="11"/>
        <v/>
      </c>
      <c r="K8" s="20" t="str">
        <f t="shared" ca="1" si="14"/>
        <v/>
      </c>
      <c r="L8">
        <v>1</v>
      </c>
      <c r="M8" s="8" t="str">
        <f t="shared" ca="1" si="15"/>
        <v/>
      </c>
      <c r="N8" s="8" t="str">
        <f ca="1">IF(J8="","",IF(M8,COUNTIF(M$4:M8,TRUE),0))</f>
        <v/>
      </c>
      <c r="O8" s="8" t="str">
        <f t="shared" ca="1" si="16"/>
        <v/>
      </c>
      <c r="P8" s="8" t="str">
        <f t="shared" ca="1" si="17"/>
        <v/>
      </c>
      <c r="Q8" s="8" t="str">
        <f t="shared" ca="1" si="18"/>
        <v/>
      </c>
      <c r="S8" t="s">
        <v>27</v>
      </c>
      <c r="T8" s="9" t="s">
        <v>494</v>
      </c>
      <c r="U8" s="10">
        <f t="shared" si="2"/>
        <v>4</v>
      </c>
      <c r="V8" s="10">
        <f>IF(OR(U8="",U8=0),"",COUNTIF(U$2:U8,"&gt;0"))</f>
        <v>6</v>
      </c>
      <c r="W8" s="10" t="str">
        <f t="shared" si="6"/>
        <v>返却</v>
      </c>
      <c r="X8" s="10">
        <f t="shared" si="7"/>
        <v>2</v>
      </c>
      <c r="Z8" t="s">
        <v>68</v>
      </c>
      <c r="AB8" s="18" t="s">
        <v>79</v>
      </c>
      <c r="AC8" s="8">
        <f t="shared" si="8"/>
        <v>2</v>
      </c>
      <c r="AD8" s="12">
        <f t="shared" si="3"/>
        <v>2</v>
      </c>
      <c r="AE8" s="8">
        <f t="shared" si="4"/>
        <v>10</v>
      </c>
      <c r="AG8" s="12">
        <v>6</v>
      </c>
      <c r="AH8" s="8" t="str">
        <f t="shared" si="12"/>
        <v>ロシア</v>
      </c>
      <c r="AI8" s="8">
        <f t="shared" si="13"/>
        <v>4</v>
      </c>
      <c r="AK8" s="19" t="s">
        <v>1083</v>
      </c>
      <c r="AL8" s="14" t="e">
        <f ca="1">IF(セルの固定色(AK8)=セルの固定色(AK$2),1,"")</f>
        <v>#NAME?</v>
      </c>
      <c r="AM8" s="14" t="e">
        <f ca="1">IF(OR(ISBLANK(AL8),AL8=""),"",COUNTIF(AL$2:AL8,"&gt;0"))</f>
        <v>#NAME?</v>
      </c>
      <c r="AN8" s="14" t="str">
        <f t="shared" ca="1" si="5"/>
        <v/>
      </c>
      <c r="AO8" s="14" t="e">
        <f t="shared" ca="1" si="9"/>
        <v>#NAME?</v>
      </c>
      <c r="AP8" s="14" t="e">
        <f ca="1">IF(ISBLANK(AK8),"",LOOKUP(1,0/(AM$2:AM8=MAX(AM$2:AM8)),AK$2:AK8))</f>
        <v>#N/A</v>
      </c>
      <c r="AR8" t="s">
        <v>953</v>
      </c>
      <c r="AS8" t="s">
        <v>922</v>
      </c>
    </row>
    <row r="9" spans="1:47">
      <c r="A9" s="11">
        <f>COLUMN(S1)</f>
        <v>19</v>
      </c>
      <c r="B9" t="s">
        <v>101</v>
      </c>
      <c r="C9" s="8" t="b">
        <f>IF(B9="","",COUNTIF(B$1:B8,B9)=0)</f>
        <v>1</v>
      </c>
      <c r="D9" s="8">
        <f>IF(B9="","",IF(C9,COUNTIF(C$2:C9,TRUE),""))</f>
        <v>4</v>
      </c>
      <c r="E9" s="8" t="str">
        <f t="shared" si="0"/>
        <v>ＧＢ環</v>
      </c>
      <c r="F9" s="8" t="str">
        <f t="shared" ca="1" si="1"/>
        <v>旧 ＧＢ環</v>
      </c>
      <c r="G9" s="8" t="str">
        <f>IF(ISBLANK(E9),"",IF(COUNTIF(AK:AK,"="&amp;E9)&gt;0,"",MAX(G$1:G8)+1))</f>
        <v/>
      </c>
      <c r="H9" s="8">
        <f t="shared" si="10"/>
        <v>8</v>
      </c>
      <c r="J9" s="20" t="str">
        <f t="shared" ca="1" si="11"/>
        <v/>
      </c>
      <c r="K9" s="20" t="str">
        <f t="shared" ca="1" si="14"/>
        <v/>
      </c>
      <c r="M9" s="8" t="str">
        <f t="shared" ca="1" si="15"/>
        <v/>
      </c>
      <c r="N9" s="8" t="str">
        <f ca="1">IF(J9="","",IF(M9,COUNTIF(M$4:M9,TRUE),0))</f>
        <v/>
      </c>
      <c r="O9" s="8" t="str">
        <f t="shared" ca="1" si="16"/>
        <v/>
      </c>
      <c r="P9" s="8" t="str">
        <f t="shared" ca="1" si="17"/>
        <v/>
      </c>
      <c r="Q9" s="8" t="str">
        <f t="shared" ca="1" si="18"/>
        <v/>
      </c>
      <c r="S9" t="s">
        <v>54</v>
      </c>
      <c r="T9" s="9" t="s">
        <v>73</v>
      </c>
      <c r="U9" s="10">
        <f t="shared" si="2"/>
        <v>2</v>
      </c>
      <c r="V9" s="10">
        <f>IF(OR(U9="",U9=0),"",COUNTIF(U$2:U9,"&gt;0"))</f>
        <v>7</v>
      </c>
      <c r="W9" s="10" t="str">
        <f t="shared" si="6"/>
        <v>プログラム提供</v>
      </c>
      <c r="X9" s="10">
        <f t="shared" si="7"/>
        <v>5</v>
      </c>
      <c r="Z9" t="s">
        <v>710</v>
      </c>
      <c r="AB9" s="18" t="s">
        <v>83</v>
      </c>
      <c r="AC9" s="8">
        <f t="shared" si="8"/>
        <v>6</v>
      </c>
      <c r="AD9" s="12">
        <f t="shared" si="3"/>
        <v>6</v>
      </c>
      <c r="AE9" s="8">
        <f t="shared" si="4"/>
        <v>5</v>
      </c>
      <c r="AF9" s="12">
        <v>5</v>
      </c>
      <c r="AK9" s="19" t="s">
        <v>1084</v>
      </c>
      <c r="AL9" s="14" t="e">
        <f ca="1">IF(セルの固定色(AK9)=セルの固定色(AK$2),1,"")</f>
        <v>#NAME?</v>
      </c>
      <c r="AM9" s="14" t="e">
        <f ca="1">IF(OR(ISBLANK(AL9),AL9=""),"",COUNTIF(AL$2:AL9,"&gt;0"))</f>
        <v>#NAME?</v>
      </c>
      <c r="AN9" s="14" t="str">
        <f t="shared" ca="1" si="5"/>
        <v/>
      </c>
      <c r="AO9" s="14" t="e">
        <f t="shared" ca="1" si="9"/>
        <v>#NAME?</v>
      </c>
      <c r="AP9" s="14" t="e">
        <f ca="1">IF(ISBLANK(AK9),"",LOOKUP(1,0/(AM$2:AM9=MAX(AM$2:AM9)),AK$2:AK9))</f>
        <v>#N/A</v>
      </c>
      <c r="AR9" t="s">
        <v>1001</v>
      </c>
      <c r="AS9" t="s">
        <v>975</v>
      </c>
    </row>
    <row r="10" spans="1:47">
      <c r="A10" s="21" t="s">
        <v>1085</v>
      </c>
      <c r="B10" t="s">
        <v>718</v>
      </c>
      <c r="C10" s="8" t="b">
        <f>IF(B10="","",COUNTIF(B$1:B9,B10)=0)</f>
        <v>1</v>
      </c>
      <c r="D10" s="8">
        <f>IF(B10="","",IF(C10,COUNTIF(C$2:C10,TRUE),""))</f>
        <v>5</v>
      </c>
      <c r="E10" s="8" t="str">
        <f t="shared" si="0"/>
        <v>ＡＩＲ</v>
      </c>
      <c r="F10" s="8" t="str">
        <f t="shared" ca="1" si="1"/>
        <v>旧 ＡＩＲ</v>
      </c>
      <c r="G10" s="8" t="str">
        <f>IF(ISBLANK(E10),"",IF(COUNTIF(AK:AK,"="&amp;E10)&gt;0,"",MAX(G$1:G9)+1))</f>
        <v/>
      </c>
      <c r="H10" s="8">
        <f t="shared" si="10"/>
        <v>1</v>
      </c>
      <c r="J10" s="20" t="str">
        <f t="shared" ca="1" si="11"/>
        <v/>
      </c>
      <c r="K10" s="20" t="str">
        <f t="shared" ca="1" si="14"/>
        <v/>
      </c>
      <c r="M10" s="8" t="str">
        <f t="shared" ca="1" si="15"/>
        <v/>
      </c>
      <c r="N10" s="8" t="str">
        <f ca="1">IF(J10="","",IF(M10,COUNTIF(M$4:M10,TRUE),0))</f>
        <v/>
      </c>
      <c r="O10" s="8" t="str">
        <f t="shared" ca="1" si="16"/>
        <v/>
      </c>
      <c r="P10" s="8" t="str">
        <f t="shared" ca="1" si="17"/>
        <v/>
      </c>
      <c r="Q10" s="8" t="str">
        <f t="shared" ca="1" si="18"/>
        <v/>
      </c>
      <c r="S10" t="s">
        <v>27</v>
      </c>
      <c r="T10" s="9" t="s">
        <v>259</v>
      </c>
      <c r="U10" s="10">
        <f t="shared" si="2"/>
        <v>5</v>
      </c>
      <c r="V10" s="10">
        <f>IF(OR(U10="",U10=0),"",COUNTIF(U$2:U10,"&gt;0"))</f>
        <v>8</v>
      </c>
      <c r="W10" s="10" t="str">
        <f t="shared" si="6"/>
        <v>技術提供</v>
      </c>
      <c r="X10" s="10">
        <f t="shared" si="7"/>
        <v>4</v>
      </c>
      <c r="Z10" t="s">
        <v>715</v>
      </c>
      <c r="AB10" s="18" t="s">
        <v>710</v>
      </c>
      <c r="AC10" s="8">
        <f t="shared" si="8"/>
        <v>1</v>
      </c>
      <c r="AD10" s="12">
        <f t="shared" si="3"/>
        <v>1</v>
      </c>
      <c r="AE10" s="8">
        <f t="shared" si="4"/>
        <v>14</v>
      </c>
      <c r="AK10" s="19" t="s">
        <v>886</v>
      </c>
      <c r="AL10" s="14" t="e">
        <f ca="1">IF(セルの固定色(AK10)=セルの固定色(AK$2),1,"")</f>
        <v>#NAME?</v>
      </c>
      <c r="AM10" s="14" t="e">
        <f ca="1">IF(OR(ISBLANK(AL10),AL10=""),"",COUNTIF(AL$2:AL10,"&gt;0"))</f>
        <v>#NAME?</v>
      </c>
      <c r="AN10" s="14" t="str">
        <f t="shared" ca="1" si="5"/>
        <v/>
      </c>
      <c r="AO10" s="14" t="e">
        <f t="shared" ca="1" si="9"/>
        <v>#NAME?</v>
      </c>
      <c r="AP10" s="14" t="e">
        <f ca="1">IF(ISBLANK(AK10),"",LOOKUP(1,0/(AM$2:AM10=MAX(AM$2:AM10)),AK$2:AK10))</f>
        <v>#N/A</v>
      </c>
      <c r="AR10" t="s">
        <v>1004</v>
      </c>
      <c r="AS10" t="s">
        <v>1039</v>
      </c>
    </row>
    <row r="11" spans="1:47">
      <c r="A11" s="11">
        <f>COLUMN(Z1)</f>
        <v>26</v>
      </c>
      <c r="B11" t="s">
        <v>139</v>
      </c>
      <c r="C11" s="8" t="b">
        <f>IF(B11="","",COUNTIF(B$1:B10,B11)=0)</f>
        <v>1</v>
      </c>
      <c r="D11" s="8">
        <f>IF(B11="","",IF(C11,COUNTIF(C$2:C11,TRUE),""))</f>
        <v>6</v>
      </c>
      <c r="E11" s="8" t="str">
        <f t="shared" si="0"/>
        <v>ＡＩＤ</v>
      </c>
      <c r="F11" s="8" t="str">
        <f t="shared" ca="1" si="1"/>
        <v>旧 ＡＩＤ</v>
      </c>
      <c r="G11" s="8" t="str">
        <f>IF(ISBLANK(E11),"",IF(COUNTIF(AK:AK,"="&amp;E11)&gt;0,"",MAX(G$1:G10)+1))</f>
        <v/>
      </c>
      <c r="H11" s="8">
        <f t="shared" si="10"/>
        <v>5</v>
      </c>
      <c r="J11" s="20" t="str">
        <f t="shared" ca="1" si="11"/>
        <v/>
      </c>
      <c r="K11" s="20" t="str">
        <f t="shared" ca="1" si="14"/>
        <v/>
      </c>
      <c r="M11" s="8" t="str">
        <f t="shared" ca="1" si="15"/>
        <v/>
      </c>
      <c r="N11" s="8" t="str">
        <f ca="1">IF(J11="","",IF(M11,COUNTIF(M$4:M11,TRUE),0))</f>
        <v/>
      </c>
      <c r="O11" s="8" t="str">
        <f t="shared" ca="1" si="16"/>
        <v/>
      </c>
      <c r="P11" s="8" t="str">
        <f t="shared" ca="1" si="17"/>
        <v/>
      </c>
      <c r="Q11" s="8" t="str">
        <f t="shared" ca="1" si="18"/>
        <v/>
      </c>
      <c r="S11" t="s">
        <v>54</v>
      </c>
      <c r="T11" s="9" t="s">
        <v>252</v>
      </c>
      <c r="U11" s="10">
        <f t="shared" si="2"/>
        <v>4</v>
      </c>
      <c r="V11" s="10">
        <f>IF(OR(U11="",U11=0),"",COUNTIF(U$2:U11,"&gt;0"))</f>
        <v>9</v>
      </c>
      <c r="W11" s="10" t="str">
        <f t="shared" si="6"/>
        <v>その他の案件</v>
      </c>
      <c r="X11" s="10">
        <f t="shared" si="7"/>
        <v>3</v>
      </c>
      <c r="Z11" t="s">
        <v>454</v>
      </c>
      <c r="AB11" s="18" t="s">
        <v>454</v>
      </c>
      <c r="AC11" s="8">
        <f t="shared" si="8"/>
        <v>3</v>
      </c>
      <c r="AD11" s="12">
        <f t="shared" si="3"/>
        <v>3</v>
      </c>
      <c r="AE11" s="8">
        <f t="shared" si="4"/>
        <v>7</v>
      </c>
      <c r="AK11" s="19" t="s">
        <v>604</v>
      </c>
      <c r="AL11" s="14" t="e">
        <f ca="1">IF(セルの固定色(AK11)=セルの固定色(AK$2),1,"")</f>
        <v>#NAME?</v>
      </c>
      <c r="AM11" s="14" t="e">
        <f ca="1">IF(OR(ISBLANK(AL11),AL11=""),"",COUNTIF(AL$2:AL11,"&gt;0"))</f>
        <v>#NAME?</v>
      </c>
      <c r="AN11" s="14" t="str">
        <f t="shared" ca="1" si="5"/>
        <v/>
      </c>
      <c r="AO11" s="14" t="e">
        <f t="shared" ca="1" si="9"/>
        <v>#NAME?</v>
      </c>
      <c r="AP11" s="14" t="e">
        <f ca="1">IF(ISBLANK(AK11),"",LOOKUP(1,0/(AM$2:AM11=MAX(AM$2:AM11)),AK$2:AK11))</f>
        <v>#N/A</v>
      </c>
      <c r="AR11" t="s">
        <v>1006</v>
      </c>
      <c r="AS11" t="s">
        <v>1048</v>
      </c>
    </row>
    <row r="12" spans="1:47">
      <c r="A12" s="7" t="s">
        <v>1086</v>
      </c>
      <c r="B12" t="s">
        <v>32</v>
      </c>
      <c r="C12" s="8" t="b">
        <f>IF(B12="","",COUNTIF(B$1:B11,B12)=0)</f>
        <v>0</v>
      </c>
      <c r="D12" s="8" t="str">
        <f>IF(B12="","",IF(C12,COUNTIF(C$2:C12,TRUE),""))</f>
        <v/>
      </c>
      <c r="E12" s="8" t="str">
        <f t="shared" si="0"/>
        <v>Ｖまち</v>
      </c>
      <c r="F12" s="8" t="str">
        <f t="shared" ca="1" si="1"/>
        <v>旧 Ｖまち</v>
      </c>
      <c r="G12" s="8" t="str">
        <f>IF(ISBLANK(E12),"",IF(COUNTIF(AK:AK,"="&amp;E12)&gt;0,"",MAX(G$1:G11)+1))</f>
        <v/>
      </c>
      <c r="H12" s="8">
        <f t="shared" si="10"/>
        <v>1</v>
      </c>
      <c r="J12" s="20" t="str">
        <f t="shared" ca="1" si="11"/>
        <v/>
      </c>
      <c r="K12" s="20" t="str">
        <f t="shared" ca="1" si="14"/>
        <v/>
      </c>
      <c r="M12" s="8" t="str">
        <f t="shared" ca="1" si="15"/>
        <v/>
      </c>
      <c r="N12" s="8" t="str">
        <f ca="1">IF(J12="","",IF(M12,COUNTIF(M$4:M12,TRUE),0))</f>
        <v/>
      </c>
      <c r="O12" s="8" t="str">
        <f t="shared" ca="1" si="16"/>
        <v/>
      </c>
      <c r="P12" s="8" t="str">
        <f t="shared" ca="1" si="17"/>
        <v/>
      </c>
      <c r="Q12" s="8" t="str">
        <f t="shared" ca="1" si="18"/>
        <v/>
      </c>
      <c r="S12" t="s">
        <v>27</v>
      </c>
      <c r="T12" s="9" t="s">
        <v>1087</v>
      </c>
      <c r="U12" s="10">
        <f t="shared" si="2"/>
        <v>0</v>
      </c>
      <c r="V12" s="10" t="str">
        <f>IF(OR(U12="",U12=0),"",COUNTIF(U$2:U12,"&gt;0"))</f>
        <v/>
      </c>
      <c r="W12" s="10" t="str">
        <f t="shared" si="6"/>
        <v/>
      </c>
      <c r="X12" s="10" t="str">
        <f t="shared" si="7"/>
        <v/>
      </c>
      <c r="Z12" t="s">
        <v>68</v>
      </c>
      <c r="AB12" s="18" t="s">
        <v>246</v>
      </c>
      <c r="AC12" s="8">
        <f t="shared" si="8"/>
        <v>3</v>
      </c>
      <c r="AD12" s="12">
        <f t="shared" ref="AD12:AD23" si="19">SUM(AC12)</f>
        <v>3</v>
      </c>
      <c r="AE12" s="8">
        <f t="shared" si="4"/>
        <v>7</v>
      </c>
      <c r="AK12" s="19" t="s">
        <v>408</v>
      </c>
      <c r="AL12" s="14" t="e">
        <f ca="1">IF(セルの固定色(AK12)=セルの固定色(AK$2),1,"")</f>
        <v>#NAME?</v>
      </c>
      <c r="AM12" s="14" t="e">
        <f ca="1">IF(OR(ISBLANK(AL12),AL12=""),"",COUNTIF(AL$2:AL12,"&gt;0"))</f>
        <v>#NAME?</v>
      </c>
      <c r="AN12" s="14" t="str">
        <f t="shared" ca="1" si="5"/>
        <v/>
      </c>
      <c r="AO12" s="14" t="e">
        <f t="shared" ca="1" si="9"/>
        <v>#NAME?</v>
      </c>
      <c r="AP12" s="14" t="e">
        <f ca="1">IF(ISBLANK(AK12),"",LOOKUP(1,0/(AM$2:AM12=MAX(AM$2:AM12)),AK$2:AK12))</f>
        <v>#N/A</v>
      </c>
    </row>
    <row r="13" spans="1:47">
      <c r="A13" s="11">
        <f>COLUMN(AR1)</f>
        <v>44</v>
      </c>
      <c r="B13" t="s">
        <v>32</v>
      </c>
      <c r="C13" s="8" t="b">
        <f>IF(B13="","",COUNTIF(B$1:B12,B13)=0)</f>
        <v>0</v>
      </c>
      <c r="D13" s="8" t="str">
        <f>IF(B13="","",IF(C13,COUNTIF(C$2:C13,TRUE),""))</f>
        <v/>
      </c>
      <c r="E13" s="8" t="str">
        <f t="shared" si="0"/>
        <v>人事部</v>
      </c>
      <c r="F13" s="8" t="str">
        <f t="shared" ca="1" si="1"/>
        <v>旧 人事部</v>
      </c>
      <c r="G13" s="8" t="str">
        <f>IF(ISBLANK(E13),"",IF(COUNTIF(AK:AK,"="&amp;E13)&gt;0,"",MAX(G$1:G12)+1))</f>
        <v/>
      </c>
      <c r="H13" s="8">
        <f t="shared" si="10"/>
        <v>1</v>
      </c>
      <c r="J13" s="20" t="str">
        <f t="shared" ca="1" si="11"/>
        <v/>
      </c>
      <c r="K13" s="20" t="str">
        <f t="shared" ca="1" si="14"/>
        <v/>
      </c>
      <c r="M13" s="8" t="str">
        <f t="shared" ca="1" si="15"/>
        <v/>
      </c>
      <c r="N13" s="8" t="str">
        <f ca="1">IF(J13="","",IF(M13,COUNTIF(M$4:M13,TRUE),0))</f>
        <v/>
      </c>
      <c r="O13" s="8" t="str">
        <f t="shared" ca="1" si="16"/>
        <v/>
      </c>
      <c r="P13" s="8" t="str">
        <f t="shared" ca="1" si="17"/>
        <v/>
      </c>
      <c r="Q13" s="8" t="str">
        <f t="shared" ca="1" si="18"/>
        <v/>
      </c>
      <c r="S13" t="s">
        <v>166</v>
      </c>
      <c r="T13" s="9" t="s">
        <v>116</v>
      </c>
      <c r="U13" s="10">
        <f t="shared" si="2"/>
        <v>3</v>
      </c>
      <c r="V13" s="10">
        <f>IF(OR(U13="",U13=0),"",COUNTIF(U$2:U13,"&gt;0"))</f>
        <v>10</v>
      </c>
      <c r="W13" s="10" t="str">
        <f t="shared" si="6"/>
        <v/>
      </c>
      <c r="X13" s="10" t="str">
        <f t="shared" si="7"/>
        <v/>
      </c>
      <c r="Z13" t="s">
        <v>68</v>
      </c>
      <c r="AB13" s="18" t="s">
        <v>773</v>
      </c>
      <c r="AC13" s="8">
        <f t="shared" si="8"/>
        <v>1</v>
      </c>
      <c r="AD13" s="12">
        <f t="shared" si="19"/>
        <v>1</v>
      </c>
      <c r="AE13" s="8">
        <f t="shared" si="4"/>
        <v>14</v>
      </c>
      <c r="AK13" s="19" t="s">
        <v>1088</v>
      </c>
      <c r="AL13" s="14" t="e">
        <f ca="1">IF(セルの固定色(AK13)=セルの固定色(AK$2),1,"")</f>
        <v>#NAME?</v>
      </c>
      <c r="AM13" s="14" t="e">
        <f ca="1">IF(OR(ISBLANK(AL13),AL13=""),"",COUNTIF(AL$2:AL13,"&gt;0"))</f>
        <v>#NAME?</v>
      </c>
      <c r="AN13" s="14" t="str">
        <f t="shared" ca="1" si="5"/>
        <v/>
      </c>
      <c r="AO13" s="14" t="e">
        <f t="shared" ca="1" si="9"/>
        <v>#NAME?</v>
      </c>
      <c r="AP13" s="14" t="e">
        <f ca="1">IF(ISBLANK(AK13),"",LOOKUP(1,0/(AM$2:AM13=MAX(AM$2:AM13)),AK$2:AK13))</f>
        <v>#N/A</v>
      </c>
    </row>
    <row r="14" spans="1:47">
      <c r="A14" s="22">
        <f ca="1">COUNTIF(INDIRECT("C"&amp;包括抽出&amp;":C"&amp;包括抽出,FALSE),"技輸審*")</f>
        <v>10</v>
      </c>
      <c r="B14" t="s">
        <v>191</v>
      </c>
      <c r="C14" s="8" t="b">
        <f>IF(B14="","",COUNTIF(B$1:B13,B14)=0)</f>
        <v>1</v>
      </c>
      <c r="D14" s="8">
        <f>IF(B14="","",IF(C14,COUNTIF(C$2:C14,TRUE),""))</f>
        <v>7</v>
      </c>
      <c r="E14" s="8" t="str">
        <f t="shared" si="0"/>
        <v>ＧＩＯ</v>
      </c>
      <c r="F14" s="8" t="str">
        <f t="shared" ca="1" si="1"/>
        <v>旧 ＧＩＯ</v>
      </c>
      <c r="G14" s="8" t="str">
        <f>IF(ISBLANK(E14),"",IF(COUNTIF(AK:AK,"="&amp;E14)&gt;0,"",MAX(G$1:G13)+1))</f>
        <v/>
      </c>
      <c r="H14" s="8">
        <f t="shared" si="10"/>
        <v>2</v>
      </c>
      <c r="J14" s="20" t="str">
        <f t="shared" ca="1" si="11"/>
        <v/>
      </c>
      <c r="K14" s="20" t="str">
        <f t="shared" ca="1" si="14"/>
        <v/>
      </c>
      <c r="M14" s="8" t="str">
        <f t="shared" ca="1" si="15"/>
        <v/>
      </c>
      <c r="N14" s="8" t="str">
        <f ca="1">IF(J14="","",IF(M14,COUNTIF(M$4:M14,TRUE),0))</f>
        <v/>
      </c>
      <c r="O14" s="8" t="str">
        <f t="shared" ca="1" si="16"/>
        <v/>
      </c>
      <c r="P14" s="8" t="str">
        <f t="shared" ca="1" si="17"/>
        <v/>
      </c>
      <c r="Q14" s="8" t="str">
        <f t="shared" ca="1" si="18"/>
        <v/>
      </c>
      <c r="S14" t="s">
        <v>259</v>
      </c>
      <c r="U14" s="10" t="str">
        <f t="shared" si="2"/>
        <v/>
      </c>
      <c r="V14" s="10" t="str">
        <f>IF(OR(U14="",U14=0),"",COUNTIF(U$2:U14,"&gt;0"))</f>
        <v/>
      </c>
      <c r="W14" s="10" t="str">
        <f t="shared" si="6"/>
        <v/>
      </c>
      <c r="X14" s="10" t="str">
        <f t="shared" si="7"/>
        <v/>
      </c>
      <c r="Z14" t="s">
        <v>733</v>
      </c>
      <c r="AB14" s="18" t="s">
        <v>780</v>
      </c>
      <c r="AC14" s="8">
        <f t="shared" si="8"/>
        <v>3</v>
      </c>
      <c r="AD14" s="12">
        <f t="shared" si="19"/>
        <v>3</v>
      </c>
      <c r="AE14" s="8">
        <f t="shared" si="4"/>
        <v>7</v>
      </c>
      <c r="AK14" s="23" t="s">
        <v>1089</v>
      </c>
      <c r="AL14" s="14" t="e">
        <f ca="1">IF(セルの固定色(AK14)=セルの固定色(AK$2),1,"")</f>
        <v>#NAME?</v>
      </c>
      <c r="AM14" s="14" t="e">
        <f ca="1">IF(OR(ISBLANK(AL14),AL14=""),"",COUNTIF(AL$2:AL14,"&gt;0"))</f>
        <v>#NAME?</v>
      </c>
      <c r="AN14" s="14" t="str">
        <f t="shared" ca="1" si="5"/>
        <v/>
      </c>
      <c r="AO14" s="14" t="e">
        <f t="shared" ca="1" si="9"/>
        <v>#NAME?</v>
      </c>
      <c r="AP14" s="14" t="e">
        <f ca="1">IF(ISBLANK(AK14),"",LOOKUP(1,0/(AM$2:AM14=MAX(AM$2:AM14)),AK$2:AK14))</f>
        <v>#N/A</v>
      </c>
    </row>
    <row r="15" spans="1:47" ht="19.5" thickBot="1">
      <c r="A15" s="7" t="s">
        <v>1090</v>
      </c>
      <c r="B15" t="s">
        <v>101</v>
      </c>
      <c r="C15" s="8" t="b">
        <f>IF(B15="","",COUNTIF(B$1:B14,B15)=0)</f>
        <v>0</v>
      </c>
      <c r="D15" s="8" t="str">
        <f>IF(B15="","",IF(C15,COUNTIF(C$2:C15,TRUE),""))</f>
        <v/>
      </c>
      <c r="E15" s="8" t="str">
        <f t="shared" si="0"/>
        <v>ＶＴＳ</v>
      </c>
      <c r="F15" s="8" t="str">
        <f t="shared" ca="1" si="1"/>
        <v>旧 ＶＴＳ</v>
      </c>
      <c r="G15" s="8" t="str">
        <f>IF(ISBLANK(E15),"",IF(COUNTIF(AK:AK,"="&amp;E15)&gt;0,"",MAX(G$1:G14)+1))</f>
        <v/>
      </c>
      <c r="H15" s="8">
        <f t="shared" si="10"/>
        <v>2</v>
      </c>
      <c r="J15" s="20" t="str">
        <f t="shared" ca="1" si="11"/>
        <v/>
      </c>
      <c r="K15" s="20" t="str">
        <f t="shared" ca="1" si="14"/>
        <v/>
      </c>
      <c r="M15" s="8" t="str">
        <f t="shared" ca="1" si="15"/>
        <v/>
      </c>
      <c r="N15" s="8" t="str">
        <f ca="1">IF(J15="","",IF(M15,COUNTIF(M$4:M15,TRUE),0))</f>
        <v/>
      </c>
      <c r="O15" s="8" t="str">
        <f t="shared" ca="1" si="16"/>
        <v/>
      </c>
      <c r="P15" s="8" t="str">
        <f t="shared" ca="1" si="17"/>
        <v/>
      </c>
      <c r="Q15" s="8" t="str">
        <f t="shared" ca="1" si="18"/>
        <v/>
      </c>
      <c r="S15" t="s">
        <v>54</v>
      </c>
      <c r="U15" s="10" t="str">
        <f t="shared" si="2"/>
        <v/>
      </c>
      <c r="V15" s="10" t="str">
        <f>IF(OR(U15="",U15=0),"",COUNTIF(U$2:U15,"&gt;0"))</f>
        <v/>
      </c>
      <c r="W15" s="10" t="str">
        <f t="shared" si="6"/>
        <v/>
      </c>
      <c r="X15" s="10" t="str">
        <f t="shared" si="7"/>
        <v/>
      </c>
      <c r="Z15" t="s">
        <v>83</v>
      </c>
      <c r="AB15" s="18" t="s">
        <v>59</v>
      </c>
      <c r="AC15" s="8">
        <f t="shared" si="8"/>
        <v>4</v>
      </c>
      <c r="AD15" s="12">
        <f t="shared" si="19"/>
        <v>4</v>
      </c>
      <c r="AE15" s="8">
        <f t="shared" si="4"/>
        <v>6</v>
      </c>
      <c r="AF15" s="12">
        <v>6</v>
      </c>
      <c r="AK15" s="23" t="s">
        <v>1091</v>
      </c>
      <c r="AL15" s="14" t="e">
        <f ca="1">IF(セルの固定色(AK15)=セルの固定色(AK$2),1,"")</f>
        <v>#NAME?</v>
      </c>
      <c r="AM15" s="14" t="e">
        <f ca="1">IF(OR(ISBLANK(AL15),AL15=""),"",COUNTIF(AL$2:AL15,"&gt;0"))</f>
        <v>#NAME?</v>
      </c>
      <c r="AN15" s="14" t="str">
        <f t="shared" ca="1" si="5"/>
        <v/>
      </c>
      <c r="AO15" s="14" t="e">
        <f t="shared" ca="1" si="9"/>
        <v>#NAME?</v>
      </c>
      <c r="AP15" s="14" t="e">
        <f ca="1">IF(ISBLANK(AK15),"",LOOKUP(1,0/(AM$2:AM15=MAX(AM$2:AM15)),AK$2:AK15))</f>
        <v>#N/A</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10"/>
        <v/>
      </c>
      <c r="J16" s="20" t="str">
        <f t="shared" ca="1" si="11"/>
        <v/>
      </c>
      <c r="K16" s="20" t="str">
        <f t="shared" ca="1" si="14"/>
        <v/>
      </c>
      <c r="M16" s="8" t="str">
        <f t="shared" ca="1" si="15"/>
        <v/>
      </c>
      <c r="N16" s="8" t="str">
        <f ca="1">IF(J16="","",IF(M16,COUNTIF(M$4:M16,TRUE),0))</f>
        <v/>
      </c>
      <c r="O16" s="8" t="str">
        <f t="shared" ca="1" si="16"/>
        <v/>
      </c>
      <c r="P16" s="8" t="str">
        <f t="shared" ca="1" si="17"/>
        <v/>
      </c>
      <c r="Q16" s="8" t="str">
        <f t="shared" ca="1" si="18"/>
        <v/>
      </c>
      <c r="S16" t="s">
        <v>54</v>
      </c>
      <c r="U16" s="10" t="str">
        <f t="shared" si="2"/>
        <v/>
      </c>
      <c r="V16" s="10" t="str">
        <f>IF(OR(U16="",U16=0),"",COUNTIF(U$2:U16,"&gt;0"))</f>
        <v/>
      </c>
      <c r="W16" s="10" t="str">
        <f t="shared" si="6"/>
        <v/>
      </c>
      <c r="X16" s="10" t="str">
        <f t="shared" si="7"/>
        <v/>
      </c>
      <c r="Z16" t="s">
        <v>68</v>
      </c>
      <c r="AB16" s="18" t="s">
        <v>795</v>
      </c>
      <c r="AC16" s="8">
        <f t="shared" si="8"/>
        <v>1</v>
      </c>
      <c r="AD16" s="12">
        <f t="shared" si="19"/>
        <v>1</v>
      </c>
      <c r="AE16" s="8">
        <f t="shared" si="4"/>
        <v>14</v>
      </c>
      <c r="AK16" s="24" t="s">
        <v>1092</v>
      </c>
      <c r="AL16" s="14" t="e">
        <f ca="1">IF(セルの固定色(AK16)=セルの固定色(AK$2),1,"")</f>
        <v>#NAME?</v>
      </c>
      <c r="AM16" s="14" t="e">
        <f ca="1">IF(OR(ISBLANK(AL16),AL16=""),"",COUNTIF(AL$2:AL16,"&gt;0"))</f>
        <v>#NAME?</v>
      </c>
      <c r="AN16" s="14" t="str">
        <f t="shared" ca="1" si="5"/>
        <v/>
      </c>
      <c r="AO16" s="14" t="e">
        <f t="shared" ca="1" si="9"/>
        <v>#NAME?</v>
      </c>
      <c r="AP16" s="14" t="e">
        <f ca="1">IF(ISBLANK(AK16),"",LOOKUP(1,0/(AM$2:AM16=MAX(AM$2:AM16)),AK$2:AK16))</f>
        <v>#N/A</v>
      </c>
    </row>
    <row r="17" spans="1:42">
      <c r="A17" s="22">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10"/>
        <v/>
      </c>
      <c r="J17" s="20" t="str">
        <f t="shared" ca="1" si="11"/>
        <v/>
      </c>
      <c r="K17" s="20" t="str">
        <f t="shared" ca="1" si="14"/>
        <v/>
      </c>
      <c r="M17" s="8" t="str">
        <f t="shared" ca="1" si="15"/>
        <v/>
      </c>
      <c r="N17" s="8" t="str">
        <f ca="1">IF(J17="","",IF(M17,COUNTIF(M$4:M17,TRUE),0))</f>
        <v/>
      </c>
      <c r="O17" s="8" t="str">
        <f t="shared" ca="1" si="16"/>
        <v/>
      </c>
      <c r="P17" s="8" t="str">
        <f t="shared" ca="1" si="17"/>
        <v/>
      </c>
      <c r="Q17" s="8" t="str">
        <f t="shared" ca="1" si="18"/>
        <v/>
      </c>
      <c r="S17" t="s">
        <v>27</v>
      </c>
      <c r="U17" s="10" t="str">
        <f t="shared" si="2"/>
        <v/>
      </c>
      <c r="V17" s="10" t="str">
        <f>IF(OR(U17="",U17=0),"",COUNTIF(U$2:U17,"&gt;0"))</f>
        <v/>
      </c>
      <c r="W17" s="10" t="str">
        <f t="shared" si="6"/>
        <v/>
      </c>
      <c r="X17" s="10" t="str">
        <f t="shared" si="7"/>
        <v/>
      </c>
      <c r="Z17" t="s">
        <v>246</v>
      </c>
      <c r="AB17" s="18" t="s">
        <v>532</v>
      </c>
      <c r="AC17" s="8">
        <f t="shared" si="8"/>
        <v>2</v>
      </c>
      <c r="AD17" s="12">
        <f t="shared" si="19"/>
        <v>2</v>
      </c>
      <c r="AE17" s="8">
        <f t="shared" si="4"/>
        <v>10</v>
      </c>
      <c r="AK17" s="19" t="s">
        <v>1093</v>
      </c>
      <c r="AL17" s="14" t="e">
        <f ca="1">IF(セルの固定色(AK17)=セルの固定色(AK$2),1,"")</f>
        <v>#NAME?</v>
      </c>
      <c r="AM17" s="14" t="e">
        <f ca="1">IF(OR(ISBLANK(AL17),AL17=""),"",COUNTIF(AL$2:AL17,"&gt;0"))</f>
        <v>#NAME?</v>
      </c>
      <c r="AN17" s="14" t="str">
        <f t="shared" ca="1" si="5"/>
        <v/>
      </c>
      <c r="AO17" s="14" t="e">
        <f t="shared" ca="1" si="9"/>
        <v>#NAME?</v>
      </c>
      <c r="AP17" s="14" t="e">
        <f ca="1">IF(ISBLANK(AK17),"",LOOKUP(1,0/(AM$2:AM17=MAX(AM$2:AM17)),AK$2:AK17))</f>
        <v>#N/A</v>
      </c>
    </row>
    <row r="18" spans="1:42">
      <c r="A18" s="7" t="s">
        <v>1094</v>
      </c>
      <c r="B18" t="s">
        <v>32</v>
      </c>
      <c r="C18" s="8" t="b">
        <f>IF(B18="","",COUNTIF(B$1:B17,B18)=0)</f>
        <v>0</v>
      </c>
      <c r="D18" s="8" t="str">
        <f>IF(B18="","",IF(C18,COUNTIF(C$2:C18,TRUE),""))</f>
        <v/>
      </c>
      <c r="E18" s="8" t="str">
        <f t="shared" si="0"/>
        <v/>
      </c>
      <c r="F18" s="8" t="str">
        <f t="shared" si="1"/>
        <v/>
      </c>
      <c r="G18" s="8" t="str">
        <f>IF(ISBLANK(E18),"",IF(COUNTIF(AK:AK,"="&amp;E18)&gt;0,"",MAX(G$1:G17)+1))</f>
        <v/>
      </c>
      <c r="H18" s="8" t="str">
        <f t="shared" si="10"/>
        <v/>
      </c>
      <c r="J18" s="20" t="str">
        <f t="shared" ca="1" si="11"/>
        <v/>
      </c>
      <c r="K18" s="20" t="str">
        <f t="shared" ca="1" si="14"/>
        <v/>
      </c>
      <c r="M18" s="8" t="str">
        <f t="shared" ca="1" si="15"/>
        <v/>
      </c>
      <c r="N18" s="8" t="str">
        <f ca="1">IF(J18="","",IF(M18,COUNTIF(M$4:M18,TRUE),0))</f>
        <v/>
      </c>
      <c r="O18" s="8" t="str">
        <f t="shared" ca="1" si="16"/>
        <v/>
      </c>
      <c r="P18" s="8" t="str">
        <f t="shared" ca="1" si="17"/>
        <v/>
      </c>
      <c r="Q18" s="8" t="str">
        <f t="shared" ca="1" si="18"/>
        <v/>
      </c>
      <c r="S18" t="s">
        <v>27</v>
      </c>
      <c r="U18" s="10" t="str">
        <f t="shared" si="2"/>
        <v/>
      </c>
      <c r="V18" s="10" t="str">
        <f>IF(OR(U18="",U18=0),"",COUNTIF(U$2:U18,"&gt;0"))</f>
        <v/>
      </c>
      <c r="W18" s="10" t="str">
        <f t="shared" si="6"/>
        <v/>
      </c>
      <c r="X18" s="10" t="str">
        <f t="shared" si="7"/>
        <v/>
      </c>
      <c r="Z18" t="s">
        <v>83</v>
      </c>
      <c r="AB18" s="18" t="s">
        <v>208</v>
      </c>
      <c r="AC18" s="8">
        <f t="shared" si="8"/>
        <v>2</v>
      </c>
      <c r="AD18" s="12">
        <f t="shared" si="19"/>
        <v>2</v>
      </c>
      <c r="AE18" s="8">
        <f t="shared" si="4"/>
        <v>10</v>
      </c>
      <c r="AK18" s="19" t="s">
        <v>1095</v>
      </c>
      <c r="AL18" s="14" t="e">
        <f ca="1">IF(セルの固定色(AK18)=セルの固定色(AK$2),1,"")</f>
        <v>#NAME?</v>
      </c>
      <c r="AM18" s="14" t="e">
        <f ca="1">IF(OR(ISBLANK(AL18),AL18=""),"",COUNTIF(AL$2:AL18,"&gt;0"))</f>
        <v>#NAME?</v>
      </c>
      <c r="AN18" s="14" t="str">
        <f t="shared" ca="1" si="5"/>
        <v/>
      </c>
      <c r="AO18" s="14" t="e">
        <f t="shared" ca="1" si="9"/>
        <v>#NAME?</v>
      </c>
      <c r="AP18" s="14" t="e">
        <f ca="1">IF(ISBLANK(AK18),"",LOOKUP(1,0/(AM$2:AM18=MAX(AM$2:AM18)),AK$2:AK18))</f>
        <v>#N/A</v>
      </c>
    </row>
    <row r="19" spans="1:42">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10"/>
        <v/>
      </c>
      <c r="J19" s="20" t="str">
        <f t="shared" ca="1" si="11"/>
        <v/>
      </c>
      <c r="K19" s="20" t="str">
        <f t="shared" ca="1" si="14"/>
        <v/>
      </c>
      <c r="M19" s="8" t="str">
        <f t="shared" ca="1" si="15"/>
        <v/>
      </c>
      <c r="N19" s="8" t="str">
        <f ca="1">IF(J19="","",IF(M19,COUNTIF(M$4:M19,TRUE),0))</f>
        <v/>
      </c>
      <c r="O19" s="8" t="str">
        <f t="shared" ca="1" si="16"/>
        <v/>
      </c>
      <c r="P19" s="8" t="str">
        <f t="shared" ca="1" si="17"/>
        <v/>
      </c>
      <c r="Q19" s="8" t="str">
        <f t="shared" ca="1" si="18"/>
        <v/>
      </c>
      <c r="S19" t="s">
        <v>54</v>
      </c>
      <c r="U19" s="10" t="str">
        <f t="shared" si="2"/>
        <v/>
      </c>
      <c r="V19" s="10" t="str">
        <f>IF(OR(U19="",U19=0),"",COUNTIF(U$2:U19,"&gt;0"))</f>
        <v/>
      </c>
      <c r="W19" s="10" t="str">
        <f t="shared" si="6"/>
        <v/>
      </c>
      <c r="X19" s="10" t="str">
        <f t="shared" si="7"/>
        <v/>
      </c>
      <c r="Z19" t="s">
        <v>83</v>
      </c>
      <c r="AB19" s="18" t="s">
        <v>826</v>
      </c>
      <c r="AC19" s="8">
        <f t="shared" si="8"/>
        <v>1</v>
      </c>
      <c r="AD19" s="12">
        <f t="shared" si="19"/>
        <v>1</v>
      </c>
      <c r="AE19" s="8">
        <f t="shared" si="4"/>
        <v>14</v>
      </c>
      <c r="AK19" s="19" t="s">
        <v>1096</v>
      </c>
      <c r="AL19" s="14" t="e">
        <f ca="1">IF(セルの固定色(AK19)=セルの固定色(AK$2),1,"")</f>
        <v>#NAME?</v>
      </c>
      <c r="AM19" s="14" t="e">
        <f ca="1">IF(OR(ISBLANK(AL19),AL19=""),"",COUNTIF(AL$2:AL19,"&gt;0"))</f>
        <v>#NAME?</v>
      </c>
      <c r="AN19" s="14" t="str">
        <f t="shared" ca="1" si="5"/>
        <v/>
      </c>
      <c r="AO19" s="14" t="e">
        <f t="shared" ca="1" si="9"/>
        <v>#NAME?</v>
      </c>
      <c r="AP19" s="14" t="e">
        <f ca="1">IF(ISBLANK(AK19),"",LOOKUP(1,0/(AM$2:AM19=MAX(AM$2:AM19)),AK$2:AK19))</f>
        <v>#N/A</v>
      </c>
    </row>
    <row r="20" spans="1:42">
      <c r="A20" s="22">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10"/>
        <v/>
      </c>
      <c r="J20" s="20" t="str">
        <f t="shared" ca="1" si="11"/>
        <v/>
      </c>
      <c r="K20" s="20" t="str">
        <f t="shared" ca="1" si="14"/>
        <v/>
      </c>
      <c r="M20" s="8" t="str">
        <f t="shared" ca="1" si="15"/>
        <v/>
      </c>
      <c r="N20" s="8" t="str">
        <f ca="1">IF(J20="","",IF(M20,COUNTIF(M$4:M20,TRUE),0))</f>
        <v/>
      </c>
      <c r="O20" s="8" t="str">
        <f t="shared" ca="1" si="16"/>
        <v/>
      </c>
      <c r="P20" s="8" t="str">
        <f t="shared" ca="1" si="17"/>
        <v/>
      </c>
      <c r="Q20" s="8" t="str">
        <f t="shared" ca="1" si="18"/>
        <v/>
      </c>
      <c r="S20" t="s">
        <v>54</v>
      </c>
      <c r="U20" s="10" t="str">
        <f t="shared" si="2"/>
        <v/>
      </c>
      <c r="V20" s="10" t="str">
        <f>IF(OR(U20="",U20=0),"",COUNTIF(U$2:U20,"&gt;0"))</f>
        <v/>
      </c>
      <c r="W20" s="10" t="str">
        <f t="shared" si="6"/>
        <v/>
      </c>
      <c r="X20" s="10" t="str">
        <f t="shared" si="7"/>
        <v/>
      </c>
      <c r="Z20" t="s">
        <v>68</v>
      </c>
      <c r="AB20" s="18" t="s">
        <v>222</v>
      </c>
      <c r="AC20" s="8">
        <f t="shared" si="8"/>
        <v>7</v>
      </c>
      <c r="AD20" s="12">
        <f t="shared" si="19"/>
        <v>7</v>
      </c>
      <c r="AE20" s="8">
        <f t="shared" si="4"/>
        <v>4</v>
      </c>
      <c r="AF20" s="12">
        <v>4</v>
      </c>
      <c r="AK20" s="25" t="s">
        <v>1097</v>
      </c>
      <c r="AL20" s="14" t="e">
        <f ca="1">IF(セルの固定色(AK20)=セルの固定色(AK$2),1,"")</f>
        <v>#NAME?</v>
      </c>
      <c r="AM20" s="14" t="e">
        <f ca="1">IF(OR(ISBLANK(AL20),AL20=""),"",COUNTIF(AL$2:AL20,"&gt;0"))</f>
        <v>#NAME?</v>
      </c>
      <c r="AN20" s="14" t="str">
        <f t="shared" ca="1" si="5"/>
        <v/>
      </c>
      <c r="AO20" s="14" t="e">
        <f t="shared" ca="1" si="9"/>
        <v>#NAME?</v>
      </c>
      <c r="AP20" s="14" t="e">
        <f ca="1">IF(ISBLANK(AK20),"",LOOKUP(1,0/(AM$2:AM20=MAX(AM$2:AM20)),AK$2:AK20))</f>
        <v>#N/A</v>
      </c>
    </row>
    <row r="21" spans="1:42">
      <c r="A21" s="7" t="s">
        <v>1098</v>
      </c>
      <c r="B21" t="s">
        <v>47</v>
      </c>
      <c r="C21" s="8" t="b">
        <f>IF(B21="","",COUNTIF(B$1:B20,B21)=0)</f>
        <v>0</v>
      </c>
      <c r="D21" s="8" t="str">
        <f>IF(B21="","",IF(C21,COUNTIF(C$2:C21,TRUE),""))</f>
        <v/>
      </c>
      <c r="E21" s="8" t="str">
        <f t="shared" si="20"/>
        <v/>
      </c>
      <c r="F21" s="8" t="str">
        <f t="shared" si="1"/>
        <v/>
      </c>
      <c r="G21" s="8" t="str">
        <f>IF(ISBLANK(E21),"",IF(COUNTIF(AK:AK,"="&amp;E21)&gt;0,"",MAX(G$1:G20)+1))</f>
        <v/>
      </c>
      <c r="H21" s="8" t="str">
        <f t="shared" si="10"/>
        <v/>
      </c>
      <c r="J21" s="20" t="str">
        <f t="shared" ca="1" si="11"/>
        <v/>
      </c>
      <c r="K21" s="20" t="str">
        <f t="shared" ca="1" si="14"/>
        <v/>
      </c>
      <c r="M21" s="8" t="str">
        <f t="shared" ca="1" si="15"/>
        <v/>
      </c>
      <c r="N21" s="8" t="str">
        <f ca="1">IF(J21="","",IF(M21,COUNTIF(M$4:M21,TRUE),0))</f>
        <v/>
      </c>
      <c r="O21" s="8" t="str">
        <f t="shared" ca="1" si="16"/>
        <v/>
      </c>
      <c r="P21" s="8" t="str">
        <f t="shared" ca="1" si="17"/>
        <v/>
      </c>
      <c r="Q21" s="8" t="str">
        <f t="shared" ca="1" si="18"/>
        <v/>
      </c>
      <c r="S21" t="s">
        <v>27</v>
      </c>
      <c r="U21" s="10" t="str">
        <f t="shared" si="2"/>
        <v/>
      </c>
      <c r="V21" s="10" t="str">
        <f>IF(OR(U21="",U21=0),"",COUNTIF(U$2:U21,"&gt;0"))</f>
        <v/>
      </c>
      <c r="W21" s="10" t="str">
        <f t="shared" si="6"/>
        <v/>
      </c>
      <c r="X21" s="10" t="str">
        <f t="shared" si="7"/>
        <v/>
      </c>
      <c r="Z21" t="s">
        <v>68</v>
      </c>
      <c r="AB21" s="18" t="s">
        <v>105</v>
      </c>
      <c r="AC21" s="8">
        <f t="shared" si="8"/>
        <v>1</v>
      </c>
      <c r="AD21" s="12">
        <f t="shared" si="19"/>
        <v>1</v>
      </c>
      <c r="AE21" s="8">
        <f t="shared" si="4"/>
        <v>14</v>
      </c>
      <c r="AK21" s="25" t="s">
        <v>1099</v>
      </c>
      <c r="AL21" s="14" t="e">
        <f ca="1">IF(セルの固定色(AK21)=セルの固定色(AK$2),1,"")</f>
        <v>#NAME?</v>
      </c>
      <c r="AM21" s="14" t="e">
        <f ca="1">IF(OR(ISBLANK(AL21),AL21=""),"",COUNTIF(AL$2:AL21,"&gt;0"))</f>
        <v>#NAME?</v>
      </c>
      <c r="AN21" s="14" t="str">
        <f t="shared" ca="1" si="5"/>
        <v/>
      </c>
      <c r="AO21" s="14" t="e">
        <f t="shared" ca="1" si="9"/>
        <v>#NAME?</v>
      </c>
      <c r="AP21" s="14" t="e">
        <f ca="1">IF(ISBLANK(AK21),"",LOOKUP(1,0/(AM$2:AM21=MAX(AM$2:AM21)),AK$2:AK21))</f>
        <v>#N/A</v>
      </c>
    </row>
    <row r="22" spans="1:42">
      <c r="A22" s="22">
        <v>105</v>
      </c>
      <c r="B22" t="s">
        <v>47</v>
      </c>
      <c r="C22" s="8" t="b">
        <f>IF(B22="","",COUNTIF(B$1:B21,B22)=0)</f>
        <v>0</v>
      </c>
      <c r="D22" s="8" t="str">
        <f>IF(B22="","",IF(C22,COUNTIF(C$2:C22,TRUE),""))</f>
        <v/>
      </c>
      <c r="E22" s="8" t="str">
        <f t="shared" si="20"/>
        <v/>
      </c>
      <c r="F22" s="8" t="str">
        <f t="shared" si="1"/>
        <v/>
      </c>
      <c r="G22" s="8" t="str">
        <f>IF(ISBLANK(E22),"",IF(COUNTIF(AK:AK,"="&amp;E22)&gt;0,"",MAX(G$1:G21)+1))</f>
        <v/>
      </c>
      <c r="H22" s="8" t="str">
        <f t="shared" si="10"/>
        <v/>
      </c>
      <c r="J22" s="20" t="str">
        <f t="shared" ca="1" si="11"/>
        <v/>
      </c>
      <c r="K22" s="20" t="str">
        <f t="shared" ca="1" si="14"/>
        <v/>
      </c>
      <c r="M22" s="8" t="str">
        <f t="shared" ca="1" si="15"/>
        <v/>
      </c>
      <c r="N22" s="8" t="str">
        <f ca="1">IF(J22="","",IF(M22,COUNTIF(M$4:M22,TRUE),0))</f>
        <v/>
      </c>
      <c r="O22" s="8" t="str">
        <f t="shared" ca="1" si="16"/>
        <v/>
      </c>
      <c r="P22" s="8" t="str">
        <f t="shared" ca="1" si="17"/>
        <v/>
      </c>
      <c r="Q22" s="8" t="str">
        <f t="shared" ca="1" si="18"/>
        <v/>
      </c>
      <c r="S22" t="s">
        <v>494</v>
      </c>
      <c r="U22" s="10" t="str">
        <f t="shared" si="2"/>
        <v/>
      </c>
      <c r="V22" s="10" t="str">
        <f>IF(OR(U22="",U22=0),"",COUNTIF(U$2:U22,"&gt;0"))</f>
        <v/>
      </c>
      <c r="W22" s="10" t="str">
        <f t="shared" si="6"/>
        <v/>
      </c>
      <c r="X22" s="10" t="str">
        <f t="shared" si="7"/>
        <v/>
      </c>
      <c r="Z22" t="s">
        <v>44</v>
      </c>
      <c r="AB22" s="18" t="s">
        <v>903</v>
      </c>
      <c r="AC22" s="8">
        <f t="shared" si="8"/>
        <v>2</v>
      </c>
      <c r="AD22" s="12">
        <f t="shared" si="19"/>
        <v>2</v>
      </c>
      <c r="AE22" s="8">
        <f t="shared" si="4"/>
        <v>10</v>
      </c>
      <c r="AK22" s="25" t="s">
        <v>1100</v>
      </c>
      <c r="AL22" s="14" t="e">
        <f ca="1">IF(セルの固定色(AK22)=セルの固定色(AK$2),1,"")</f>
        <v>#NAME?</v>
      </c>
      <c r="AM22" s="14" t="e">
        <f ca="1">IF(OR(ISBLANK(AL22),AL22=""),"",COUNTIF(AL$2:AL22,"&gt;0"))</f>
        <v>#NAME?</v>
      </c>
      <c r="AN22" s="14" t="str">
        <f t="shared" ca="1" si="5"/>
        <v/>
      </c>
      <c r="AO22" s="14" t="e">
        <f t="shared" ca="1" si="9"/>
        <v>#NAME?</v>
      </c>
      <c r="AP22" s="14" t="e">
        <f ca="1">IF(ISBLANK(AK22),"",LOOKUP(1,0/(AM$2:AM22=MAX(AM$2:AM22)),AK$2:AK22))</f>
        <v>#N/A</v>
      </c>
    </row>
    <row r="23" spans="1:42">
      <c r="B23" t="s">
        <v>128</v>
      </c>
      <c r="C23" s="8" t="b">
        <f>IF(B23="","",COUNTIF(B$1:B22,B23)=0)</f>
        <v>1</v>
      </c>
      <c r="D23" s="8">
        <f>IF(B23="","",IF(C23,COUNTIF(C$2:C23,TRUE),""))</f>
        <v>8</v>
      </c>
      <c r="E23" s="8" t="str">
        <f t="shared" si="20"/>
        <v/>
      </c>
      <c r="F23" s="8" t="str">
        <f t="shared" si="1"/>
        <v/>
      </c>
      <c r="G23" s="8" t="str">
        <f>IF(ISBLANK(E23),"",IF(COUNTIF(AK:AK,"="&amp;E23)&gt;0,"",MAX(G$1:G22)+1))</f>
        <v/>
      </c>
      <c r="H23" s="8" t="str">
        <f t="shared" si="10"/>
        <v/>
      </c>
      <c r="J23" s="20" t="str">
        <f t="shared" ca="1" si="11"/>
        <v/>
      </c>
      <c r="K23" s="20" t="str">
        <f t="shared" ca="1" si="14"/>
        <v/>
      </c>
      <c r="M23" s="8" t="str">
        <f t="shared" ca="1" si="15"/>
        <v/>
      </c>
      <c r="N23" s="8" t="str">
        <f ca="1">IF(J23="","",IF(M23,COUNTIF(M$4:M23,TRUE),0))</f>
        <v/>
      </c>
      <c r="O23" s="8" t="str">
        <f t="shared" ca="1" si="16"/>
        <v/>
      </c>
      <c r="P23" s="8" t="str">
        <f t="shared" ca="1" si="17"/>
        <v/>
      </c>
      <c r="Q23" s="8" t="str">
        <f t="shared" ca="1" si="18"/>
        <v/>
      </c>
      <c r="S23" t="s">
        <v>54</v>
      </c>
      <c r="U23" s="10" t="str">
        <f t="shared" si="2"/>
        <v/>
      </c>
      <c r="V23" s="10" t="str">
        <f>IF(OR(U23="",U23=0),"",COUNTIF(U$2:U23,"&gt;0"))</f>
        <v/>
      </c>
      <c r="W23" s="10" t="str">
        <f t="shared" si="6"/>
        <v/>
      </c>
      <c r="X23" s="10" t="str">
        <f t="shared" si="7"/>
        <v/>
      </c>
      <c r="Z23" t="s">
        <v>37</v>
      </c>
      <c r="AB23" s="18" t="s">
        <v>911</v>
      </c>
      <c r="AC23" s="8">
        <f t="shared" si="8"/>
        <v>1</v>
      </c>
      <c r="AD23" s="12">
        <f t="shared" si="19"/>
        <v>1</v>
      </c>
      <c r="AE23" s="8">
        <f t="shared" si="4"/>
        <v>14</v>
      </c>
      <c r="AK23" s="26" t="s">
        <v>1101</v>
      </c>
      <c r="AL23" s="14" t="e">
        <f ca="1">IF(セルの固定色(AK23)=セルの固定色(AK$2),1,"")</f>
        <v>#NAME?</v>
      </c>
      <c r="AM23" s="14" t="e">
        <f ca="1">IF(OR(ISBLANK(AL23),AL23=""),"",COUNTIF(AL$2:AL23,"&gt;0"))</f>
        <v>#NAME?</v>
      </c>
      <c r="AN23" s="14" t="str">
        <f t="shared" ca="1" si="5"/>
        <v/>
      </c>
      <c r="AO23" s="14" t="e">
        <f t="shared" ca="1" si="9"/>
        <v>#NAME?</v>
      </c>
      <c r="AP23" s="14" t="e">
        <f ca="1">IF(ISBLANK(AK23),"",LOOKUP(1,0/(AM$2:AM23=MAX(AM$2:AM23)),AK$2:AK23))</f>
        <v>#N/A</v>
      </c>
    </row>
    <row r="24" spans="1:42" ht="19.5" thickBot="1">
      <c r="B24" t="s">
        <v>32</v>
      </c>
      <c r="C24" s="8" t="b">
        <f>IF(B24="","",COUNTIF(B$1:B23,B24)=0)</f>
        <v>0</v>
      </c>
      <c r="D24" s="8" t="str">
        <f>IF(B24="","",IF(C24,COUNTIF(C$2:C24,TRUE),""))</f>
        <v/>
      </c>
      <c r="E24" s="8" t="str">
        <f t="shared" si="20"/>
        <v/>
      </c>
      <c r="F24" s="8" t="str">
        <f t="shared" si="1"/>
        <v/>
      </c>
      <c r="G24" s="8" t="str">
        <f>IF(ISBLANK(E24),"",IF(COUNTIF(AK:AK,"="&amp;E24)&gt;0,"",MAX(G$1:G23)+1))</f>
        <v/>
      </c>
      <c r="H24" s="8" t="str">
        <f t="shared" si="10"/>
        <v/>
      </c>
      <c r="J24" s="20" t="str">
        <f t="shared" ca="1" si="11"/>
        <v/>
      </c>
      <c r="K24" s="20" t="str">
        <f t="shared" ca="1" si="14"/>
        <v/>
      </c>
      <c r="M24" s="8" t="str">
        <f t="shared" ca="1" si="15"/>
        <v/>
      </c>
      <c r="N24" s="8" t="str">
        <f ca="1">IF(J24="","",IF(M24,COUNTIF(M$4:M24,TRUE),0))</f>
        <v/>
      </c>
      <c r="O24" s="8" t="str">
        <f t="shared" ca="1" si="16"/>
        <v/>
      </c>
      <c r="P24" s="8" t="str">
        <f t="shared" ca="1" si="17"/>
        <v/>
      </c>
      <c r="Q24" s="8" t="str">
        <f t="shared" ca="1" si="18"/>
        <v/>
      </c>
      <c r="S24" t="s">
        <v>494</v>
      </c>
      <c r="U24" s="10" t="str">
        <f t="shared" si="2"/>
        <v/>
      </c>
      <c r="V24" s="10" t="str">
        <f>IF(OR(U24="",U24=0),"",COUNTIF(U$2:U24,"&gt;0"))</f>
        <v/>
      </c>
      <c r="W24" s="10" t="str">
        <f t="shared" si="6"/>
        <v/>
      </c>
      <c r="X24" s="10" t="str">
        <f t="shared" si="7"/>
        <v/>
      </c>
      <c r="Z24" t="s">
        <v>773</v>
      </c>
      <c r="AB24" s="18" t="s">
        <v>985</v>
      </c>
      <c r="AC24" s="8">
        <f t="shared" si="8"/>
        <v>1</v>
      </c>
      <c r="AD24" s="12">
        <f>SUM(AC24)</f>
        <v>1</v>
      </c>
      <c r="AE24" s="8">
        <f t="shared" si="4"/>
        <v>14</v>
      </c>
      <c r="AK24" s="23" t="s">
        <v>1102</v>
      </c>
      <c r="AL24" s="14" t="e">
        <f ca="1">IF(セルの固定色(AK24)=セルの固定色(AK$2),1,"")</f>
        <v>#NAME?</v>
      </c>
      <c r="AM24" s="14" t="e">
        <f ca="1">IF(OR(ISBLANK(AL24),AL24=""),"",COUNTIF(AL$2:AL24,"&gt;0"))</f>
        <v>#NAME?</v>
      </c>
      <c r="AN24" s="14" t="str">
        <f t="shared" ca="1" si="5"/>
        <v/>
      </c>
      <c r="AO24" s="14" t="e">
        <f t="shared" ca="1" si="9"/>
        <v>#NAME?</v>
      </c>
      <c r="AP24" s="14" t="e">
        <f ca="1">IF(ISBLANK(AK24),"",LOOKUP(1,0/(AM$2:AM24=MAX(AM$2:AM24)),AK$2:AK24))</f>
        <v>#N/A</v>
      </c>
    </row>
    <row r="25" spans="1:42" ht="19.5" thickBot="1">
      <c r="B25" t="s">
        <v>32</v>
      </c>
      <c r="C25" s="8" t="b">
        <f>IF(B25="","",COUNTIF(B$1:B24,B25)=0)</f>
        <v>0</v>
      </c>
      <c r="D25" s="8" t="str">
        <f>IF(B25="","",IF(C25,COUNTIF(C$2:C25,TRUE),""))</f>
        <v/>
      </c>
      <c r="E25" s="8" t="str">
        <f t="shared" si="20"/>
        <v/>
      </c>
      <c r="F25" s="8" t="str">
        <f t="shared" si="1"/>
        <v/>
      </c>
      <c r="G25" s="8" t="str">
        <f>IF(ISBLANK(E25),"",IF(COUNTIF(AK:AK,"="&amp;E25)&gt;0,"",MAX(G$1:G24)+1))</f>
        <v/>
      </c>
      <c r="H25" s="8" t="str">
        <f t="shared" si="10"/>
        <v/>
      </c>
      <c r="J25" s="20" t="str">
        <f t="shared" ca="1" si="11"/>
        <v/>
      </c>
      <c r="K25" s="20" t="str">
        <f t="shared" ca="1" si="14"/>
        <v/>
      </c>
      <c r="M25" s="8" t="str">
        <f t="shared" ca="1" si="15"/>
        <v/>
      </c>
      <c r="N25" s="8" t="str">
        <f ca="1">IF(J25="","",IF(M25,COUNTIF(M$4:M25,TRUE),0))</f>
        <v/>
      </c>
      <c r="O25" s="8" t="str">
        <f t="shared" ca="1" si="16"/>
        <v/>
      </c>
      <c r="P25" s="8" t="str">
        <f t="shared" ca="1" si="17"/>
        <v/>
      </c>
      <c r="Q25" s="8" t="str">
        <f t="shared" ca="1" si="18"/>
        <v/>
      </c>
      <c r="S25" t="s">
        <v>779</v>
      </c>
      <c r="U25" s="10" t="str">
        <f t="shared" si="2"/>
        <v/>
      </c>
      <c r="V25" s="10" t="str">
        <f>IF(OR(U25="",U25=0),"",COUNTIF(U$2:U25,"&gt;0"))</f>
        <v/>
      </c>
      <c r="W25" s="10" t="str">
        <f t="shared" si="6"/>
        <v/>
      </c>
      <c r="X25" s="10" t="str">
        <f t="shared" si="7"/>
        <v/>
      </c>
      <c r="Z25" t="s">
        <v>780</v>
      </c>
      <c r="AB25" s="18" t="s">
        <v>477</v>
      </c>
      <c r="AC25" s="8">
        <f t="shared" si="8"/>
        <v>1</v>
      </c>
      <c r="AD25" s="12">
        <f t="shared" ref="AD25" si="21">SUM(AC25)</f>
        <v>1</v>
      </c>
      <c r="AE25" s="8">
        <f t="shared" si="4"/>
        <v>14</v>
      </c>
      <c r="AK25" s="24" t="s">
        <v>1103</v>
      </c>
      <c r="AL25" s="14" t="e">
        <f ca="1">IF(セルの固定色(AK25)=セルの固定色(AK$2),1,"")</f>
        <v>#NAME?</v>
      </c>
      <c r="AM25" s="14" t="e">
        <f ca="1">IF(OR(ISBLANK(AL25),AL25=""),"",COUNTIF(AL$2:AL25,"&gt;0"))</f>
        <v>#NAME?</v>
      </c>
      <c r="AN25" s="14" t="str">
        <f t="shared" ca="1" si="5"/>
        <v/>
      </c>
      <c r="AO25" s="14" t="e">
        <f t="shared" ca="1" si="9"/>
        <v>#NAME?</v>
      </c>
      <c r="AP25" s="14" t="e">
        <f ca="1">IF(ISBLANK(AK25),"",LOOKUP(1,0/(AM$2:AM25=MAX(AM$2:AM25)),AK$2:AK25))</f>
        <v>#N/A</v>
      </c>
    </row>
    <row r="26" spans="1:42" ht="19.5" thickTop="1">
      <c r="B26" t="s">
        <v>90</v>
      </c>
      <c r="C26" s="8" t="b">
        <f>IF(B26="","",COUNTIF(B$1:B25,B26)=0)</f>
        <v>0</v>
      </c>
      <c r="D26" s="8" t="str">
        <f>IF(B26="","",IF(C26,COUNTIF(C$2:C26,TRUE),""))</f>
        <v/>
      </c>
      <c r="E26" s="8" t="str">
        <f t="shared" si="20"/>
        <v/>
      </c>
      <c r="F26" s="8" t="str">
        <f t="shared" si="1"/>
        <v/>
      </c>
      <c r="G26" s="8" t="str">
        <f>IF(ISBLANK(E26),"",IF(COUNTIF(AK:AK,"="&amp;E26)&gt;0,"",MAX(G$1:G25)+1))</f>
        <v/>
      </c>
      <c r="H26" s="8" t="str">
        <f t="shared" si="10"/>
        <v/>
      </c>
      <c r="J26" s="20" t="str">
        <f t="shared" ca="1" si="11"/>
        <v/>
      </c>
      <c r="K26" s="20" t="str">
        <f t="shared" ca="1" si="14"/>
        <v/>
      </c>
      <c r="M26" s="8" t="str">
        <f t="shared" ca="1" si="15"/>
        <v/>
      </c>
      <c r="N26" s="8" t="str">
        <f ca="1">IF(J26="","",IF(M26,COUNTIF(M$4:M26,TRUE),0))</f>
        <v/>
      </c>
      <c r="O26" s="8" t="str">
        <f t="shared" ca="1" si="16"/>
        <v/>
      </c>
      <c r="P26" s="8" t="str">
        <f t="shared" ca="1" si="17"/>
        <v/>
      </c>
      <c r="Q26" s="8" t="str">
        <f t="shared" ca="1" si="18"/>
        <v/>
      </c>
      <c r="S26" t="s">
        <v>87</v>
      </c>
      <c r="W26" s="27" t="s">
        <v>1104</v>
      </c>
      <c r="X26" s="27" t="s">
        <v>1104</v>
      </c>
      <c r="Z26" t="s">
        <v>68</v>
      </c>
      <c r="AB26" s="18" t="s">
        <v>999</v>
      </c>
      <c r="AC26" s="8">
        <f t="shared" si="8"/>
        <v>1</v>
      </c>
      <c r="AD26" s="12">
        <f>SUM(AC26)</f>
        <v>1</v>
      </c>
      <c r="AE26" s="8">
        <f t="shared" si="4"/>
        <v>14</v>
      </c>
      <c r="AK26" s="19" t="s">
        <v>1105</v>
      </c>
      <c r="AL26" s="14" t="e">
        <f ca="1">IF(セルの固定色(AK26)=セルの固定色(AK$2),1,"")</f>
        <v>#NAME?</v>
      </c>
      <c r="AM26" s="14" t="e">
        <f ca="1">IF(OR(ISBLANK(AL26),AL26=""),"",COUNTIF(AL$2:AL26,"&gt;0"))</f>
        <v>#NAME?</v>
      </c>
      <c r="AN26" s="14" t="str">
        <f t="shared" ca="1" si="5"/>
        <v/>
      </c>
      <c r="AO26" s="14" t="e">
        <f t="shared" ca="1" si="9"/>
        <v>#NAME?</v>
      </c>
      <c r="AP26" s="14" t="e">
        <f ca="1">IF(ISBLANK(AK26),"",LOOKUP(1,0/(AM$2:AM26=MAX(AM$2:AM26)),AK$2:AK26))</f>
        <v>#N/A</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10"/>
        <v/>
      </c>
      <c r="J27" s="20" t="str">
        <f t="shared" ca="1" si="11"/>
        <v/>
      </c>
      <c r="K27" s="20" t="str">
        <f t="shared" ca="1" si="14"/>
        <v/>
      </c>
      <c r="M27" s="8" t="str">
        <f t="shared" ca="1" si="15"/>
        <v/>
      </c>
      <c r="N27" s="8" t="str">
        <f ca="1">IF(J27="","",IF(M27,COUNTIF(M$4:M27,TRUE),0))</f>
        <v/>
      </c>
      <c r="P27" s="28">
        <f ca="1">SUM(P4:P26)</f>
        <v>0</v>
      </c>
      <c r="Q27" s="28">
        <f ca="1">SUM(Q4:Q26)</f>
        <v>0</v>
      </c>
      <c r="S27" t="s">
        <v>27</v>
      </c>
      <c r="Z27" t="s">
        <v>59</v>
      </c>
      <c r="AB27" s="18" t="s">
        <v>639</v>
      </c>
      <c r="AC27" s="8">
        <f t="shared" si="8"/>
        <v>1</v>
      </c>
      <c r="AD27" s="12">
        <f>SUM(AC27)</f>
        <v>1</v>
      </c>
      <c r="AE27" s="8">
        <f t="shared" si="4"/>
        <v>14</v>
      </c>
      <c r="AK27" s="19" t="s">
        <v>47</v>
      </c>
      <c r="AL27" s="14" t="e">
        <f ca="1">IF(セルの固定色(AK27)=セルの固定色(AK$2),1,"")</f>
        <v>#NAME?</v>
      </c>
      <c r="AM27" s="14" t="e">
        <f ca="1">IF(OR(ISBLANK(AL27),AL27=""),"",COUNTIF(AL$2:AL27,"&gt;0"))</f>
        <v>#NAME?</v>
      </c>
      <c r="AN27" s="14" t="str">
        <f t="shared" ca="1" si="5"/>
        <v/>
      </c>
      <c r="AO27" s="14" t="e">
        <f t="shared" ca="1" si="9"/>
        <v>#NAME?</v>
      </c>
      <c r="AP27" s="14" t="e">
        <f ca="1">IF(ISBLANK(AK27),"",LOOKUP(1,0/(AM$2:AM27=MAX(AM$2:AM27)),AK$2:AK27))</f>
        <v>#N/A</v>
      </c>
    </row>
    <row r="28" spans="1:42" ht="19.5" thickTop="1">
      <c r="B28" t="s">
        <v>47</v>
      </c>
      <c r="C28" s="8" t="b">
        <f>IF(B28="","",COUNTIF(B$1:B27,B28)=0)</f>
        <v>0</v>
      </c>
      <c r="D28" s="8" t="str">
        <f>IF(B28="","",IF(C28,COUNTIF(C$2:C28,TRUE),""))</f>
        <v/>
      </c>
      <c r="E28" s="8" t="str">
        <f t="shared" si="20"/>
        <v/>
      </c>
      <c r="F28" s="8" t="str">
        <f t="shared" si="1"/>
        <v/>
      </c>
      <c r="G28" s="8" t="str">
        <f>IF(ISBLANK(E28),"",IF(COUNTIF(AK:AK,"="&amp;E28)&gt;0,"",MAX(G$1:G27)+1))</f>
        <v/>
      </c>
      <c r="H28" s="8" t="str">
        <f t="shared" si="10"/>
        <v/>
      </c>
      <c r="J28" s="20" t="str">
        <f t="shared" ca="1" si="11"/>
        <v/>
      </c>
      <c r="K28" s="20" t="str">
        <f t="shared" ca="1" si="14"/>
        <v/>
      </c>
      <c r="M28" s="8" t="str">
        <f t="shared" ca="1" si="15"/>
        <v/>
      </c>
      <c r="N28" s="8" t="str">
        <f ca="1">IF(J28="","",IF(M28,COUNTIF(M$4:M28,TRUE),0))</f>
        <v/>
      </c>
      <c r="O28" s="27" t="s">
        <v>1104</v>
      </c>
      <c r="P28" s="27" t="s">
        <v>1104</v>
      </c>
      <c r="Q28" s="27" t="s">
        <v>1104</v>
      </c>
      <c r="S28" t="s">
        <v>87</v>
      </c>
      <c r="Z28" t="s">
        <v>68</v>
      </c>
      <c r="AB28" s="18" t="s">
        <v>1037</v>
      </c>
      <c r="AC28" s="8">
        <f t="shared" si="8"/>
        <v>1</v>
      </c>
      <c r="AD28" s="12">
        <f>SUM(AC28)</f>
        <v>1</v>
      </c>
      <c r="AE28" s="8">
        <f t="shared" si="4"/>
        <v>14</v>
      </c>
      <c r="AK28" s="19" t="s">
        <v>1106</v>
      </c>
      <c r="AL28" s="14" t="e">
        <f ca="1">IF(セルの固定色(AK28)=セルの固定色(AK$2),1,"")</f>
        <v>#NAME?</v>
      </c>
      <c r="AM28" s="14" t="e">
        <f ca="1">IF(OR(ISBLANK(AL28),AL28=""),"",COUNTIF(AL$2:AL28,"&gt;0"))</f>
        <v>#NAME?</v>
      </c>
      <c r="AN28" s="14" t="str">
        <f t="shared" ca="1" si="5"/>
        <v/>
      </c>
      <c r="AO28" s="14" t="e">
        <f t="shared" ca="1" si="9"/>
        <v>#NAME?</v>
      </c>
      <c r="AP28" s="14" t="e">
        <f ca="1">IF(ISBLANK(AK28),"",LOOKUP(1,0/(AM$2:AM28=MAX(AM$2:AM28)),AK$2:AK28))</f>
        <v>#N/A</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10"/>
        <v/>
      </c>
      <c r="J29" s="20" t="str">
        <f t="shared" ca="1" si="11"/>
        <v/>
      </c>
      <c r="K29" s="20" t="str">
        <f t="shared" ca="1" si="14"/>
        <v/>
      </c>
      <c r="M29" s="8" t="str">
        <f t="shared" ca="1" si="15"/>
        <v/>
      </c>
      <c r="N29" s="8" t="str">
        <f ca="1">IF(J29="","",IF(M29,COUNTIF(M$4:M29,TRUE),0))</f>
        <v/>
      </c>
      <c r="S29" t="s">
        <v>27</v>
      </c>
      <c r="Z29" t="s">
        <v>37</v>
      </c>
      <c r="AC29" s="8" t="str">
        <f t="shared" si="8"/>
        <v/>
      </c>
      <c r="AE29" s="8" t="str">
        <f t="shared" si="4"/>
        <v/>
      </c>
      <c r="AK29" s="19" t="s">
        <v>1107</v>
      </c>
      <c r="AL29" s="14" t="e">
        <f ca="1">IF(セルの固定色(AK29)=セルの固定色(AK$2),1,"")</f>
        <v>#NAME?</v>
      </c>
      <c r="AM29" s="14" t="e">
        <f ca="1">IF(OR(ISBLANK(AL29),AL29=""),"",COUNTIF(AL$2:AL29,"&gt;0"))</f>
        <v>#NAME?</v>
      </c>
      <c r="AN29" s="14" t="str">
        <f t="shared" ca="1" si="5"/>
        <v/>
      </c>
      <c r="AO29" s="14" t="e">
        <f t="shared" ca="1" si="9"/>
        <v>#NAME?</v>
      </c>
      <c r="AP29" s="14" t="e">
        <f ca="1">IF(ISBLANK(AK29),"",LOOKUP(1,0/(AM$2:AM29=MAX(AM$2:AM29)),AK$2:AK29))</f>
        <v>#N/A</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10"/>
        <v/>
      </c>
      <c r="J30" s="20" t="str">
        <f t="shared" ca="1" si="11"/>
        <v/>
      </c>
      <c r="K30" s="20" t="str">
        <f t="shared" ca="1" si="14"/>
        <v/>
      </c>
      <c r="M30" s="8" t="str">
        <f t="shared" ca="1" si="15"/>
        <v/>
      </c>
      <c r="N30" s="8" t="str">
        <f ca="1">IF(J30="","",IF(M30,COUNTIF(M$4:M30,TRUE),0))</f>
        <v/>
      </c>
      <c r="S30" t="s">
        <v>27</v>
      </c>
      <c r="Z30" t="s">
        <v>795</v>
      </c>
      <c r="AB30" s="29" t="s">
        <v>715</v>
      </c>
      <c r="AC30" s="8">
        <f t="shared" si="8"/>
        <v>1</v>
      </c>
      <c r="AD30" s="12">
        <f>SUM(AC30)</f>
        <v>1</v>
      </c>
      <c r="AE30" s="8">
        <f t="shared" si="4"/>
        <v>14</v>
      </c>
      <c r="AK30" s="19" t="s">
        <v>1108</v>
      </c>
      <c r="AL30" s="14" t="e">
        <f ca="1">IF(セルの固定色(AK30)=セルの固定色(AK$2),1,"")</f>
        <v>#NAME?</v>
      </c>
      <c r="AM30" s="14" t="e">
        <f ca="1">IF(OR(ISBLANK(AL30),AL30=""),"",COUNTIF(AL$2:AL30,"&gt;0"))</f>
        <v>#NAME?</v>
      </c>
      <c r="AN30" s="14" t="str">
        <f t="shared" ca="1" si="5"/>
        <v/>
      </c>
      <c r="AO30" s="14" t="e">
        <f t="shared" ca="1" si="9"/>
        <v>#NAME?</v>
      </c>
      <c r="AP30" s="14" t="e">
        <f ca="1">IF(ISBLANK(AK30),"",LOOKUP(1,0/(AM$2:AM30=MAX(AM$2:AM30)),AK$2:AK30))</f>
        <v>#N/A</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10"/>
        <v/>
      </c>
      <c r="J31" s="20" t="str">
        <f t="shared" ca="1" si="11"/>
        <v/>
      </c>
      <c r="K31" s="20" t="str">
        <f t="shared" ca="1" si="14"/>
        <v/>
      </c>
      <c r="M31" s="8" t="str">
        <f t="shared" ca="1" si="15"/>
        <v/>
      </c>
      <c r="N31" s="8" t="str">
        <f ca="1">IF(J31="","",IF(M31,COUNTIF(M$4:M31,TRUE),0))</f>
        <v/>
      </c>
      <c r="S31" t="s">
        <v>27</v>
      </c>
      <c r="Z31" t="s">
        <v>246</v>
      </c>
      <c r="AB31" s="29" t="s">
        <v>733</v>
      </c>
      <c r="AC31" s="8">
        <f t="shared" si="8"/>
        <v>1</v>
      </c>
      <c r="AD31" s="12">
        <f>SUM(AC31)</f>
        <v>1</v>
      </c>
      <c r="AE31" s="8">
        <f t="shared" si="4"/>
        <v>14</v>
      </c>
      <c r="AK31" s="19" t="s">
        <v>101</v>
      </c>
      <c r="AL31" s="14" t="e">
        <f ca="1">IF(セルの固定色(AK31)=セルの固定色(AK$2),1,"")</f>
        <v>#NAME?</v>
      </c>
      <c r="AM31" s="14" t="e">
        <f ca="1">IF(OR(ISBLANK(AL31),AL31=""),"",COUNTIF(AL$2:AL31,"&gt;0"))</f>
        <v>#NAME?</v>
      </c>
      <c r="AN31" s="14" t="str">
        <f t="shared" ca="1" si="5"/>
        <v/>
      </c>
      <c r="AO31" s="14" t="e">
        <f t="shared" ca="1" si="9"/>
        <v>#NAME?</v>
      </c>
      <c r="AP31" s="14" t="e">
        <f ca="1">IF(ISBLANK(AK31),"",LOOKUP(1,0/(AM$2:AM31=MAX(AM$2:AM31)),AK$2:AK31))</f>
        <v>#N/A</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10"/>
        <v/>
      </c>
      <c r="J32" s="20" t="str">
        <f t="shared" ca="1" si="11"/>
        <v/>
      </c>
      <c r="K32" s="20" t="str">
        <f t="shared" ca="1" si="14"/>
        <v/>
      </c>
      <c r="M32" s="8" t="str">
        <f t="shared" ca="1" si="15"/>
        <v/>
      </c>
      <c r="N32" s="8" t="str">
        <f ca="1">IF(J32="","",IF(M32,COUNTIF(M$4:M32,TRUE),0))</f>
        <v/>
      </c>
      <c r="S32" t="s">
        <v>54</v>
      </c>
      <c r="Z32" t="s">
        <v>532</v>
      </c>
      <c r="AB32" s="29" t="s">
        <v>242</v>
      </c>
      <c r="AC32" s="8">
        <f t="shared" si="8"/>
        <v>1</v>
      </c>
      <c r="AD32" s="12">
        <f>SUM(AC32)</f>
        <v>1</v>
      </c>
      <c r="AE32" s="8">
        <f t="shared" si="4"/>
        <v>14</v>
      </c>
      <c r="AK32" s="19" t="s">
        <v>1109</v>
      </c>
      <c r="AL32" s="14" t="e">
        <f ca="1">IF(セルの固定色(AK32)=セルの固定色(AK$2),1,"")</f>
        <v>#NAME?</v>
      </c>
      <c r="AM32" s="14" t="e">
        <f ca="1">IF(OR(ISBLANK(AL32),AL32=""),"",COUNTIF(AL$2:AL32,"&gt;0"))</f>
        <v>#NAME?</v>
      </c>
      <c r="AN32" s="14" t="str">
        <f t="shared" ca="1" si="5"/>
        <v/>
      </c>
      <c r="AO32" s="14" t="e">
        <f t="shared" ca="1" si="9"/>
        <v>#NAME?</v>
      </c>
      <c r="AP32" s="14" t="e">
        <f ca="1">IF(ISBLANK(AK32),"",LOOKUP(1,0/(AM$2:AM32=MAX(AM$2:AM32)),AK$2:AK32))</f>
        <v>#N/A</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10"/>
        <v/>
      </c>
      <c r="J33" s="20" t="str">
        <f t="shared" ca="1" si="11"/>
        <v/>
      </c>
      <c r="K33" s="20" t="str">
        <f t="shared" ca="1" si="14"/>
        <v/>
      </c>
      <c r="M33" s="8" t="str">
        <f t="shared" ca="1" si="15"/>
        <v/>
      </c>
      <c r="N33" s="8" t="str">
        <f ca="1">IF(J33="","",IF(M33,COUNTIF(M$4:M33,TRUE),0))</f>
        <v/>
      </c>
      <c r="S33" t="s">
        <v>27</v>
      </c>
      <c r="Z33" t="s">
        <v>208</v>
      </c>
      <c r="AB33" s="29" t="s">
        <v>925</v>
      </c>
      <c r="AC33" s="8">
        <f t="shared" si="8"/>
        <v>2</v>
      </c>
      <c r="AD33" s="12">
        <f>SUM(AC33)</f>
        <v>2</v>
      </c>
      <c r="AE33" s="8">
        <f t="shared" si="4"/>
        <v>10</v>
      </c>
      <c r="AK33" s="19" t="s">
        <v>32</v>
      </c>
      <c r="AL33" s="14" t="e">
        <f ca="1">IF(セルの固定色(AK33)=セルの固定色(AK$2),1,"")</f>
        <v>#NAME?</v>
      </c>
      <c r="AM33" s="14" t="e">
        <f ca="1">IF(OR(ISBLANK(AL33),AL33=""),"",COUNTIF(AL$2:AL33,"&gt;0"))</f>
        <v>#NAME?</v>
      </c>
      <c r="AN33" s="14" t="str">
        <f t="shared" ca="1" si="5"/>
        <v/>
      </c>
      <c r="AO33" s="14" t="e">
        <f t="shared" ca="1" si="9"/>
        <v>#NAME?</v>
      </c>
      <c r="AP33" s="14" t="e">
        <f ca="1">IF(ISBLANK(AK33),"",LOOKUP(1,0/(AM$2:AM33=MAX(AM$2:AM33)),AK$2:AK33))</f>
        <v>#N/A</v>
      </c>
    </row>
    <row r="34" spans="2:42">
      <c r="B34" t="s">
        <v>271</v>
      </c>
      <c r="C34" s="8" t="b">
        <f>IF(B34="","",COUNTIF(B$1:B33,B34)=0)</f>
        <v>1</v>
      </c>
      <c r="D34" s="8">
        <f>IF(B34="","",IF(C34,COUNTIF(C$2:C34,TRUE),""))</f>
        <v>9</v>
      </c>
      <c r="E34" s="8" t="str">
        <f t="shared" si="20"/>
        <v/>
      </c>
      <c r="F34" s="8" t="str">
        <f t="shared" si="1"/>
        <v/>
      </c>
      <c r="G34" s="8" t="str">
        <f>IF(ISBLANK(E34),"",IF(COUNTIF(AK:AK,"="&amp;E34)&gt;0,"",MAX(G$1:G33)+1))</f>
        <v/>
      </c>
      <c r="H34" s="8" t="str">
        <f t="shared" si="10"/>
        <v/>
      </c>
      <c r="J34" s="20" t="str">
        <f t="shared" ca="1" si="11"/>
        <v/>
      </c>
      <c r="K34" s="20" t="str">
        <f t="shared" ca="1" si="14"/>
        <v/>
      </c>
      <c r="M34" s="8" t="str">
        <f t="shared" ca="1" si="15"/>
        <v/>
      </c>
      <c r="N34" s="8" t="str">
        <f ca="1">IF(J34="","",IF(M34,COUNTIF(M$4:M34,TRUE),0))</f>
        <v/>
      </c>
      <c r="S34" t="s">
        <v>27</v>
      </c>
      <c r="Z34" t="s">
        <v>532</v>
      </c>
      <c r="AC34" s="8" t="str">
        <f t="shared" si="8"/>
        <v/>
      </c>
      <c r="AE34" s="8" t="str">
        <f t="shared" si="4"/>
        <v/>
      </c>
      <c r="AK34" s="19" t="s">
        <v>128</v>
      </c>
      <c r="AL34" s="14" t="e">
        <f ca="1">IF(セルの固定色(AK34)=セルの固定色(AK$2),1,"")</f>
        <v>#NAME?</v>
      </c>
      <c r="AM34" s="14" t="e">
        <f ca="1">IF(OR(ISBLANK(AL34),AL34=""),"",COUNTIF(AL$2:AL34,"&gt;0"))</f>
        <v>#NAME?</v>
      </c>
      <c r="AN34" s="14" t="str">
        <f t="shared" ca="1" si="5"/>
        <v/>
      </c>
      <c r="AO34" s="14" t="e">
        <f t="shared" ca="1" si="9"/>
        <v>#NAME?</v>
      </c>
      <c r="AP34" s="14" t="e">
        <f ca="1">IF(ISBLANK(AK34),"",LOOKUP(1,0/(AM$2:AM34=MAX(AM$2:AM34)),AK$2:AK34))</f>
        <v>#N/A</v>
      </c>
    </row>
    <row r="35" spans="2:42">
      <c r="B35" t="s">
        <v>128</v>
      </c>
      <c r="C35" s="8" t="b">
        <f>IF(B35="","",COUNTIF(B$1:B34,B35)=0)</f>
        <v>0</v>
      </c>
      <c r="D35" s="8" t="str">
        <f>IF(B35="","",IF(C35,COUNTIF(C$2:C35,TRUE),""))</f>
        <v/>
      </c>
      <c r="E35" s="8" t="str">
        <f t="shared" si="20"/>
        <v/>
      </c>
      <c r="F35" s="8" t="str">
        <f t="shared" si="1"/>
        <v/>
      </c>
      <c r="G35" s="8" t="str">
        <f>IF(ISBLANK(E35),"",IF(COUNTIF(AK:AK,"="&amp;E35)&gt;0,"",MAX(G$1:G34)+1))</f>
        <v/>
      </c>
      <c r="H35" s="8" t="str">
        <f t="shared" si="10"/>
        <v/>
      </c>
      <c r="J35" s="20" t="str">
        <f t="shared" ca="1" si="11"/>
        <v/>
      </c>
      <c r="K35" s="20" t="str">
        <f t="shared" ca="1" si="14"/>
        <v/>
      </c>
      <c r="M35" s="8" t="str">
        <f t="shared" ca="1" si="15"/>
        <v/>
      </c>
      <c r="N35" s="8" t="str">
        <f ca="1">IF(J35="","",IF(M35,COUNTIF(M$4:M35,TRUE),0))</f>
        <v/>
      </c>
      <c r="S35" t="s">
        <v>27</v>
      </c>
      <c r="Z35" t="s">
        <v>37</v>
      </c>
      <c r="AC35" s="8" t="str">
        <f t="shared" si="8"/>
        <v/>
      </c>
      <c r="AE35" s="8" t="str">
        <f t="shared" si="4"/>
        <v/>
      </c>
      <c r="AK35" s="19" t="s">
        <v>1110</v>
      </c>
      <c r="AL35" s="14" t="e">
        <f ca="1">IF(セルの固定色(AK35)=セルの固定色(AK$2),1,"")</f>
        <v>#NAME?</v>
      </c>
      <c r="AM35" s="14" t="e">
        <f ca="1">IF(OR(ISBLANK(AL35),AL35=""),"",COUNTIF(AL$2:AL35,"&gt;0"))</f>
        <v>#NAME?</v>
      </c>
      <c r="AN35" s="14" t="str">
        <f t="shared" ca="1" si="5"/>
        <v/>
      </c>
      <c r="AO35" s="14" t="e">
        <f t="shared" ca="1" si="9"/>
        <v>#NAME?</v>
      </c>
      <c r="AP35" s="14" t="e">
        <f ca="1">IF(ISBLANK(AK35),"",LOOKUP(1,0/(AM$2:AM35=MAX(AM$2:AM35)),AK$2:AK35))</f>
        <v>#N/A</v>
      </c>
    </row>
    <row r="36" spans="2:42">
      <c r="B36" t="s">
        <v>128</v>
      </c>
      <c r="C36" s="8" t="b">
        <f>IF(B36="","",COUNTIF(B$1:B35,B36)=0)</f>
        <v>0</v>
      </c>
      <c r="D36" s="8" t="str">
        <f>IF(B36="","",IF(C36,COUNTIF(C$2:C36,TRUE),""))</f>
        <v/>
      </c>
      <c r="E36" s="8" t="str">
        <f t="shared" si="20"/>
        <v/>
      </c>
      <c r="F36" s="8" t="str">
        <f t="shared" si="1"/>
        <v/>
      </c>
      <c r="G36" s="8" t="str">
        <f>IF(ISBLANK(E36),"",IF(COUNTIF(AK:AK,"="&amp;E36)&gt;0,"",MAX(G$1:G35)+1))</f>
        <v/>
      </c>
      <c r="H36" s="8" t="str">
        <f t="shared" si="10"/>
        <v/>
      </c>
      <c r="J36" s="20" t="str">
        <f t="shared" ca="1" si="11"/>
        <v/>
      </c>
      <c r="K36" s="20" t="str">
        <f t="shared" ca="1" si="14"/>
        <v/>
      </c>
      <c r="M36" s="8" t="str">
        <f t="shared" ca="1" si="15"/>
        <v/>
      </c>
      <c r="N36" s="8" t="str">
        <f ca="1">IF(J36="","",IF(M36,COUNTIF(M$4:M36,TRUE),0))</f>
        <v/>
      </c>
      <c r="S36" t="s">
        <v>54</v>
      </c>
      <c r="Z36" t="s">
        <v>37</v>
      </c>
      <c r="AC36" s="8" t="str">
        <f t="shared" si="8"/>
        <v/>
      </c>
      <c r="AE36" s="8" t="str">
        <f t="shared" si="4"/>
        <v/>
      </c>
      <c r="AK36" s="19" t="s">
        <v>1111</v>
      </c>
      <c r="AL36" s="14" t="e">
        <f ca="1">IF(セルの固定色(AK36)=セルの固定色(AK$2),1,"")</f>
        <v>#NAME?</v>
      </c>
      <c r="AM36" s="14" t="e">
        <f ca="1">IF(OR(ISBLANK(AL36),AL36=""),"",COUNTIF(AL$2:AL36,"&gt;0"))</f>
        <v>#NAME?</v>
      </c>
      <c r="AN36" s="14" t="str">
        <f t="shared" ca="1" si="5"/>
        <v/>
      </c>
      <c r="AO36" s="14" t="e">
        <f t="shared" ca="1" si="9"/>
        <v>#NAME?</v>
      </c>
      <c r="AP36" s="14" t="e">
        <f ca="1">IF(ISBLANK(AK36),"",LOOKUP(1,0/(AM$2:AM36=MAX(AM$2:AM36)),AK$2:AK36))</f>
        <v>#N/A</v>
      </c>
    </row>
    <row r="37" spans="2:42">
      <c r="B37" t="s">
        <v>32</v>
      </c>
      <c r="C37" s="8" t="b">
        <f>IF(B37="","",COUNTIF(B$1:B36,B37)=0)</f>
        <v>0</v>
      </c>
      <c r="D37" s="8" t="str">
        <f>IF(B37="","",IF(C37,COUNTIF(C$2:C37,TRUE),""))</f>
        <v/>
      </c>
      <c r="E37" s="8" t="str">
        <f t="shared" si="20"/>
        <v/>
      </c>
      <c r="F37" s="8" t="str">
        <f t="shared" si="1"/>
        <v/>
      </c>
      <c r="G37" s="8" t="str">
        <f>IF(ISBLANK(E37),"",IF(COUNTIF(AK:AK,"="&amp;E37)&gt;0,"",MAX(G$1:G36)+1))</f>
        <v/>
      </c>
      <c r="H37" s="8" t="str">
        <f t="shared" si="10"/>
        <v/>
      </c>
      <c r="J37" s="20" t="str">
        <f t="shared" ca="1" si="11"/>
        <v/>
      </c>
      <c r="K37" s="20" t="str">
        <f t="shared" ca="1" si="14"/>
        <v/>
      </c>
      <c r="M37" s="8" t="str">
        <f t="shared" ca="1" si="15"/>
        <v/>
      </c>
      <c r="N37" s="8" t="str">
        <f ca="1">IF(J37="","",IF(M37,COUNTIF(M$4:M37,TRUE),0))</f>
        <v/>
      </c>
      <c r="S37" t="s">
        <v>27</v>
      </c>
      <c r="Z37" t="s">
        <v>68</v>
      </c>
      <c r="AC37" s="8" t="str">
        <f t="shared" si="8"/>
        <v/>
      </c>
      <c r="AE37" s="8" t="str">
        <f t="shared" si="4"/>
        <v/>
      </c>
      <c r="AK37" s="19" t="s">
        <v>1112</v>
      </c>
      <c r="AL37" s="14" t="e">
        <f ca="1">IF(セルの固定色(AK37)=セルの固定色(AK$2),1,"")</f>
        <v>#NAME?</v>
      </c>
      <c r="AM37" s="14" t="e">
        <f ca="1">IF(OR(ISBLANK(AL37),AL37=""),"",COUNTIF(AL$2:AL37,"&gt;0"))</f>
        <v>#NAME?</v>
      </c>
      <c r="AN37" s="14" t="str">
        <f t="shared" ca="1" si="5"/>
        <v/>
      </c>
      <c r="AO37" s="14" t="e">
        <f t="shared" ca="1" si="9"/>
        <v>#NAME?</v>
      </c>
      <c r="AP37" s="14" t="e">
        <f ca="1">IF(ISBLANK(AK37),"",LOOKUP(1,0/(AM$2:AM37=MAX(AM$2:AM37)),AK$2:AK37))</f>
        <v>#N/A</v>
      </c>
    </row>
    <row r="38" spans="2:42">
      <c r="B38" t="s">
        <v>47</v>
      </c>
      <c r="C38" s="8" t="b">
        <f>IF(B38="","",COUNTIF(B$1:B37,B38)=0)</f>
        <v>0</v>
      </c>
      <c r="D38" s="8" t="str">
        <f>IF(B38="","",IF(C38,COUNTIF(C$2:C38,TRUE),""))</f>
        <v/>
      </c>
      <c r="E38" s="8" t="str">
        <f t="shared" si="20"/>
        <v/>
      </c>
      <c r="F38" s="8" t="str">
        <f t="shared" si="1"/>
        <v/>
      </c>
      <c r="G38" s="8" t="str">
        <f>IF(ISBLANK(E38),"",IF(COUNTIF(AK:AK,"="&amp;E38)&gt;0,"",MAX(G$1:G37)+1))</f>
        <v/>
      </c>
      <c r="H38" s="8" t="str">
        <f t="shared" si="10"/>
        <v/>
      </c>
      <c r="J38" s="20" t="str">
        <f t="shared" ca="1" si="11"/>
        <v/>
      </c>
      <c r="K38" s="20" t="str">
        <f t="shared" ca="1" si="14"/>
        <v/>
      </c>
      <c r="M38" s="8" t="str">
        <f t="shared" ca="1" si="15"/>
        <v/>
      </c>
      <c r="N38" s="8" t="str">
        <f ca="1">IF(J38="","",IF(M38,COUNTIF(M$4:M38,TRUE),0))</f>
        <v/>
      </c>
      <c r="S38" t="s">
        <v>27</v>
      </c>
      <c r="Z38" t="s">
        <v>242</v>
      </c>
      <c r="AC38" s="8" t="str">
        <f t="shared" si="8"/>
        <v/>
      </c>
      <c r="AE38" s="8" t="str">
        <f t="shared" si="4"/>
        <v/>
      </c>
      <c r="AK38" s="19" t="s">
        <v>1113</v>
      </c>
      <c r="AL38" s="14" t="e">
        <f ca="1">IF(セルの固定色(AK38)=セルの固定色(AK$2),1,"")</f>
        <v>#NAME?</v>
      </c>
      <c r="AM38" s="14" t="e">
        <f ca="1">IF(OR(ISBLANK(AL38),AL38=""),"",COUNTIF(AL$2:AL38,"&gt;0"))</f>
        <v>#NAME?</v>
      </c>
      <c r="AN38" s="14" t="str">
        <f t="shared" ca="1" si="5"/>
        <v/>
      </c>
      <c r="AO38" s="14" t="e">
        <f t="shared" ca="1" si="9"/>
        <v>#NAME?</v>
      </c>
      <c r="AP38" s="14" t="e">
        <f ca="1">IF(ISBLANK(AK38),"",LOOKUP(1,0/(AM$2:AM38=MAX(AM$2:AM38)),AK$2:AK38))</f>
        <v>#N/A</v>
      </c>
    </row>
    <row r="39" spans="2:42" ht="19.5" thickBot="1">
      <c r="B39" t="s">
        <v>128</v>
      </c>
      <c r="C39" s="8" t="b">
        <f>IF(B39="","",COUNTIF(B$1:B38,B39)=0)</f>
        <v>0</v>
      </c>
      <c r="D39" s="8" t="str">
        <f>IF(B39="","",IF(C39,COUNTIF(C$2:C39,TRUE),""))</f>
        <v/>
      </c>
      <c r="E39" s="8" t="str">
        <f t="shared" si="20"/>
        <v/>
      </c>
      <c r="F39" s="8" t="str">
        <f t="shared" si="1"/>
        <v/>
      </c>
      <c r="G39" s="8" t="str">
        <f>IF(ISBLANK(E39),"",IF(COUNTIF(AK:AK,"="&amp;E39)&gt;0,"",MAX(G$1:G38)+1))</f>
        <v/>
      </c>
      <c r="H39" s="8" t="str">
        <f t="shared" si="10"/>
        <v/>
      </c>
      <c r="J39" s="20" t="str">
        <f t="shared" ca="1" si="11"/>
        <v/>
      </c>
      <c r="K39" s="20" t="str">
        <f t="shared" ca="1" si="14"/>
        <v/>
      </c>
      <c r="M39" s="8" t="str">
        <f t="shared" ca="1" si="15"/>
        <v/>
      </c>
      <c r="N39" s="8" t="str">
        <f ca="1">IF(J39="","",IF(M39,COUNTIF(M$4:M39,TRUE),0))</f>
        <v/>
      </c>
      <c r="S39" t="s">
        <v>27</v>
      </c>
      <c r="Z39" t="s">
        <v>826</v>
      </c>
      <c r="AC39" s="8" t="str">
        <f t="shared" si="8"/>
        <v/>
      </c>
      <c r="AE39" s="8" t="str">
        <f t="shared" si="4"/>
        <v/>
      </c>
      <c r="AK39" s="30" t="s">
        <v>1114</v>
      </c>
      <c r="AL39" s="14" t="e">
        <f ca="1">IF(セルの固定色(AK39)=セルの固定色(AK$2),1,"")</f>
        <v>#NAME?</v>
      </c>
      <c r="AM39" s="14" t="e">
        <f ca="1">IF(OR(ISBLANK(AL39),AL39=""),"",COUNTIF(AL$2:AL39,"&gt;0"))</f>
        <v>#NAME?</v>
      </c>
      <c r="AN39" s="14" t="str">
        <f t="shared" ca="1" si="5"/>
        <v/>
      </c>
      <c r="AO39" s="14" t="e">
        <f t="shared" ca="1" si="9"/>
        <v>#NAME?</v>
      </c>
      <c r="AP39" s="14" t="e">
        <f ca="1">IF(ISBLANK(AK39),"",LOOKUP(1,0/(AM$2:AM39=MAX(AM$2:AM39)),AK$2:AK39))</f>
        <v>#N/A</v>
      </c>
    </row>
    <row r="40" spans="2:42">
      <c r="B40" t="s">
        <v>47</v>
      </c>
      <c r="C40" s="8" t="b">
        <f>IF(B40="","",COUNTIF(B$1:B39,B40)=0)</f>
        <v>0</v>
      </c>
      <c r="D40" s="8" t="str">
        <f>IF(B40="","",IF(C40,COUNTIF(C$2:C40,TRUE),""))</f>
        <v/>
      </c>
      <c r="E40" s="8" t="str">
        <f t="shared" si="20"/>
        <v/>
      </c>
      <c r="F40" s="8" t="str">
        <f t="shared" si="1"/>
        <v/>
      </c>
      <c r="G40" s="8" t="str">
        <f>IF(ISBLANK(E40),"",IF(COUNTIF(AK:AK,"="&amp;E40)&gt;0,"",MAX(G$1:G39)+1))</f>
        <v/>
      </c>
      <c r="H40" s="8" t="str">
        <f t="shared" si="10"/>
        <v/>
      </c>
      <c r="J40" s="20" t="str">
        <f t="shared" ca="1" si="11"/>
        <v/>
      </c>
      <c r="K40" s="20" t="str">
        <f t="shared" ca="1" si="14"/>
        <v/>
      </c>
      <c r="M40" s="8" t="str">
        <f t="shared" ca="1" si="15"/>
        <v/>
      </c>
      <c r="N40" s="8" t="str">
        <f ca="1">IF(J40="","",IF(M40,COUNTIF(M$4:M40,TRUE),0))</f>
        <v/>
      </c>
      <c r="S40" t="s">
        <v>54</v>
      </c>
      <c r="Z40" t="s">
        <v>44</v>
      </c>
      <c r="AC40" s="8" t="str">
        <f t="shared" si="8"/>
        <v/>
      </c>
      <c r="AE40" s="8" t="str">
        <f t="shared" si="4"/>
        <v/>
      </c>
      <c r="AK40" s="31" t="s">
        <v>1115</v>
      </c>
      <c r="AL40" s="14" t="e">
        <f ca="1">IF(セルの固定色(AK40)=セルの固定色(AK$2),1,"")</f>
        <v>#NAME?</v>
      </c>
      <c r="AM40" s="14" t="e">
        <f ca="1">IF(OR(ISBLANK(AL40),AL40=""),"",COUNTIF(AL$2:AL40,"&gt;0"))</f>
        <v>#NAME?</v>
      </c>
      <c r="AN40" s="14" t="str">
        <f t="shared" ca="1" si="5"/>
        <v/>
      </c>
      <c r="AO40" s="14" t="e">
        <f t="shared" ca="1" si="9"/>
        <v>#NAME?</v>
      </c>
      <c r="AP40" s="14" t="e">
        <f ca="1">IF(ISBLANK(AK40),"",LOOKUP(1,0/(AM$2:AM40=MAX(AM$2:AM40)),AK$2:AK40))</f>
        <v>#N/A</v>
      </c>
    </row>
    <row r="41" spans="2:42">
      <c r="B41" t="s">
        <v>47</v>
      </c>
      <c r="C41" s="8" t="b">
        <f>IF(B41="","",COUNTIF(B$1:B40,B41)=0)</f>
        <v>0</v>
      </c>
      <c r="D41" s="8" t="str">
        <f>IF(B41="","",IF(C41,COUNTIF(C$2:C41,TRUE),""))</f>
        <v/>
      </c>
      <c r="E41" s="8" t="str">
        <f t="shared" si="20"/>
        <v/>
      </c>
      <c r="F41" s="8" t="str">
        <f t="shared" si="1"/>
        <v/>
      </c>
      <c r="G41" s="8" t="str">
        <f>IF(ISBLANK(E41),"",IF(COUNTIF(AK:AK,"="&amp;E41)&gt;0,"",MAX(G$1:G40)+1))</f>
        <v/>
      </c>
      <c r="H41" s="8" t="str">
        <f t="shared" si="10"/>
        <v/>
      </c>
      <c r="J41" t="str">
        <f t="shared" ca="1" si="11"/>
        <v/>
      </c>
      <c r="S41" t="s">
        <v>27</v>
      </c>
      <c r="Z41" t="s">
        <v>59</v>
      </c>
      <c r="AC41" s="8" t="str">
        <f t="shared" si="8"/>
        <v/>
      </c>
      <c r="AE41" s="8" t="str">
        <f t="shared" si="4"/>
        <v/>
      </c>
      <c r="AK41" s="25" t="s">
        <v>1116</v>
      </c>
      <c r="AL41" s="14" t="e">
        <f ca="1">IF(セルの固定色(AK41)=セルの固定色(AK$2),1,"")</f>
        <v>#NAME?</v>
      </c>
      <c r="AM41" s="14" t="e">
        <f ca="1">IF(OR(ISBLANK(AL41),AL41=""),"",COUNTIF(AL$2:AL41,"&gt;0"))</f>
        <v>#NAME?</v>
      </c>
      <c r="AP41" s="14" t="e">
        <f ca="1">IF(ISBLANK(AK41),"",LOOKUP(1,0/(AM$2:AM41=MAX(AM$2:AM41)),AK$2:AK41))</f>
        <v>#N/A</v>
      </c>
    </row>
    <row r="42" spans="2:42">
      <c r="B42" t="s">
        <v>47</v>
      </c>
      <c r="C42" s="8" t="b">
        <f>IF(B42="","",COUNTIF(B$1:B41,B42)=0)</f>
        <v>0</v>
      </c>
      <c r="D42" s="8" t="str">
        <f>IF(B42="","",IF(C42,COUNTIF(C$2:C42,TRUE),""))</f>
        <v/>
      </c>
      <c r="E42" s="8" t="str">
        <f t="shared" si="20"/>
        <v/>
      </c>
      <c r="F42" s="8" t="str">
        <f t="shared" si="1"/>
        <v/>
      </c>
      <c r="G42" s="8" t="str">
        <f>IF(ISBLANK(E42),"",IF(COUNTIF(AK:AK,"="&amp;E42)&gt;0,"",MAX(G$1:G41)+1))</f>
        <v/>
      </c>
      <c r="H42" s="8" t="str">
        <f t="shared" si="10"/>
        <v/>
      </c>
      <c r="J42" t="str">
        <f t="shared" ca="1" si="11"/>
        <v/>
      </c>
      <c r="S42" t="s">
        <v>116</v>
      </c>
      <c r="Z42" t="s">
        <v>68</v>
      </c>
      <c r="AC42" s="8" t="str">
        <f t="shared" si="8"/>
        <v/>
      </c>
      <c r="AE42" s="8" t="str">
        <f t="shared" si="4"/>
        <v/>
      </c>
      <c r="AK42" s="19" t="s">
        <v>1117</v>
      </c>
      <c r="AL42" s="14" t="e">
        <f ca="1">IF(セルの固定色(AK42)=セルの固定色(AK$2),1,"")</f>
        <v>#NAME?</v>
      </c>
      <c r="AM42" s="14" t="e">
        <f ca="1">IF(OR(ISBLANK(AL42),AL42=""),"",COUNTIF(AL$2:AL42,"&gt;0"))</f>
        <v>#NAME?</v>
      </c>
      <c r="AP42" s="14" t="e">
        <f ca="1">IF(ISBLANK(AK42),"",LOOKUP(1,0/(AM$2:AM42=MAX(AM$2:AM42)),AK$2:AK42))</f>
        <v>#N/A</v>
      </c>
    </row>
    <row r="43" spans="2:42">
      <c r="B43" t="s">
        <v>47</v>
      </c>
      <c r="C43" s="8" t="b">
        <f>IF(B43="","",COUNTIF(B$1:B42,B43)=0)</f>
        <v>0</v>
      </c>
      <c r="D43" s="8" t="str">
        <f>IF(B43="","",IF(C43,COUNTIF(C$2:C43,TRUE),""))</f>
        <v/>
      </c>
      <c r="E43" s="8" t="str">
        <f t="shared" si="20"/>
        <v/>
      </c>
      <c r="F43" s="8" t="str">
        <f t="shared" si="1"/>
        <v/>
      </c>
      <c r="G43" s="8" t="str">
        <f>IF(ISBLANK(E43),"",IF(COUNTIF(AK:AK,"="&amp;E43)&gt;0,"",MAX(G$1:G42)+1))</f>
        <v/>
      </c>
      <c r="H43" s="8" t="str">
        <f t="shared" si="10"/>
        <v/>
      </c>
      <c r="S43" t="s">
        <v>27</v>
      </c>
      <c r="Z43" t="s">
        <v>780</v>
      </c>
      <c r="AC43" s="8" t="str">
        <f t="shared" si="8"/>
        <v/>
      </c>
      <c r="AE43" s="8" t="str">
        <f t="shared" si="4"/>
        <v/>
      </c>
      <c r="AK43" s="19" t="s">
        <v>1118</v>
      </c>
      <c r="AL43" s="14" t="e">
        <f ca="1">IF(セルの固定色(AK43)=セルの固定色(AK$2),1,"")</f>
        <v>#NAME?</v>
      </c>
      <c r="AM43" s="14" t="e">
        <f ca="1">IF(OR(ISBLANK(AL43),AL43=""),"",COUNTIF(AL$2:AL43,"&gt;0"))</f>
        <v>#NAME?</v>
      </c>
      <c r="AP43" s="14" t="e">
        <f ca="1">IF(ISBLANK(AK43),"",LOOKUP(1,0/(AM$2:AM43=MAX(AM$2:AM43)),AK$2:AK43))</f>
        <v>#N/A</v>
      </c>
    </row>
    <row r="44" spans="2:42" ht="19.5" thickBot="1">
      <c r="B44" t="s">
        <v>128</v>
      </c>
      <c r="C44" s="8" t="b">
        <f>IF(B44="","",COUNTIF(B$1:B43,B44)=0)</f>
        <v>0</v>
      </c>
      <c r="D44" s="8" t="str">
        <f>IF(B44="","",IF(C44,COUNTIF(C$2:C44,TRUE),""))</f>
        <v/>
      </c>
      <c r="E44" s="8" t="str">
        <f t="shared" si="20"/>
        <v/>
      </c>
      <c r="F44" s="8" t="str">
        <f t="shared" si="1"/>
        <v/>
      </c>
      <c r="G44" s="8" t="str">
        <f>IF(ISBLANK(E44),"",IF(COUNTIF(AK:AK,"="&amp;E44)&gt;0,"",MAX(G$1:G43)+1))</f>
        <v/>
      </c>
      <c r="H44" s="8" t="str">
        <f t="shared" si="10"/>
        <v/>
      </c>
      <c r="S44" t="s">
        <v>54</v>
      </c>
      <c r="Z44" t="s">
        <v>68</v>
      </c>
      <c r="AC44" s="8" t="str">
        <f t="shared" si="8"/>
        <v/>
      </c>
      <c r="AE44" s="8" t="str">
        <f t="shared" si="4"/>
        <v/>
      </c>
      <c r="AK44" s="23" t="s">
        <v>1119</v>
      </c>
      <c r="AL44" s="14" t="e">
        <f ca="1">IF(セルの固定色(AK44)=セルの固定色(AK$2),1,"")</f>
        <v>#NAME?</v>
      </c>
      <c r="AM44" s="14" t="e">
        <f ca="1">IF(OR(ISBLANK(AL44),AL44=""),"",COUNTIF(AL$2:AL44,"&gt;0"))</f>
        <v>#NAME?</v>
      </c>
      <c r="AP44" s="14" t="e">
        <f ca="1">IF(ISBLANK(AK44),"",LOOKUP(1,0/(AM$2:AM44=MAX(AM$2:AM44)),AK$2:AK44))</f>
        <v>#N/A</v>
      </c>
    </row>
    <row r="45" spans="2:42">
      <c r="B45" t="s">
        <v>264</v>
      </c>
      <c r="C45" s="8" t="b">
        <f>IF(B45="","",COUNTIF(B$1:B44,B45)=0)</f>
        <v>1</v>
      </c>
      <c r="D45" s="8">
        <f>IF(B45="","",IF(C45,COUNTIF(C$2:C45,TRUE),""))</f>
        <v>10</v>
      </c>
      <c r="E45" s="8" t="str">
        <f t="shared" si="20"/>
        <v/>
      </c>
      <c r="F45" s="8" t="str">
        <f t="shared" si="1"/>
        <v/>
      </c>
      <c r="G45" s="8" t="str">
        <f>IF(ISBLANK(E45),"",IF(COUNTIF(AK:AK,"="&amp;E45)&gt;0,"",MAX(G$1:G44)+1))</f>
        <v/>
      </c>
      <c r="H45" s="8" t="str">
        <f t="shared" si="10"/>
        <v/>
      </c>
      <c r="S45" t="s">
        <v>259</v>
      </c>
      <c r="Z45" t="s">
        <v>68</v>
      </c>
      <c r="AC45" s="8" t="str">
        <f t="shared" si="8"/>
        <v/>
      </c>
      <c r="AE45" s="8" t="str">
        <f t="shared" si="4"/>
        <v/>
      </c>
      <c r="AK45" s="24" t="s">
        <v>1120</v>
      </c>
      <c r="AL45" s="14" t="e">
        <f ca="1">IF(セルの固定色(AK45)=セルの固定色(AK$2),1,"")</f>
        <v>#NAME?</v>
      </c>
      <c r="AM45" s="14" t="e">
        <f ca="1">IF(OR(ISBLANK(AL45),AL45=""),"",COUNTIF(AL$2:AL45,"&gt;0"))</f>
        <v>#NAME?</v>
      </c>
      <c r="AP45" s="14" t="e">
        <f ca="1">IF(ISBLANK(AK45),"",LOOKUP(1,0/(AM$2:AM45=MAX(AM$2:AM45)),AK$2:AK45))</f>
        <v>#N/A</v>
      </c>
    </row>
    <row r="46" spans="2:42">
      <c r="B46" t="s">
        <v>264</v>
      </c>
      <c r="C46" s="8" t="b">
        <f>IF(B46="","",COUNTIF(B$1:B45,B46)=0)</f>
        <v>0</v>
      </c>
      <c r="D46" s="8" t="str">
        <f>IF(B46="","",IF(C46,COUNTIF(C$2:C46,TRUE),""))</f>
        <v/>
      </c>
      <c r="E46" s="8" t="str">
        <f t="shared" si="20"/>
        <v/>
      </c>
      <c r="F46" s="8" t="str">
        <f t="shared" si="1"/>
        <v/>
      </c>
      <c r="G46" s="8" t="str">
        <f>IF(ISBLANK(E46),"",IF(COUNTIF(AK:AK,"="&amp;E46)&gt;0,"",MAX(G$1:G45)+1))</f>
        <v/>
      </c>
      <c r="H46" s="8" t="str">
        <f t="shared" si="10"/>
        <v/>
      </c>
      <c r="S46" t="s">
        <v>259</v>
      </c>
      <c r="Z46" t="s">
        <v>68</v>
      </c>
      <c r="AC46" s="8" t="str">
        <f t="shared" si="8"/>
        <v/>
      </c>
      <c r="AE46" s="8" t="str">
        <f t="shared" si="4"/>
        <v/>
      </c>
      <c r="AK46" s="25" t="s">
        <v>1121</v>
      </c>
      <c r="AL46" s="14" t="e">
        <f ca="1">IF(セルの固定色(AK46)=セルの固定色(AK$2),1,"")</f>
        <v>#NAME?</v>
      </c>
      <c r="AM46" s="14" t="e">
        <f ca="1">IF(OR(ISBLANK(AL46),AL46=""),"",COUNTIF(AL$2:AL46,"&gt;0"))</f>
        <v>#NAME?</v>
      </c>
      <c r="AP46" s="14" t="e">
        <f ca="1">IF(ISBLANK(AK46),"",LOOKUP(1,0/(AM$2:AM46=MAX(AM$2:AM46)),AK$2:AK46))</f>
        <v>#N/A</v>
      </c>
    </row>
    <row r="47" spans="2:42">
      <c r="B47" t="s">
        <v>47</v>
      </c>
      <c r="C47" s="8" t="b">
        <f>IF(B47="","",COUNTIF(B$1:B46,B47)=0)</f>
        <v>0</v>
      </c>
      <c r="D47" s="8" t="str">
        <f>IF(B47="","",IF(C47,COUNTIF(C$2:C47,TRUE),""))</f>
        <v/>
      </c>
      <c r="E47" s="8" t="str">
        <f t="shared" si="20"/>
        <v/>
      </c>
      <c r="F47" s="8" t="str">
        <f t="shared" si="1"/>
        <v/>
      </c>
      <c r="G47" s="8" t="str">
        <f>IF(ISBLANK(E47),"",IF(COUNTIF(AK:AK,"="&amp;E47)&gt;0,"",MAX(G$1:G46)+1))</f>
        <v/>
      </c>
      <c r="H47" s="8" t="str">
        <f t="shared" si="10"/>
        <v/>
      </c>
      <c r="S47" t="s">
        <v>27</v>
      </c>
      <c r="Z47" t="s">
        <v>208</v>
      </c>
      <c r="AC47" s="8" t="str">
        <f t="shared" si="8"/>
        <v/>
      </c>
      <c r="AE47" s="8" t="str">
        <f t="shared" si="4"/>
        <v/>
      </c>
      <c r="AK47" s="19" t="s">
        <v>368</v>
      </c>
      <c r="AL47" s="14" t="e">
        <f ca="1">IF(セルの固定色(AK47)=セルの固定色(AK$2),1,"")</f>
        <v>#NAME?</v>
      </c>
      <c r="AM47" s="14" t="e">
        <f ca="1">IF(OR(ISBLANK(AL47),AL47=""),"",COUNTIF(AL$2:AL47,"&gt;0"))</f>
        <v>#NAME?</v>
      </c>
      <c r="AP47" s="14" t="e">
        <f ca="1">IF(ISBLANK(AK47),"",LOOKUP(1,0/(AM$2:AM47=MAX(AM$2:AM47)),AK$2:AK47))</f>
        <v>#N/A</v>
      </c>
    </row>
    <row r="48" spans="2:42">
      <c r="B48" t="s">
        <v>101</v>
      </c>
      <c r="C48" s="8" t="b">
        <f>IF(B48="","",COUNTIF(B$1:B47,B48)=0)</f>
        <v>0</v>
      </c>
      <c r="D48" s="8" t="str">
        <f>IF(B48="","",IF(C48,COUNTIF(C$2:C48,TRUE),""))</f>
        <v/>
      </c>
      <c r="E48" s="8" t="str">
        <f t="shared" si="20"/>
        <v/>
      </c>
      <c r="F48" s="8" t="str">
        <f t="shared" si="1"/>
        <v/>
      </c>
      <c r="G48" s="8" t="str">
        <f>IF(ISBLANK(E48),"",IF(COUNTIF(AK:AK,"="&amp;E48)&gt;0,"",MAX(G$1:G47)+1))</f>
        <v/>
      </c>
      <c r="H48" s="8" t="str">
        <f t="shared" si="10"/>
        <v/>
      </c>
      <c r="S48" t="s">
        <v>252</v>
      </c>
      <c r="Z48" t="s">
        <v>79</v>
      </c>
      <c r="AC48" s="8" t="str">
        <f t="shared" si="8"/>
        <v/>
      </c>
      <c r="AE48" s="8" t="str">
        <f t="shared" si="4"/>
        <v/>
      </c>
      <c r="AK48" s="19" t="s">
        <v>1122</v>
      </c>
      <c r="AL48" s="14" t="e">
        <f ca="1">IF(セルの固定色(AK48)=セルの固定色(AK$2),1,"")</f>
        <v>#NAME?</v>
      </c>
      <c r="AM48" s="14" t="e">
        <f ca="1">IF(OR(ISBLANK(AL48),AL48=""),"",COUNTIF(AL$2:AL48,"&gt;0"))</f>
        <v>#NAME?</v>
      </c>
      <c r="AP48" s="14" t="e">
        <f ca="1">IF(ISBLANK(AK48),"",LOOKUP(1,0/(AM$2:AM48=MAX(AM$2:AM48)),AK$2:AK48))</f>
        <v>#N/A</v>
      </c>
    </row>
    <row r="49" spans="2:42" ht="19.5" thickBot="1">
      <c r="B49" t="s">
        <v>139</v>
      </c>
      <c r="C49" s="8" t="b">
        <f>IF(B49="","",COUNTIF(B$1:B48,B49)=0)</f>
        <v>0</v>
      </c>
      <c r="D49" s="8" t="str">
        <f>IF(B49="","",IF(C49,COUNTIF(C$2:C49,TRUE),""))</f>
        <v/>
      </c>
      <c r="E49" s="8" t="str">
        <f t="shared" si="20"/>
        <v/>
      </c>
      <c r="F49" s="8" t="str">
        <f t="shared" si="1"/>
        <v/>
      </c>
      <c r="G49" s="8" t="str">
        <f>IF(ISBLANK(E49),"",IF(COUNTIF(AK:AK,"="&amp;E49)&gt;0,"",MAX(G$1:G48)+1))</f>
        <v/>
      </c>
      <c r="H49" s="8" t="str">
        <f t="shared" si="10"/>
        <v/>
      </c>
      <c r="S49" t="s">
        <v>54</v>
      </c>
      <c r="Z49" t="s">
        <v>222</v>
      </c>
      <c r="AC49" s="8" t="str">
        <f t="shared" si="8"/>
        <v/>
      </c>
      <c r="AE49" s="8" t="str">
        <f t="shared" si="4"/>
        <v/>
      </c>
      <c r="AK49" s="30" t="s">
        <v>1123</v>
      </c>
      <c r="AL49" s="14" t="e">
        <f ca="1">IF(セルの固定色(AK49)=セルの固定色(AK$2),1,"")</f>
        <v>#NAME?</v>
      </c>
      <c r="AM49" s="14" t="e">
        <f ca="1">IF(OR(ISBLANK(AL49),AL49=""),"",COUNTIF(AL$2:AL49,"&gt;0"))</f>
        <v>#NAME?</v>
      </c>
      <c r="AP49" s="14" t="e">
        <f ca="1">IF(ISBLANK(AK49),"",LOOKUP(1,0/(AM$2:AM49=MAX(AM$2:AM49)),AK$2:AK49))</f>
        <v>#N/A</v>
      </c>
    </row>
    <row r="50" spans="2:42">
      <c r="B50" t="s">
        <v>47</v>
      </c>
      <c r="C50" s="8" t="b">
        <f>IF(B50="","",COUNTIF(B$1:B49,B50)=0)</f>
        <v>0</v>
      </c>
      <c r="D50" s="8" t="str">
        <f>IF(B50="","",IF(C50,COUNTIF(C$2:C50,TRUE),""))</f>
        <v/>
      </c>
      <c r="E50" s="8" t="str">
        <f t="shared" si="20"/>
        <v/>
      </c>
      <c r="F50" s="8" t="str">
        <f t="shared" si="1"/>
        <v/>
      </c>
      <c r="G50" s="8" t="str">
        <f>IF(ISBLANK(E50),"",IF(COUNTIF(AK:AK,"="&amp;E50)&gt;0,"",MAX(G$1:G49)+1))</f>
        <v/>
      </c>
      <c r="H50" s="8" t="str">
        <f t="shared" si="10"/>
        <v/>
      </c>
      <c r="S50" t="s">
        <v>27</v>
      </c>
      <c r="Z50" t="s">
        <v>37</v>
      </c>
      <c r="AC50" s="8" t="str">
        <f t="shared" si="8"/>
        <v/>
      </c>
      <c r="AE50" s="8" t="str">
        <f t="shared" si="4"/>
        <v/>
      </c>
      <c r="AK50" s="31" t="s">
        <v>1124</v>
      </c>
      <c r="AL50" s="14" t="e">
        <f ca="1">IF(セルの固定色(AK50)=セルの固定色(AK$2),1,"")</f>
        <v>#NAME?</v>
      </c>
      <c r="AM50" s="14" t="e">
        <f ca="1">IF(OR(ISBLANK(AL50),AL50=""),"",COUNTIF(AL$2:AL50,"&gt;0"))</f>
        <v>#NAME?</v>
      </c>
      <c r="AP50" s="14" t="e">
        <f ca="1">IF(ISBLANK(AK50),"",LOOKUP(1,0/(AM$2:AM50=MAX(AM$2:AM50)),AK$2:AK50))</f>
        <v>#N/A</v>
      </c>
    </row>
    <row r="51" spans="2:42">
      <c r="B51" t="s">
        <v>32</v>
      </c>
      <c r="C51" s="8" t="b">
        <f>IF(B51="","",COUNTIF(B$1:B50,B51)=0)</f>
        <v>0</v>
      </c>
      <c r="D51" s="8" t="str">
        <f>IF(B51="","",IF(C51,COUNTIF(C$2:C51,TRUE),""))</f>
        <v/>
      </c>
      <c r="E51" s="8" t="str">
        <f t="shared" si="20"/>
        <v/>
      </c>
      <c r="F51" s="8" t="str">
        <f t="shared" si="1"/>
        <v/>
      </c>
      <c r="G51" s="8" t="str">
        <f>IF(ISBLANK(E51),"",IF(COUNTIF(AK:AK,"="&amp;E51)&gt;0,"",MAX(G$1:G50)+1))</f>
        <v/>
      </c>
      <c r="H51" s="8" t="str">
        <f t="shared" si="10"/>
        <v/>
      </c>
      <c r="S51" t="s">
        <v>27</v>
      </c>
      <c r="Z51" t="s">
        <v>105</v>
      </c>
      <c r="AC51" s="8" t="str">
        <f t="shared" si="8"/>
        <v/>
      </c>
      <c r="AE51" s="8" t="str">
        <f t="shared" si="4"/>
        <v/>
      </c>
      <c r="AK51" s="19" t="s">
        <v>1125</v>
      </c>
      <c r="AL51" s="14" t="e">
        <f ca="1">IF(セルの固定色(AK51)=セルの固定色(AK$2),1,"")</f>
        <v>#NAME?</v>
      </c>
      <c r="AM51" s="14" t="e">
        <f ca="1">IF(OR(ISBLANK(AL51),AL51=""),"",COUNTIF(AL$2:AL51,"&gt;0"))</f>
        <v>#NAME?</v>
      </c>
      <c r="AP51" s="14" t="e">
        <f ca="1">IF(ISBLANK(AK51),"",LOOKUP(1,0/(AM$2:AM51=MAX(AM$2:AM51)),AK$2:AK51))</f>
        <v>#N/A</v>
      </c>
    </row>
    <row r="52" spans="2:42">
      <c r="B52" t="s">
        <v>32</v>
      </c>
      <c r="C52" s="8" t="b">
        <f>IF(B52="","",COUNTIF(B$1:B51,B52)=0)</f>
        <v>0</v>
      </c>
      <c r="D52" s="8" t="str">
        <f>IF(B52="","",IF(C52,COUNTIF(C$2:C52,TRUE),""))</f>
        <v/>
      </c>
      <c r="E52" s="8" t="str">
        <f t="shared" si="20"/>
        <v/>
      </c>
      <c r="F52" s="8" t="str">
        <f t="shared" si="1"/>
        <v/>
      </c>
      <c r="G52" s="8" t="str">
        <f>IF(ISBLANK(E52),"",IF(COUNTIF(AK:AK,"="&amp;E52)&gt;0,"",MAX(G$1:G51)+1))</f>
        <v/>
      </c>
      <c r="H52" s="8" t="str">
        <f t="shared" si="10"/>
        <v/>
      </c>
      <c r="S52" t="s">
        <v>27</v>
      </c>
      <c r="Z52" t="s">
        <v>37</v>
      </c>
      <c r="AC52" s="8" t="str">
        <f t="shared" si="8"/>
        <v/>
      </c>
      <c r="AE52" s="8" t="str">
        <f t="shared" si="4"/>
        <v/>
      </c>
      <c r="AK52" s="19" t="s">
        <v>1126</v>
      </c>
      <c r="AL52" s="14" t="e">
        <f ca="1">IF(セルの固定色(AK52)=セルの固定色(AK$2),1,"")</f>
        <v>#NAME?</v>
      </c>
      <c r="AM52" s="14" t="e">
        <f ca="1">IF(OR(ISBLANK(AL52),AL52=""),"",COUNTIF(AL$2:AL52,"&gt;0"))</f>
        <v>#NAME?</v>
      </c>
      <c r="AP52" s="14" t="e">
        <f ca="1">IF(ISBLANK(AK52),"",LOOKUP(1,0/(AM$2:AM52=MAX(AM$2:AM52)),AK$2:AK52))</f>
        <v>#N/A</v>
      </c>
    </row>
    <row r="53" spans="2:42">
      <c r="B53" t="s">
        <v>47</v>
      </c>
      <c r="C53" s="8" t="b">
        <f>IF(B53="","",COUNTIF(B$1:B52,B53)=0)</f>
        <v>0</v>
      </c>
      <c r="D53" s="8" t="str">
        <f>IF(B53="","",IF(C53,COUNTIF(C$2:C53,TRUE),""))</f>
        <v/>
      </c>
      <c r="E53" s="8" t="str">
        <f t="shared" si="20"/>
        <v/>
      </c>
      <c r="F53" s="8" t="str">
        <f t="shared" si="1"/>
        <v/>
      </c>
      <c r="G53" s="8" t="str">
        <f>IF(ISBLANK(E53),"",IF(COUNTIF(AK:AK,"="&amp;E53)&gt;0,"",MAX(G$1:G52)+1))</f>
        <v/>
      </c>
      <c r="H53" s="8" t="str">
        <f t="shared" si="10"/>
        <v/>
      </c>
      <c r="S53" t="s">
        <v>27</v>
      </c>
      <c r="Z53" t="s">
        <v>68</v>
      </c>
      <c r="AC53" s="8" t="str">
        <f t="shared" si="8"/>
        <v/>
      </c>
      <c r="AE53" s="8" t="str">
        <f t="shared" si="4"/>
        <v/>
      </c>
      <c r="AK53" s="19" t="s">
        <v>1127</v>
      </c>
      <c r="AL53" s="14" t="e">
        <f ca="1">IF(セルの固定色(AK53)=セルの固定色(AK$2),1,"")</f>
        <v>#NAME?</v>
      </c>
      <c r="AM53" s="14" t="e">
        <f ca="1">IF(OR(ISBLANK(AL53),AL53=""),"",COUNTIF(AL$2:AL53,"&gt;0"))</f>
        <v>#NAME?</v>
      </c>
      <c r="AP53" s="14" t="e">
        <f ca="1">IF(ISBLANK(AK53),"",LOOKUP(1,0/(AM$2:AM53=MAX(AM$2:AM53)),AK$2:AK53))</f>
        <v>#N/A</v>
      </c>
    </row>
    <row r="54" spans="2:42">
      <c r="B54" t="s">
        <v>47</v>
      </c>
      <c r="C54" s="8" t="b">
        <f>IF(B54="","",COUNTIF(B$1:B53,B54)=0)</f>
        <v>0</v>
      </c>
      <c r="D54" s="8" t="str">
        <f>IF(B54="","",IF(C54,COUNTIF(C$2:C54,TRUE),""))</f>
        <v/>
      </c>
      <c r="E54" s="8" t="str">
        <f t="shared" si="20"/>
        <v/>
      </c>
      <c r="F54" s="8" t="str">
        <f t="shared" si="1"/>
        <v/>
      </c>
      <c r="G54" s="8" t="str">
        <f>IF(ISBLANK(E54),"",IF(COUNTIF(AK:AK,"="&amp;E54)&gt;0,"",MAX(G$1:G53)+1))</f>
        <v/>
      </c>
      <c r="H54" s="8" t="str">
        <f t="shared" si="10"/>
        <v/>
      </c>
      <c r="S54" t="s">
        <v>27</v>
      </c>
      <c r="Z54" t="s">
        <v>44</v>
      </c>
      <c r="AC54" s="8" t="str">
        <f t="shared" si="8"/>
        <v/>
      </c>
      <c r="AE54" s="8" t="str">
        <f t="shared" si="4"/>
        <v/>
      </c>
      <c r="AK54" s="19" t="s">
        <v>1128</v>
      </c>
      <c r="AL54" s="14" t="e">
        <f ca="1">IF(セルの固定色(AK54)=セルの固定色(AK$2),1,"")</f>
        <v>#NAME?</v>
      </c>
      <c r="AM54" s="14" t="e">
        <f ca="1">IF(OR(ISBLANK(AL54),AL54=""),"",COUNTIF(AL$2:AL54,"&gt;0"))</f>
        <v>#NAME?</v>
      </c>
      <c r="AP54" s="14" t="e">
        <f ca="1">IF(ISBLANK(AK54),"",LOOKUP(1,0/(AM$2:AM54=MAX(AM$2:AM54)),AK$2:AK54))</f>
        <v>#N/A</v>
      </c>
    </row>
    <row r="55" spans="2:42">
      <c r="B55" t="s">
        <v>47</v>
      </c>
      <c r="C55" s="8" t="b">
        <f>IF(B55="","",COUNTIF(B$1:B54,B55)=0)</f>
        <v>0</v>
      </c>
      <c r="D55" s="8" t="str">
        <f>IF(B55="","",IF(C55,COUNTIF(C$2:C55,TRUE),""))</f>
        <v/>
      </c>
      <c r="E55" s="8" t="str">
        <f t="shared" si="20"/>
        <v/>
      </c>
      <c r="F55" s="8" t="str">
        <f t="shared" si="1"/>
        <v/>
      </c>
      <c r="G55" s="8" t="str">
        <f>IF(ISBLANK(E55),"",IF(COUNTIF(AK:AK,"="&amp;E55)&gt;0,"",MAX(G$1:G54)+1))</f>
        <v/>
      </c>
      <c r="H55" s="8" t="str">
        <f t="shared" si="10"/>
        <v/>
      </c>
      <c r="S55" t="s">
        <v>27</v>
      </c>
      <c r="Z55" t="s">
        <v>68</v>
      </c>
      <c r="AC55" s="8" t="str">
        <f t="shared" si="8"/>
        <v/>
      </c>
      <c r="AE55" s="8" t="str">
        <f t="shared" si="4"/>
        <v/>
      </c>
      <c r="AK55" s="19" t="s">
        <v>1129</v>
      </c>
      <c r="AL55" s="14" t="e">
        <f ca="1">IF(セルの固定色(AK55)=セルの固定色(AK$2),1,"")</f>
        <v>#NAME?</v>
      </c>
      <c r="AM55" s="14" t="e">
        <f ca="1">IF(OR(ISBLANK(AL55),AL55=""),"",COUNTIF(AL$2:AL55,"&gt;0"))</f>
        <v>#NAME?</v>
      </c>
      <c r="AP55" s="14" t="e">
        <f ca="1">IF(ISBLANK(AK55),"",LOOKUP(1,0/(AM$2:AM55=MAX(AM$2:AM55)),AK$2:AK55))</f>
        <v>#N/A</v>
      </c>
    </row>
    <row r="56" spans="2:42" ht="19.5" thickBot="1">
      <c r="B56" t="s">
        <v>886</v>
      </c>
      <c r="C56" s="8" t="b">
        <f>IF(B56="","",COUNTIF(B$1:B55,B56)=0)</f>
        <v>1</v>
      </c>
      <c r="D56" s="8">
        <f>IF(B56="","",IF(C56,COUNTIF(C$2:C56,TRUE),""))</f>
        <v>11</v>
      </c>
      <c r="E56" s="8" t="str">
        <f t="shared" si="20"/>
        <v/>
      </c>
      <c r="F56" s="8" t="str">
        <f t="shared" si="1"/>
        <v/>
      </c>
      <c r="G56" s="8" t="str">
        <f>IF(ISBLANK(E56),"",IF(COUNTIF(AK:AK,"="&amp;E56)&gt;0,"",MAX(G$1:G55)+1))</f>
        <v/>
      </c>
      <c r="H56" s="8" t="str">
        <f t="shared" si="10"/>
        <v/>
      </c>
      <c r="S56" t="s">
        <v>259</v>
      </c>
      <c r="Z56" t="s">
        <v>68</v>
      </c>
      <c r="AC56" s="8" t="str">
        <f t="shared" si="8"/>
        <v/>
      </c>
      <c r="AE56" s="8" t="str">
        <f t="shared" si="4"/>
        <v/>
      </c>
      <c r="AK56" s="23" t="s">
        <v>1130</v>
      </c>
      <c r="AL56" s="14" t="e">
        <f ca="1">IF(セルの固定色(AK56)=セルの固定色(AK$2),1,"")</f>
        <v>#NAME?</v>
      </c>
      <c r="AM56" s="14" t="e">
        <f ca="1">IF(OR(ISBLANK(AL56),AL56=""),"",COUNTIF(AL$2:AL56,"&gt;0"))</f>
        <v>#NAME?</v>
      </c>
      <c r="AP56" s="14" t="e">
        <f ca="1">IF(ISBLANK(AK56),"",LOOKUP(1,0/(AM$2:AM56=MAX(AM$2:AM56)),AK$2:AK56))</f>
        <v>#N/A</v>
      </c>
    </row>
    <row r="57" spans="2:42">
      <c r="B57" t="s">
        <v>139</v>
      </c>
      <c r="C57" s="8" t="b">
        <f>IF(B57="","",COUNTIF(B$1:B56,B57)=0)</f>
        <v>0</v>
      </c>
      <c r="D57" s="8" t="str">
        <f>IF(B57="","",IF(C57,COUNTIF(C$2:C57,TRUE),""))</f>
        <v/>
      </c>
      <c r="E57" s="8" t="str">
        <f t="shared" si="20"/>
        <v/>
      </c>
      <c r="F57" s="8" t="str">
        <f t="shared" si="1"/>
        <v/>
      </c>
      <c r="G57" s="8" t="str">
        <f>IF(ISBLANK(E57),"",IF(COUNTIF(AK:AK,"="&amp;E57)&gt;0,"",MAX(G$1:G56)+1))</f>
        <v/>
      </c>
      <c r="H57" s="8" t="str">
        <f t="shared" si="10"/>
        <v/>
      </c>
      <c r="S57" t="s">
        <v>54</v>
      </c>
      <c r="Z57" t="s">
        <v>454</v>
      </c>
      <c r="AC57" s="8" t="str">
        <f t="shared" si="8"/>
        <v/>
      </c>
      <c r="AE57" s="8" t="str">
        <f t="shared" si="4"/>
        <v/>
      </c>
      <c r="AK57" s="24" t="s">
        <v>1131</v>
      </c>
      <c r="AL57" s="14" t="e">
        <f ca="1">IF(セルの固定色(AK57)=セルの固定色(AK$2),1,"")</f>
        <v>#NAME?</v>
      </c>
      <c r="AM57" s="14" t="e">
        <f ca="1">IF(OR(ISBLANK(AL57),AL57=""),"",COUNTIF(AL$2:AL57,"&gt;0"))</f>
        <v>#NAME?</v>
      </c>
      <c r="AP57" s="14" t="e">
        <f ca="1">IF(ISBLANK(AK57),"",LOOKUP(1,0/(AM$2:AM57=MAX(AM$2:AM57)),AK$2:AK57))</f>
        <v>#N/A</v>
      </c>
    </row>
    <row r="58" spans="2:42">
      <c r="B58" t="s">
        <v>139</v>
      </c>
      <c r="C58" s="8" t="b">
        <f>IF(B58="","",COUNTIF(B$1:B57,B58)=0)</f>
        <v>0</v>
      </c>
      <c r="D58" s="8" t="str">
        <f>IF(B58="","",IF(C58,COUNTIF(C$2:C58,TRUE),""))</f>
        <v/>
      </c>
      <c r="E58" s="8" t="str">
        <f t="shared" si="20"/>
        <v/>
      </c>
      <c r="F58" s="8" t="str">
        <f t="shared" si="1"/>
        <v/>
      </c>
      <c r="G58" s="8" t="str">
        <f>IF(ISBLANK(E58),"",IF(COUNTIF(AK:AK,"="&amp;E58)&gt;0,"",MAX(G$1:G57)+1))</f>
        <v/>
      </c>
      <c r="H58" s="8" t="str">
        <f t="shared" si="10"/>
        <v/>
      </c>
      <c r="S58" t="s">
        <v>54</v>
      </c>
      <c r="Z58" t="s">
        <v>222</v>
      </c>
      <c r="AC58" s="8" t="str">
        <f t="shared" si="8"/>
        <v/>
      </c>
      <c r="AE58" s="8" t="str">
        <f t="shared" si="4"/>
        <v/>
      </c>
      <c r="AK58" s="19" t="s">
        <v>1132</v>
      </c>
      <c r="AL58" s="14" t="e">
        <f ca="1">IF(セルの固定色(AK58)=セルの固定色(AK$2),1,"")</f>
        <v>#NAME?</v>
      </c>
      <c r="AM58" s="14" t="e">
        <f ca="1">IF(OR(ISBLANK(AL58),AL58=""),"",COUNTIF(AL$2:AL58,"&gt;0"))</f>
        <v>#NAME?</v>
      </c>
      <c r="AP58" s="14" t="e">
        <f ca="1">IF(ISBLANK(AK58),"",LOOKUP(1,0/(AM$2:AM58=MAX(AM$2:AM58)),AK$2:AK58))</f>
        <v>#N/A</v>
      </c>
    </row>
    <row r="59" spans="2:42">
      <c r="B59" t="s">
        <v>47</v>
      </c>
      <c r="C59" s="8" t="b">
        <f>IF(B59="","",COUNTIF(B$1:B58,B59)=0)</f>
        <v>0</v>
      </c>
      <c r="D59" s="8" t="str">
        <f>IF(B59="","",IF(C59,COUNTIF(C$2:C59,TRUE),""))</f>
        <v/>
      </c>
      <c r="E59" s="8" t="str">
        <f t="shared" si="20"/>
        <v/>
      </c>
      <c r="F59" s="8" t="str">
        <f t="shared" si="1"/>
        <v/>
      </c>
      <c r="G59" s="8" t="str">
        <f>IF(ISBLANK(E59),"",IF(COUNTIF(AK:AK,"="&amp;E59)&gt;0,"",MAX(G$1:G58)+1))</f>
        <v/>
      </c>
      <c r="H59" s="8" t="str">
        <f t="shared" si="10"/>
        <v/>
      </c>
      <c r="S59" t="s">
        <v>27</v>
      </c>
      <c r="Z59" t="s">
        <v>68</v>
      </c>
      <c r="AC59" s="8" t="str">
        <f t="shared" si="8"/>
        <v/>
      </c>
      <c r="AE59" s="8" t="str">
        <f t="shared" si="4"/>
        <v/>
      </c>
      <c r="AK59" s="19" t="s">
        <v>1133</v>
      </c>
      <c r="AL59" s="14" t="e">
        <f ca="1">IF(セルの固定色(AK59)=セルの固定色(AK$2),1,"")</f>
        <v>#NAME?</v>
      </c>
      <c r="AM59" s="14" t="e">
        <f ca="1">IF(OR(ISBLANK(AL59),AL59=""),"",COUNTIF(AL$2:AL59,"&gt;0"))</f>
        <v>#NAME?</v>
      </c>
      <c r="AP59" s="14" t="e">
        <f ca="1">IF(ISBLANK(AK59),"",LOOKUP(1,0/(AM$2:AM59=MAX(AM$2:AM59)),AK$2:AK59))</f>
        <v>#N/A</v>
      </c>
    </row>
    <row r="60" spans="2:42">
      <c r="B60" t="s">
        <v>47</v>
      </c>
      <c r="C60" s="8" t="b">
        <f>IF(B60="","",COUNTIF(B$1:B59,B60)=0)</f>
        <v>0</v>
      </c>
      <c r="D60" s="8" t="str">
        <f>IF(B60="","",IF(C60,COUNTIF(C$2:C60,TRUE),""))</f>
        <v/>
      </c>
      <c r="E60" s="8" t="str">
        <f t="shared" si="20"/>
        <v/>
      </c>
      <c r="F60" s="8" t="str">
        <f t="shared" si="1"/>
        <v/>
      </c>
      <c r="G60" s="8" t="str">
        <f>IF(ISBLANK(E60),"",IF(COUNTIF(AK:AK,"="&amp;E60)&gt;0,"",MAX(G$1:G59)+1))</f>
        <v/>
      </c>
      <c r="H60" s="8" t="str">
        <f t="shared" si="10"/>
        <v/>
      </c>
      <c r="S60" t="s">
        <v>27</v>
      </c>
      <c r="Z60" t="s">
        <v>68</v>
      </c>
      <c r="AC60" s="8" t="str">
        <f t="shared" si="8"/>
        <v/>
      </c>
      <c r="AE60" s="8" t="str">
        <f t="shared" si="4"/>
        <v/>
      </c>
      <c r="AK60" s="19" t="s">
        <v>1134</v>
      </c>
      <c r="AL60" s="14" t="e">
        <f ca="1">IF(セルの固定色(AK60)=セルの固定色(AK$2),1,"")</f>
        <v>#NAME?</v>
      </c>
      <c r="AM60" s="14" t="e">
        <f ca="1">IF(OR(ISBLANK(AL60),AL60=""),"",COUNTIF(AL$2:AL60,"&gt;0"))</f>
        <v>#NAME?</v>
      </c>
      <c r="AP60" s="14" t="e">
        <f ca="1">IF(ISBLANK(AK60),"",LOOKUP(1,0/(AM$2:AM60=MAX(AM$2:AM60)),AK$2:AK60))</f>
        <v>#N/A</v>
      </c>
    </row>
    <row r="61" spans="2:42">
      <c r="B61" t="s">
        <v>32</v>
      </c>
      <c r="C61" s="8" t="b">
        <f>IF(B61="","",COUNTIF(B$1:B60,B61)=0)</f>
        <v>0</v>
      </c>
      <c r="D61" s="8" t="str">
        <f>IF(B61="","",IF(C61,COUNTIF(C$2:C61,TRUE),""))</f>
        <v/>
      </c>
      <c r="E61" s="8" t="str">
        <f t="shared" si="20"/>
        <v/>
      </c>
      <c r="F61" s="8" t="str">
        <f t="shared" si="1"/>
        <v/>
      </c>
      <c r="G61" s="8" t="str">
        <f>IF(ISBLANK(E61),"",IF(COUNTIF(AK:AK,"="&amp;E61)&gt;0,"",MAX(G$1:G60)+1))</f>
        <v/>
      </c>
      <c r="H61" s="8" t="str">
        <f t="shared" si="10"/>
        <v/>
      </c>
      <c r="S61" t="s">
        <v>27</v>
      </c>
      <c r="Z61" t="s">
        <v>903</v>
      </c>
      <c r="AC61" s="8" t="str">
        <f t="shared" si="8"/>
        <v/>
      </c>
      <c r="AE61" s="8" t="str">
        <f t="shared" si="4"/>
        <v/>
      </c>
      <c r="AK61" s="25" t="s">
        <v>1135</v>
      </c>
      <c r="AL61" s="14" t="e">
        <f ca="1">IF(セルの固定色(AK61)=セルの固定色(AK$2),1,"")</f>
        <v>#NAME?</v>
      </c>
      <c r="AM61" s="14" t="e">
        <f ca="1">IF(OR(ISBLANK(AL61),AL61=""),"",COUNTIF(AL$2:AL61,"&gt;0"))</f>
        <v>#NAME?</v>
      </c>
      <c r="AP61" s="14" t="e">
        <f ca="1">IF(ISBLANK(AK61),"",LOOKUP(1,0/(AM$2:AM61=MAX(AM$2:AM61)),AK$2:AK61))</f>
        <v>#N/A</v>
      </c>
    </row>
    <row r="62" spans="2:42">
      <c r="B62" t="s">
        <v>47</v>
      </c>
      <c r="C62" s="8" t="b">
        <f>IF(B62="","",COUNTIF(B$1:B61,B62)=0)</f>
        <v>0</v>
      </c>
      <c r="D62" s="8" t="str">
        <f>IF(B62="","",IF(C62,COUNTIF(C$2:C62,TRUE),""))</f>
        <v/>
      </c>
      <c r="E62" s="8" t="str">
        <f t="shared" si="20"/>
        <v/>
      </c>
      <c r="F62" s="8" t="str">
        <f t="shared" si="1"/>
        <v/>
      </c>
      <c r="G62" s="8" t="str">
        <f>IF(ISBLANK(E62),"",IF(COUNTIF(AK:AK,"="&amp;E62)&gt;0,"",MAX(G$1:G61)+1))</f>
        <v/>
      </c>
      <c r="H62" s="8" t="str">
        <f t="shared" si="10"/>
        <v/>
      </c>
      <c r="S62" t="s">
        <v>73</v>
      </c>
      <c r="Z62" t="s">
        <v>37</v>
      </c>
      <c r="AC62" s="8" t="str">
        <f t="shared" si="8"/>
        <v/>
      </c>
      <c r="AE62" s="8" t="str">
        <f t="shared" si="4"/>
        <v/>
      </c>
      <c r="AK62" s="23" t="s">
        <v>1136</v>
      </c>
      <c r="AL62" s="14" t="e">
        <f ca="1">IF(セルの固定色(AK62)=セルの固定色(AK$2),1,"")</f>
        <v>#NAME?</v>
      </c>
      <c r="AM62" s="14" t="e">
        <f ca="1">IF(OR(ISBLANK(AL62),AL62=""),"",COUNTIF(AL$2:AL62,"&gt;0"))</f>
        <v>#NAME?</v>
      </c>
      <c r="AP62" s="14" t="e">
        <f ca="1">IF(ISBLANK(AK62),"",LOOKUP(1,0/(AM$2:AM62=MAX(AM$2:AM62)),AK$2:AK62))</f>
        <v>#N/A</v>
      </c>
    </row>
    <row r="63" spans="2:42" ht="19.5" thickBot="1">
      <c r="B63" t="s">
        <v>545</v>
      </c>
      <c r="C63" s="8" t="b">
        <f>IF(B63="","",COUNTIF(B$1:B62,B63)=0)</f>
        <v>1</v>
      </c>
      <c r="D63" s="8">
        <f>IF(B63="","",IF(C63,COUNTIF(C$2:C63,TRUE),""))</f>
        <v>12</v>
      </c>
      <c r="E63" s="8" t="str">
        <f t="shared" si="20"/>
        <v/>
      </c>
      <c r="F63" s="8" t="str">
        <f t="shared" si="1"/>
        <v/>
      </c>
      <c r="G63" s="8" t="str">
        <f>IF(ISBLANK(E63),"",IF(COUNTIF(AK:AK,"="&amp;E63)&gt;0,"",MAX(G$1:G62)+1))</f>
        <v/>
      </c>
      <c r="H63" s="8" t="str">
        <f t="shared" si="10"/>
        <v/>
      </c>
      <c r="S63" t="s">
        <v>252</v>
      </c>
      <c r="Z63" t="s">
        <v>911</v>
      </c>
      <c r="AC63" s="8" t="str">
        <f t="shared" si="8"/>
        <v/>
      </c>
      <c r="AE63" s="8" t="str">
        <f t="shared" si="4"/>
        <v/>
      </c>
      <c r="AK63" s="23" t="s">
        <v>1137</v>
      </c>
      <c r="AL63" s="14" t="e">
        <f ca="1">IF(セルの固定色(AK63)=セルの固定色(AK$2),1,"")</f>
        <v>#NAME?</v>
      </c>
      <c r="AM63" s="14" t="e">
        <f ca="1">IF(OR(ISBLANK(AL63),AL63=""),"",COUNTIF(AL$2:AL63,"&gt;0"))</f>
        <v>#NAME?</v>
      </c>
      <c r="AP63" s="14" t="e">
        <f ca="1">IF(ISBLANK(AK63),"",LOOKUP(1,0/(AM$2:AM63=MAX(AM$2:AM63)),AK$2:AK63))</f>
        <v>#N/A</v>
      </c>
    </row>
    <row r="64" spans="2:42">
      <c r="B64" t="s">
        <v>32</v>
      </c>
      <c r="C64" s="8" t="b">
        <f>IF(B64="","",COUNTIF(B$1:B63,B64)=0)</f>
        <v>0</v>
      </c>
      <c r="D64" s="8" t="str">
        <f>IF(B64="","",IF(C64,COUNTIF(C$2:C64,TRUE),""))</f>
        <v/>
      </c>
      <c r="E64" s="8" t="str">
        <f t="shared" si="20"/>
        <v/>
      </c>
      <c r="F64" s="8" t="str">
        <f t="shared" si="1"/>
        <v/>
      </c>
      <c r="G64" s="8" t="str">
        <f>IF(ISBLANK(E64),"",IF(COUNTIF(AK:AK,"="&amp;E64)&gt;0,"",MAX(G$1:G63)+1))</f>
        <v/>
      </c>
      <c r="H64" s="8" t="str">
        <f t="shared" si="10"/>
        <v/>
      </c>
      <c r="S64" t="s">
        <v>27</v>
      </c>
      <c r="Z64" t="s">
        <v>903</v>
      </c>
      <c r="AC64" s="8" t="str">
        <f t="shared" si="8"/>
        <v/>
      </c>
      <c r="AE64" s="8" t="str">
        <f t="shared" si="4"/>
        <v/>
      </c>
      <c r="AK64" s="24" t="s">
        <v>1138</v>
      </c>
      <c r="AL64" s="14" t="e">
        <f ca="1">IF(セルの固定色(AK64)=セルの固定色(AK$2),1,"")</f>
        <v>#NAME?</v>
      </c>
      <c r="AM64" s="14" t="e">
        <f ca="1">IF(OR(ISBLANK(AL64),AL64=""),"",COUNTIF(AL$2:AL64,"&gt;0"))</f>
        <v>#NAME?</v>
      </c>
      <c r="AP64" s="14" t="e">
        <f ca="1">IF(ISBLANK(AK64),"",LOOKUP(1,0/(AM$2:AM64=MAX(AM$2:AM64)),AK$2:AK64))</f>
        <v>#N/A</v>
      </c>
    </row>
    <row r="65" spans="2:42">
      <c r="B65" t="s">
        <v>128</v>
      </c>
      <c r="C65" s="8" t="b">
        <f>IF(B65="","",COUNTIF(B$1:B64,B65)=0)</f>
        <v>0</v>
      </c>
      <c r="D65" s="8" t="str">
        <f>IF(B65="","",IF(C65,COUNTIF(C$2:C65,TRUE),""))</f>
        <v/>
      </c>
      <c r="E65" s="8" t="str">
        <f t="shared" si="20"/>
        <v/>
      </c>
      <c r="F65" s="8" t="str">
        <f t="shared" si="1"/>
        <v/>
      </c>
      <c r="G65" s="8" t="str">
        <f>IF(ISBLANK(E65),"",IF(COUNTIF(AK:AK,"="&amp;E65)&gt;0,"",MAX(G$1:G64)+1))</f>
        <v/>
      </c>
      <c r="H65" s="8" t="str">
        <f t="shared" si="10"/>
        <v/>
      </c>
      <c r="S65" t="s">
        <v>54</v>
      </c>
      <c r="Z65" t="s">
        <v>780</v>
      </c>
      <c r="AC65" s="8" t="str">
        <f t="shared" si="8"/>
        <v/>
      </c>
      <c r="AE65" s="8" t="str">
        <f t="shared" si="4"/>
        <v/>
      </c>
      <c r="AK65" s="19" t="s">
        <v>1139</v>
      </c>
      <c r="AL65" s="14" t="e">
        <f ca="1">IF(セルの固定色(AK65)=セルの固定色(AK$2),1,"")</f>
        <v>#NAME?</v>
      </c>
      <c r="AM65" s="14" t="e">
        <f ca="1">IF(OR(ISBLANK(AL65),AL65=""),"",COUNTIF(AL$2:AL65,"&gt;0"))</f>
        <v>#NAME?</v>
      </c>
      <c r="AP65" s="14" t="e">
        <f ca="1">IF(ISBLANK(AK65),"",LOOKUP(1,0/(AM$2:AM65=MAX(AM$2:AM65)),AK$2:AK65))</f>
        <v>#N/A</v>
      </c>
    </row>
    <row r="66" spans="2:42">
      <c r="B66" t="s">
        <v>264</v>
      </c>
      <c r="C66" s="8" t="b">
        <f>IF(B66="","",COUNTIF(B$1:B65,B66)=0)</f>
        <v>0</v>
      </c>
      <c r="D66" s="8" t="str">
        <f>IF(B66="","",IF(C66,COUNTIF(C$2:C66,TRUE),""))</f>
        <v/>
      </c>
      <c r="E66" s="8" t="str">
        <f t="shared" si="20"/>
        <v/>
      </c>
      <c r="F66" s="8" t="str">
        <f t="shared" ref="F66:F101" si="22">IF(E66="","",IFERROR(LOOKUP(1,0/(AK:AK=E66),AP:AP),"旧 "&amp;E66))</f>
        <v/>
      </c>
      <c r="G66" s="8" t="str">
        <f>IF(ISBLANK(E66),"",IF(COUNTIF(AK:AK,"="&amp;E66)&gt;0,"",MAX(G$1:G65)+1))</f>
        <v/>
      </c>
      <c r="H66" s="8" t="str">
        <f t="shared" si="10"/>
        <v/>
      </c>
      <c r="S66" t="s">
        <v>116</v>
      </c>
      <c r="Z66" t="s">
        <v>925</v>
      </c>
      <c r="AC66" s="8" t="str">
        <f t="shared" si="8"/>
        <v/>
      </c>
      <c r="AE66" s="8" t="str">
        <f t="shared" ref="AE66:AE102" si="23">IF(ISBLANK(AD66),"",RANK(AD66,AD$2:AD$30,0))</f>
        <v/>
      </c>
      <c r="AK66" s="19" t="s">
        <v>1140</v>
      </c>
      <c r="AL66" s="14" t="e">
        <f ca="1">IF(セルの固定色(AK66)=セルの固定色(AK$2),1,"")</f>
        <v>#NAME?</v>
      </c>
      <c r="AM66" s="14" t="e">
        <f ca="1">IF(OR(ISBLANK(AL66),AL66=""),"",COUNTIF(AL$2:AL66,"&gt;0"))</f>
        <v>#NAME?</v>
      </c>
      <c r="AP66" s="14" t="e">
        <f ca="1">IF(ISBLANK(AK66),"",LOOKUP(1,0/(AM$2:AM66=MAX(AM$2:AM66)),AK$2:AK66))</f>
        <v>#N/A</v>
      </c>
    </row>
    <row r="67" spans="2:42">
      <c r="B67" t="s">
        <v>47</v>
      </c>
      <c r="C67" s="8" t="b">
        <f>IF(B67="","",COUNTIF(B$1:B66,B67)=0)</f>
        <v>0</v>
      </c>
      <c r="D67" s="8" t="str">
        <f>IF(B67="","",IF(C67,COUNTIF(C$2:C67,TRUE),""))</f>
        <v/>
      </c>
      <c r="E67" s="8" t="str">
        <f t="shared" si="20"/>
        <v/>
      </c>
      <c r="F67" s="8" t="str">
        <f t="shared" si="22"/>
        <v/>
      </c>
      <c r="G67" s="8" t="str">
        <f>IF(ISBLANK(E67),"",IF(COUNTIF(AK:AK,"="&amp;E67)&gt;0,"",MAX(G$1:G66)+1))</f>
        <v/>
      </c>
      <c r="H67" s="8" t="str">
        <f t="shared" si="10"/>
        <v/>
      </c>
      <c r="S67" t="s">
        <v>27</v>
      </c>
      <c r="Z67" t="s">
        <v>68</v>
      </c>
      <c r="AC67" s="8" t="str">
        <f t="shared" ref="AC67:AC102" si="24">IF(ISBLANK(AB67),"",COUNTIF(Z:Z,AB67))</f>
        <v/>
      </c>
      <c r="AE67" s="8" t="str">
        <f t="shared" si="23"/>
        <v/>
      </c>
      <c r="AK67" s="19" t="s">
        <v>1141</v>
      </c>
      <c r="AL67" s="14" t="e">
        <f ca="1">IF(セルの固定色(AK67)=セルの固定色(AK$2),1,"")</f>
        <v>#NAME?</v>
      </c>
      <c r="AM67" s="14" t="e">
        <f ca="1">IF(OR(ISBLANK(AL67),AL67=""),"",COUNTIF(AL$2:AL67,"&gt;0"))</f>
        <v>#NAME?</v>
      </c>
      <c r="AP67" s="14" t="e">
        <f ca="1">IF(ISBLANK(AK67),"",LOOKUP(1,0/(AM$2:AM67=MAX(AM$2:AM67)),AK$2:AK67))</f>
        <v>#N/A</v>
      </c>
    </row>
    <row r="68" spans="2:42" ht="19.5" thickBot="1">
      <c r="B68" t="s">
        <v>32</v>
      </c>
      <c r="C68" s="8" t="b">
        <f>IF(B68="","",COUNTIF(B$1:B67,B68)=0)</f>
        <v>0</v>
      </c>
      <c r="D68" s="8" t="str">
        <f>IF(B68="","",IF(C68,COUNTIF(C$2:C68,TRUE),""))</f>
        <v/>
      </c>
      <c r="E68" s="8" t="str">
        <f t="shared" si="20"/>
        <v/>
      </c>
      <c r="F68" s="8" t="str">
        <f t="shared" si="22"/>
        <v/>
      </c>
      <c r="G68" s="8" t="str">
        <f>IF(ISBLANK(E68),"",IF(COUNTIF(AK:AK,"="&amp;E68)&gt;0,"",MAX(G$1:G67)+1))</f>
        <v/>
      </c>
      <c r="H68" s="8" t="str">
        <f t="shared" ref="H68:H101" si="25">IF(E68="","",COUNTIF(B:B,E68))</f>
        <v/>
      </c>
      <c r="S68" t="s">
        <v>54</v>
      </c>
      <c r="Z68" t="s">
        <v>222</v>
      </c>
      <c r="AC68" s="8" t="str">
        <f t="shared" si="24"/>
        <v/>
      </c>
      <c r="AE68" s="8" t="str">
        <f t="shared" si="23"/>
        <v/>
      </c>
      <c r="AK68" s="30" t="s">
        <v>1142</v>
      </c>
      <c r="AL68" s="14" t="e">
        <f ca="1">IF(セルの固定色(AK68)=セルの固定色(AK$2),1,"")</f>
        <v>#NAME?</v>
      </c>
      <c r="AM68" s="14" t="e">
        <f ca="1">IF(OR(ISBLANK(AL68),AL68=""),"",COUNTIF(AL$2:AL68,"&gt;0"))</f>
        <v>#NAME?</v>
      </c>
      <c r="AP68" s="14" t="e">
        <f ca="1">IF(ISBLANK(AK68),"",LOOKUP(1,0/(AM$2:AM68=MAX(AM$2:AM68)),AK$2:AK68))</f>
        <v>#N/A</v>
      </c>
    </row>
    <row r="69" spans="2:42">
      <c r="B69" t="s">
        <v>47</v>
      </c>
      <c r="C69" s="8" t="b">
        <f>IF(B69="","",COUNTIF(B$1:B68,B69)=0)</f>
        <v>0</v>
      </c>
      <c r="D69" s="8" t="str">
        <f>IF(B69="","",IF(C69,COUNTIF(C$2:C69,TRUE),""))</f>
        <v/>
      </c>
      <c r="E69" s="8" t="str">
        <f t="shared" si="20"/>
        <v/>
      </c>
      <c r="F69" s="8" t="str">
        <f t="shared" si="22"/>
        <v/>
      </c>
      <c r="G69" s="8" t="str">
        <f>IF(ISBLANK(E69),"",IF(COUNTIF(AK:AK,"="&amp;E69)&gt;0,"",MAX(G$1:G68)+1))</f>
        <v/>
      </c>
      <c r="H69" s="8" t="str">
        <f t="shared" si="25"/>
        <v/>
      </c>
      <c r="S69" t="s">
        <v>116</v>
      </c>
      <c r="Z69" t="s">
        <v>44</v>
      </c>
      <c r="AC69" s="8" t="str">
        <f t="shared" si="24"/>
        <v/>
      </c>
      <c r="AE69" s="8" t="str">
        <f t="shared" si="23"/>
        <v/>
      </c>
      <c r="AK69" s="31" t="s">
        <v>1143</v>
      </c>
      <c r="AL69" s="14" t="e">
        <f ca="1">IF(セルの固定色(AK69)=セルの固定色(AK$2),1,"")</f>
        <v>#NAME?</v>
      </c>
      <c r="AM69" s="14" t="e">
        <f ca="1">IF(OR(ISBLANK(AL69),AL69=""),"",COUNTIF(AL$2:AL69,"&gt;0"))</f>
        <v>#NAME?</v>
      </c>
      <c r="AP69" s="14" t="e">
        <f ca="1">IF(ISBLANK(AK69),"",LOOKUP(1,0/(AM$2:AM69=MAX(AM$2:AM69)),AK$2:AK69))</f>
        <v>#N/A</v>
      </c>
    </row>
    <row r="70" spans="2:42">
      <c r="B70" t="s">
        <v>47</v>
      </c>
      <c r="C70" s="8" t="b">
        <f>IF(B70="","",COUNTIF(B$1:B69,B70)=0)</f>
        <v>0</v>
      </c>
      <c r="D70" s="8" t="str">
        <f>IF(B70="","",IF(C70,COUNTIF(C$2:C70,TRUE),""))</f>
        <v/>
      </c>
      <c r="E70" s="8" t="str">
        <f t="shared" si="20"/>
        <v/>
      </c>
      <c r="F70" s="8" t="str">
        <f t="shared" si="22"/>
        <v/>
      </c>
      <c r="G70" s="8" t="str">
        <f>IF(ISBLANK(E70),"",IF(COUNTIF(AK:AK,"="&amp;E70)&gt;0,"",MAX(G$1:G69)+1))</f>
        <v/>
      </c>
      <c r="H70" s="8" t="str">
        <f t="shared" si="25"/>
        <v/>
      </c>
      <c r="S70" t="s">
        <v>54</v>
      </c>
      <c r="Z70" t="s">
        <v>44</v>
      </c>
      <c r="AC70" s="8" t="str">
        <f t="shared" si="24"/>
        <v/>
      </c>
      <c r="AE70" s="8" t="str">
        <f t="shared" si="23"/>
        <v/>
      </c>
      <c r="AK70" s="19" t="s">
        <v>1144</v>
      </c>
      <c r="AL70" s="14" t="e">
        <f ca="1">IF(セルの固定色(AK70)=セルの固定色(AK$2),1,"")</f>
        <v>#NAME?</v>
      </c>
      <c r="AM70" s="14" t="e">
        <f ca="1">IF(OR(ISBLANK(AL70),AL70=""),"",COUNTIF(AL$2:AL70,"&gt;0"))</f>
        <v>#NAME?</v>
      </c>
      <c r="AP70" s="14" t="e">
        <f ca="1">IF(ISBLANK(AK70),"",LOOKUP(1,0/(AM$2:AM70=MAX(AM$2:AM70)),AK$2:AK70))</f>
        <v>#N/A</v>
      </c>
    </row>
    <row r="71" spans="2:42">
      <c r="B71" t="s">
        <v>128</v>
      </c>
      <c r="C71" s="8" t="b">
        <f>IF(B71="","",COUNTIF(B$1:B70,B71)=0)</f>
        <v>0</v>
      </c>
      <c r="D71" s="8" t="str">
        <f>IF(B71="","",IF(C71,COUNTIF(C$2:C71,TRUE),""))</f>
        <v/>
      </c>
      <c r="E71" s="8" t="str">
        <f t="shared" si="20"/>
        <v/>
      </c>
      <c r="F71" s="8" t="str">
        <f t="shared" si="22"/>
        <v/>
      </c>
      <c r="G71" s="8" t="str">
        <f>IF(ISBLANK(E71),"",IF(COUNTIF(AK:AK,"="&amp;E71)&gt;0,"",MAX(G$1:G70)+1))</f>
        <v/>
      </c>
      <c r="H71" s="8" t="str">
        <f t="shared" si="25"/>
        <v/>
      </c>
      <c r="S71" t="s">
        <v>27</v>
      </c>
      <c r="Z71" t="s">
        <v>37</v>
      </c>
      <c r="AC71" s="8" t="str">
        <f t="shared" si="24"/>
        <v/>
      </c>
      <c r="AE71" s="8" t="str">
        <f t="shared" si="23"/>
        <v/>
      </c>
      <c r="AK71" s="19" t="s">
        <v>1145</v>
      </c>
      <c r="AL71" s="14" t="e">
        <f ca="1">IF(セルの固定色(AK71)=セルの固定色(AK$2),1,"")</f>
        <v>#NAME?</v>
      </c>
      <c r="AM71" s="14" t="e">
        <f ca="1">IF(OR(ISBLANK(AL71),AL71=""),"",COUNTIF(AL$2:AL71,"&gt;0"))</f>
        <v>#NAME?</v>
      </c>
      <c r="AP71" s="14" t="e">
        <f ca="1">IF(ISBLANK(AK71),"",LOOKUP(1,0/(AM$2:AM71=MAX(AM$2:AM71)),AK$2:AK71))</f>
        <v>#N/A</v>
      </c>
    </row>
    <row r="72" spans="2:42">
      <c r="B72" t="s">
        <v>139</v>
      </c>
      <c r="C72" s="8" t="b">
        <f>IF(B72="","",COUNTIF(B$1:B71,B72)=0)</f>
        <v>0</v>
      </c>
      <c r="D72" s="8" t="str">
        <f>IF(B72="","",IF(C72,COUNTIF(C$2:C72,TRUE),""))</f>
        <v/>
      </c>
      <c r="E72" s="8" t="str">
        <f t="shared" si="20"/>
        <v/>
      </c>
      <c r="F72" s="8" t="str">
        <f t="shared" si="22"/>
        <v/>
      </c>
      <c r="G72" s="8" t="str">
        <f>IF(ISBLANK(E72),"",IF(COUNTIF(AK:AK,"="&amp;E72)&gt;0,"",MAX(G$1:G71)+1))</f>
        <v/>
      </c>
      <c r="H72" s="8" t="str">
        <f t="shared" si="25"/>
        <v/>
      </c>
      <c r="S72" t="s">
        <v>27</v>
      </c>
      <c r="Z72" t="s">
        <v>37</v>
      </c>
      <c r="AC72" s="8" t="str">
        <f t="shared" si="24"/>
        <v/>
      </c>
      <c r="AE72" s="8" t="str">
        <f t="shared" si="23"/>
        <v/>
      </c>
      <c r="AK72" s="19" t="s">
        <v>1146</v>
      </c>
      <c r="AL72" s="14" t="e">
        <f ca="1">IF(セルの固定色(AK72)=セルの固定色(AK$2),1,"")</f>
        <v>#NAME?</v>
      </c>
      <c r="AM72" s="14" t="e">
        <f ca="1">IF(OR(ISBLANK(AL72),AL72=""),"",COUNTIF(AL$2:AL72,"&gt;0"))</f>
        <v>#NAME?</v>
      </c>
      <c r="AP72" s="14" t="e">
        <f ca="1">IF(ISBLANK(AK72),"",LOOKUP(1,0/(AM$2:AM72=MAX(AM$2:AM72)),AK$2:AK72))</f>
        <v>#N/A</v>
      </c>
    </row>
    <row r="73" spans="2:42" ht="19.5" thickBot="1">
      <c r="B73" t="s">
        <v>264</v>
      </c>
      <c r="C73" s="8" t="b">
        <f>IF(B73="","",COUNTIF(B$1:B72,B73)=0)</f>
        <v>0</v>
      </c>
      <c r="D73" s="8" t="str">
        <f>IF(B73="","",IF(C73,COUNTIF(C$2:C73,TRUE),""))</f>
        <v/>
      </c>
      <c r="E73" s="8" t="str">
        <f t="shared" si="20"/>
        <v/>
      </c>
      <c r="F73" s="8" t="str">
        <f t="shared" si="22"/>
        <v/>
      </c>
      <c r="G73" s="8" t="str">
        <f>IF(ISBLANK(E73),"",IF(COUNTIF(AK:AK,"="&amp;E73)&gt;0,"",MAX(G$1:G72)+1))</f>
        <v/>
      </c>
      <c r="H73" s="8" t="str">
        <f t="shared" si="25"/>
        <v/>
      </c>
      <c r="S73" t="s">
        <v>259</v>
      </c>
      <c r="Z73" t="s">
        <v>246</v>
      </c>
      <c r="AC73" s="8" t="str">
        <f t="shared" si="24"/>
        <v/>
      </c>
      <c r="AE73" s="8" t="str">
        <f t="shared" si="23"/>
        <v/>
      </c>
      <c r="AK73" s="23" t="s">
        <v>1147</v>
      </c>
      <c r="AL73" s="14" t="e">
        <f ca="1">IF(セルの固定色(AK73)=セルの固定色(AK$2),1,"")</f>
        <v>#NAME?</v>
      </c>
      <c r="AM73" s="14" t="e">
        <f ca="1">IF(OR(ISBLANK(AL73),AL73=""),"",COUNTIF(AL$2:AL73,"&gt;0"))</f>
        <v>#NAME?</v>
      </c>
      <c r="AP73" s="14" t="e">
        <f ca="1">IF(ISBLANK(AK73),"",LOOKUP(1,0/(AM$2:AM73=MAX(AM$2:AM73)),AK$2:AK73))</f>
        <v>#N/A</v>
      </c>
    </row>
    <row r="74" spans="2:42">
      <c r="B74" t="s">
        <v>596</v>
      </c>
      <c r="C74" s="8" t="b">
        <f>IF(B74="","",COUNTIF(B$1:B73,B74)=0)</f>
        <v>1</v>
      </c>
      <c r="D74" s="8">
        <f>IF(B74="","",IF(C74,COUNTIF(C$2:C74,TRUE),""))</f>
        <v>13</v>
      </c>
      <c r="E74" s="8" t="str">
        <f t="shared" si="20"/>
        <v/>
      </c>
      <c r="F74" s="8" t="str">
        <f t="shared" si="22"/>
        <v/>
      </c>
      <c r="G74" s="8" t="str">
        <f>IF(ISBLANK(E74),"",IF(COUNTIF(AK:AK,"="&amp;E74)&gt;0,"",MAX(G$1:G73)+1))</f>
        <v/>
      </c>
      <c r="H74" s="8" t="str">
        <f t="shared" si="25"/>
        <v/>
      </c>
      <c r="S74" t="s">
        <v>54</v>
      </c>
      <c r="Z74" t="s">
        <v>37</v>
      </c>
      <c r="AC74" s="8" t="str">
        <f t="shared" si="24"/>
        <v/>
      </c>
      <c r="AE74" s="8" t="str">
        <f t="shared" si="23"/>
        <v/>
      </c>
      <c r="AK74" s="32" t="s">
        <v>1148</v>
      </c>
      <c r="AL74" s="14" t="e">
        <f ca="1">IF(セルの固定色(AK74)=セルの固定色(AK$2),1,"")</f>
        <v>#NAME?</v>
      </c>
      <c r="AM74" s="14" t="e">
        <f ca="1">IF(OR(ISBLANK(AL74),AL74=""),"",COUNTIF(AL$2:AL74,"&gt;0"))</f>
        <v>#NAME?</v>
      </c>
      <c r="AP74" s="14" t="e">
        <f ca="1">IF(ISBLANK(AK74),"",LOOKUP(1,0/(AM$2:AM74=MAX(AM$2:AM74)),AK$2:AK74))</f>
        <v>#N/A</v>
      </c>
    </row>
    <row r="75" spans="2:42">
      <c r="B75" t="s">
        <v>47</v>
      </c>
      <c r="C75" s="8" t="b">
        <f>IF(B75="","",COUNTIF(B$1:B74,B75)=0)</f>
        <v>0</v>
      </c>
      <c r="D75" s="8" t="str">
        <f>IF(B75="","",IF(C75,COUNTIF(C$2:C75,TRUE),""))</f>
        <v/>
      </c>
      <c r="E75" s="8" t="str">
        <f t="shared" si="20"/>
        <v/>
      </c>
      <c r="F75" s="8" t="str">
        <f t="shared" si="22"/>
        <v/>
      </c>
      <c r="G75" s="8" t="str">
        <f>IF(ISBLANK(E75),"",IF(COUNTIF(AK:AK,"="&amp;E75)&gt;0,"",MAX(G$1:G74)+1))</f>
        <v/>
      </c>
      <c r="H75" s="8" t="str">
        <f t="shared" si="25"/>
        <v/>
      </c>
      <c r="S75" t="s">
        <v>54</v>
      </c>
      <c r="Z75" t="s">
        <v>44</v>
      </c>
      <c r="AC75" s="8" t="str">
        <f t="shared" si="24"/>
        <v/>
      </c>
      <c r="AE75" s="8" t="str">
        <f t="shared" si="23"/>
        <v/>
      </c>
      <c r="AK75" s="26" t="s">
        <v>1149</v>
      </c>
      <c r="AL75" s="14" t="e">
        <f ca="1">IF(セルの固定色(AK75)=セルの固定色(AK$2),1,"")</f>
        <v>#NAME?</v>
      </c>
      <c r="AM75" s="14" t="e">
        <f ca="1">IF(OR(ISBLANK(AL75),AL75=""),"",COUNTIF(AL$2:AL75,"&gt;0"))</f>
        <v>#NAME?</v>
      </c>
      <c r="AP75" s="14" t="e">
        <f ca="1">IF(ISBLANK(AK75),"",LOOKUP(1,0/(AM$2:AM75=MAX(AM$2:AM75)),AK$2:AK75))</f>
        <v>#N/A</v>
      </c>
    </row>
    <row r="76" spans="2:42" ht="19.5" thickBot="1">
      <c r="B76" t="s">
        <v>191</v>
      </c>
      <c r="C76" s="8" t="b">
        <f>IF(B76="","",COUNTIF(B$1:B75,B76)=0)</f>
        <v>0</v>
      </c>
      <c r="D76" s="8" t="str">
        <f>IF(B76="","",IF(C76,COUNTIF(C$2:C76,TRUE),""))</f>
        <v/>
      </c>
      <c r="E76" s="8" t="str">
        <f t="shared" si="20"/>
        <v/>
      </c>
      <c r="F76" s="8" t="str">
        <f t="shared" si="22"/>
        <v/>
      </c>
      <c r="G76" s="8" t="str">
        <f>IF(ISBLANK(E76),"",IF(COUNTIF(AK:AK,"="&amp;E76)&gt;0,"",MAX(G$1:G75)+1))</f>
        <v/>
      </c>
      <c r="H76" s="8" t="str">
        <f t="shared" si="25"/>
        <v/>
      </c>
      <c r="S76" t="s">
        <v>27</v>
      </c>
      <c r="Z76" t="s">
        <v>222</v>
      </c>
      <c r="AC76" s="8" t="str">
        <f t="shared" si="24"/>
        <v/>
      </c>
      <c r="AE76" s="8" t="str">
        <f t="shared" si="23"/>
        <v/>
      </c>
      <c r="AK76" s="33" t="s">
        <v>1150</v>
      </c>
      <c r="AL76" s="14" t="e">
        <f ca="1">IF(セルの固定色(AK76)=セルの固定色(AK$2),1,"")</f>
        <v>#NAME?</v>
      </c>
      <c r="AM76" s="14" t="e">
        <f ca="1">IF(OR(ISBLANK(AL76),AL76=""),"",COUNTIF(AL$2:AL76,"&gt;0"))</f>
        <v>#NAME?</v>
      </c>
      <c r="AP76" s="14" t="e">
        <f ca="1">IF(ISBLANK(AK76),"",LOOKUP(1,0/(AM$2:AM76=MAX(AM$2:AM76)),AK$2:AK76))</f>
        <v>#N/A</v>
      </c>
    </row>
    <row r="77" spans="2:42">
      <c r="B77" t="s">
        <v>191</v>
      </c>
      <c r="C77" s="8" t="b">
        <f>IF(B77="","",COUNTIF(B$1:B76,B77)=0)</f>
        <v>0</v>
      </c>
      <c r="D77" s="8" t="str">
        <f>IF(B77="","",IF(C77,COUNTIF(C$2:C77,TRUE),""))</f>
        <v/>
      </c>
      <c r="E77" s="8" t="str">
        <f t="shared" si="20"/>
        <v/>
      </c>
      <c r="F77" s="8" t="str">
        <f t="shared" si="22"/>
        <v/>
      </c>
      <c r="G77" s="8" t="str">
        <f>IF(ISBLANK(E77),"",IF(COUNTIF(AK:AK,"="&amp;E77)&gt;0,"",MAX(G$1:G76)+1))</f>
        <v/>
      </c>
      <c r="H77" s="8" t="str">
        <f t="shared" si="25"/>
        <v/>
      </c>
      <c r="S77" t="s">
        <v>494</v>
      </c>
      <c r="Z77" t="s">
        <v>44</v>
      </c>
      <c r="AC77" s="8" t="str">
        <f t="shared" si="24"/>
        <v/>
      </c>
      <c r="AE77" s="8" t="str">
        <f t="shared" si="23"/>
        <v/>
      </c>
      <c r="AK77" s="24" t="s">
        <v>1151</v>
      </c>
      <c r="AL77" s="14" t="e">
        <f ca="1">IF(セルの固定色(AK77)=セルの固定色(AK$2),1,"")</f>
        <v>#NAME?</v>
      </c>
      <c r="AM77" s="14" t="e">
        <f ca="1">IF(OR(ISBLANK(AL77),AL77=""),"",COUNTIF(AL$2:AL77,"&gt;0"))</f>
        <v>#NAME?</v>
      </c>
      <c r="AP77" s="14" t="e">
        <f ca="1">IF(ISBLANK(AK77),"",LOOKUP(1,0/(AM$2:AM77=MAX(AM$2:AM77)),AK$2:AK77))</f>
        <v>#N/A</v>
      </c>
    </row>
    <row r="78" spans="2:42">
      <c r="B78" t="s">
        <v>408</v>
      </c>
      <c r="C78" s="8" t="b">
        <f>IF(B78="","",COUNTIF(B$1:B77,B78)=0)</f>
        <v>1</v>
      </c>
      <c r="D78" s="8">
        <f>IF(B78="","",IF(C78,COUNTIF(C$2:C78,TRUE),""))</f>
        <v>14</v>
      </c>
      <c r="E78" s="8" t="str">
        <f t="shared" si="20"/>
        <v/>
      </c>
      <c r="F78" s="8" t="str">
        <f t="shared" si="22"/>
        <v/>
      </c>
      <c r="G78" s="8" t="str">
        <f>IF(ISBLANK(E78),"",IF(COUNTIF(AK:AK,"="&amp;E78)&gt;0,"",MAX(G$1:G77)+1))</f>
        <v/>
      </c>
      <c r="H78" s="8" t="str">
        <f t="shared" si="25"/>
        <v/>
      </c>
      <c r="S78" t="s">
        <v>494</v>
      </c>
      <c r="Z78" t="s">
        <v>222</v>
      </c>
      <c r="AC78" s="8" t="str">
        <f t="shared" si="24"/>
        <v/>
      </c>
      <c r="AE78" s="8" t="str">
        <f t="shared" si="23"/>
        <v/>
      </c>
      <c r="AK78" s="19" t="s">
        <v>1152</v>
      </c>
      <c r="AL78" s="14" t="e">
        <f ca="1">IF(セルの固定色(AK78)=セルの固定色(AK$2),1,"")</f>
        <v>#NAME?</v>
      </c>
      <c r="AM78" s="14" t="e">
        <f ca="1">IF(OR(ISBLANK(AL78),AL78=""),"",COUNTIF(AL$2:AL78,"&gt;0"))</f>
        <v>#NAME?</v>
      </c>
      <c r="AP78" s="14" t="e">
        <f ca="1">IF(ISBLANK(AK78),"",LOOKUP(1,0/(AM$2:AM78=MAX(AM$2:AM78)),AK$2:AK78))</f>
        <v>#N/A</v>
      </c>
    </row>
    <row r="79" spans="2:42">
      <c r="B79" t="s">
        <v>47</v>
      </c>
      <c r="C79" s="8" t="b">
        <f>IF(B79="","",COUNTIF(B$1:B78,B79)=0)</f>
        <v>0</v>
      </c>
      <c r="D79" s="8" t="str">
        <f>IF(B79="","",IF(C79,COUNTIF(C$2:C79,TRUE),""))</f>
        <v/>
      </c>
      <c r="E79" s="8" t="str">
        <f t="shared" si="20"/>
        <v/>
      </c>
      <c r="F79" s="8" t="str">
        <f t="shared" si="22"/>
        <v/>
      </c>
      <c r="G79" s="8" t="str">
        <f>IF(ISBLANK(E79),"",IF(COUNTIF(AK:AK,"="&amp;E79)&gt;0,"",MAX(G$1:G78)+1))</f>
        <v/>
      </c>
      <c r="H79" s="8" t="str">
        <f t="shared" si="25"/>
        <v/>
      </c>
      <c r="S79" t="s">
        <v>27</v>
      </c>
      <c r="Z79" t="s">
        <v>68</v>
      </c>
      <c r="AC79" s="8" t="str">
        <f t="shared" si="24"/>
        <v/>
      </c>
      <c r="AE79" s="8" t="str">
        <f t="shared" si="23"/>
        <v/>
      </c>
      <c r="AK79" s="23" t="s">
        <v>1153</v>
      </c>
      <c r="AL79" s="14" t="e">
        <f ca="1">IF(セルの固定色(AK79)=セルの固定色(AK$2),1,"")</f>
        <v>#NAME?</v>
      </c>
      <c r="AM79" s="14" t="e">
        <f ca="1">IF(OR(ISBLANK(AL79),AL79=""),"",COUNTIF(AL$2:AL79,"&gt;0"))</f>
        <v>#NAME?</v>
      </c>
      <c r="AP79" s="14" t="e">
        <f ca="1">IF(ISBLANK(AK79),"",LOOKUP(1,0/(AM$2:AM79=MAX(AM$2:AM79)),AK$2:AK79))</f>
        <v>#N/A</v>
      </c>
    </row>
    <row r="80" spans="2:42">
      <c r="B80" t="s">
        <v>47</v>
      </c>
      <c r="C80" s="8" t="b">
        <f>IF(B80="","",COUNTIF(B$1:B79,B80)=0)</f>
        <v>0</v>
      </c>
      <c r="D80" s="8" t="str">
        <f>IF(B80="","",IF(C80,COUNTIF(C$2:C80,TRUE),""))</f>
        <v/>
      </c>
      <c r="E80" s="8" t="str">
        <f t="shared" si="20"/>
        <v/>
      </c>
      <c r="F80" s="8" t="str">
        <f t="shared" si="22"/>
        <v/>
      </c>
      <c r="G80" s="8" t="str">
        <f>IF(ISBLANK(E80),"",IF(COUNTIF(AK:AK,"="&amp;E80)&gt;0,"",MAX(G$1:G79)+1))</f>
        <v/>
      </c>
      <c r="H80" s="8" t="str">
        <f t="shared" si="25"/>
        <v/>
      </c>
      <c r="S80" t="s">
        <v>27</v>
      </c>
      <c r="Z80" t="s">
        <v>83</v>
      </c>
      <c r="AC80" s="8" t="str">
        <f t="shared" si="24"/>
        <v/>
      </c>
      <c r="AE80" s="8" t="str">
        <f t="shared" si="23"/>
        <v/>
      </c>
      <c r="AK80" s="23" t="s">
        <v>1154</v>
      </c>
      <c r="AL80" s="14" t="e">
        <f ca="1">IF(セルの固定色(AK80)=セルの固定色(AK$2),1,"")</f>
        <v>#NAME?</v>
      </c>
      <c r="AM80" s="14" t="e">
        <f ca="1">IF(OR(ISBLANK(AL80),AL80=""),"",COUNTIF(AL$2:AL80,"&gt;0"))</f>
        <v>#NAME?</v>
      </c>
      <c r="AP80" s="14" t="e">
        <f ca="1">IF(ISBLANK(AK80),"",LOOKUP(1,0/(AM$2:AM80=MAX(AM$2:AM80)),AK$2:AK80))</f>
        <v>#N/A</v>
      </c>
    </row>
    <row r="81" spans="2:42">
      <c r="B81" t="s">
        <v>47</v>
      </c>
      <c r="C81" s="8" t="b">
        <f>IF(B81="","",COUNTIF(B$1:B80,B81)=0)</f>
        <v>0</v>
      </c>
      <c r="D81" s="8" t="str">
        <f>IF(B81="","",IF(C81,COUNTIF(C$2:C81,TRUE),""))</f>
        <v/>
      </c>
      <c r="E81" s="8" t="str">
        <f t="shared" si="20"/>
        <v/>
      </c>
      <c r="F81" s="8" t="str">
        <f t="shared" si="22"/>
        <v/>
      </c>
      <c r="G81" s="8" t="str">
        <f>IF(ISBLANK(E81),"",IF(COUNTIF(AK:AK,"="&amp;E81)&gt;0,"",MAX(G$1:G80)+1))</f>
        <v/>
      </c>
      <c r="H81" s="8" t="str">
        <f t="shared" si="25"/>
        <v/>
      </c>
      <c r="S81" t="s">
        <v>54</v>
      </c>
      <c r="Z81" t="s">
        <v>68</v>
      </c>
      <c r="AC81" s="8" t="str">
        <f t="shared" si="24"/>
        <v/>
      </c>
      <c r="AE81" s="8" t="str">
        <f t="shared" si="23"/>
        <v/>
      </c>
      <c r="AK81" s="23" t="s">
        <v>1155</v>
      </c>
      <c r="AL81" s="14" t="e">
        <f ca="1">IF(セルの固定色(AK81)=セルの固定色(AK$2),1,"")</f>
        <v>#NAME?</v>
      </c>
      <c r="AM81" s="14" t="e">
        <f ca="1">IF(OR(ISBLANK(AL81),AL81=""),"",COUNTIF(AL$2:AL81,"&gt;0"))</f>
        <v>#NAME?</v>
      </c>
      <c r="AP81" s="14" t="e">
        <f ca="1">IF(ISBLANK(AK81),"",LOOKUP(1,0/(AM$2:AM81=MAX(AM$2:AM81)),AK$2:AK81))</f>
        <v>#N/A</v>
      </c>
    </row>
    <row r="82" spans="2:42" ht="19.5" thickBot="1">
      <c r="B82" t="s">
        <v>47</v>
      </c>
      <c r="C82" s="8" t="b">
        <f>IF(B82="","",COUNTIF(B$1:B81,B82)=0)</f>
        <v>0</v>
      </c>
      <c r="D82" s="8" t="str">
        <f>IF(B82="","",IF(C82,COUNTIF(C$2:C82,TRUE),""))</f>
        <v/>
      </c>
      <c r="E82" s="8" t="str">
        <f t="shared" si="20"/>
        <v/>
      </c>
      <c r="F82" s="8" t="str">
        <f t="shared" si="22"/>
        <v/>
      </c>
      <c r="G82" s="8" t="str">
        <f>IF(ISBLANK(E82),"",IF(COUNTIF(AK:AK,"="&amp;E82)&gt;0,"",MAX(G$1:G81)+1))</f>
        <v/>
      </c>
      <c r="H82" s="8" t="str">
        <f t="shared" si="25"/>
        <v/>
      </c>
      <c r="S82" t="s">
        <v>54</v>
      </c>
      <c r="Z82" t="s">
        <v>68</v>
      </c>
      <c r="AC82" s="8" t="str">
        <f t="shared" si="24"/>
        <v/>
      </c>
      <c r="AE82" s="8" t="str">
        <f t="shared" si="23"/>
        <v/>
      </c>
      <c r="AK82" s="30" t="s">
        <v>1156</v>
      </c>
      <c r="AL82" s="14" t="e">
        <f ca="1">IF(セルの固定色(AK82)=セルの固定色(AK$2),1,"")</f>
        <v>#NAME?</v>
      </c>
      <c r="AM82" s="14" t="e">
        <f ca="1">IF(OR(ISBLANK(AL82),AL82=""),"",COUNTIF(AL$2:AL82,"&gt;0"))</f>
        <v>#NAME?</v>
      </c>
      <c r="AP82" s="14" t="e">
        <f ca="1">IF(ISBLANK(AK82),"",LOOKUP(1,0/(AM$2:AM82=MAX(AM$2:AM82)),AK$2:AK82))</f>
        <v>#N/A</v>
      </c>
    </row>
    <row r="83" spans="2:42" ht="19.5" thickBot="1">
      <c r="B83" t="s">
        <v>32</v>
      </c>
      <c r="C83" s="8" t="b">
        <f>IF(B83="","",COUNTIF(B$1:B82,B83)=0)</f>
        <v>0</v>
      </c>
      <c r="D83" s="8" t="str">
        <f>IF(B83="","",IF(C83,COUNTIF(C$2:C83,TRUE),""))</f>
        <v/>
      </c>
      <c r="E83" s="8" t="str">
        <f t="shared" si="20"/>
        <v/>
      </c>
      <c r="F83" s="8" t="str">
        <f t="shared" si="22"/>
        <v/>
      </c>
      <c r="G83" s="8" t="str">
        <f>IF(ISBLANK(E83),"",IF(COUNTIF(AK:AK,"="&amp;E83)&gt;0,"",MAX(G$1:G82)+1))</f>
        <v/>
      </c>
      <c r="H83" s="8" t="str">
        <f t="shared" si="25"/>
        <v/>
      </c>
      <c r="S83" t="s">
        <v>27</v>
      </c>
      <c r="Z83" t="s">
        <v>985</v>
      </c>
      <c r="AC83" s="8" t="str">
        <f t="shared" si="24"/>
        <v/>
      </c>
      <c r="AE83" s="8" t="str">
        <f t="shared" si="23"/>
        <v/>
      </c>
      <c r="AK83" s="34" t="s">
        <v>1157</v>
      </c>
      <c r="AL83" s="14" t="e">
        <f ca="1">IF(セルの固定色(AK83)=セルの固定色(AK$2),1,"")</f>
        <v>#NAME?</v>
      </c>
      <c r="AM83" s="14" t="e">
        <f ca="1">IF(OR(ISBLANK(AL83),AL83=""),"",COUNTIF(AL$2:AL83,"&gt;0"))</f>
        <v>#NAME?</v>
      </c>
      <c r="AP83" s="14" t="e">
        <f ca="1">IF(ISBLANK(AK83),"",LOOKUP(1,0/(AM$2:AM83=MAX(AM$2:AM83)),AK$2:AK83))</f>
        <v>#N/A</v>
      </c>
    </row>
    <row r="84" spans="2:42">
      <c r="B84" t="s">
        <v>47</v>
      </c>
      <c r="C84" s="8" t="b">
        <f>IF(B84="","",COUNTIF(B$1:B83,B84)=0)</f>
        <v>0</v>
      </c>
      <c r="D84" s="8" t="str">
        <f>IF(B84="","",IF(C84,COUNTIF(C$2:C84,TRUE),""))</f>
        <v/>
      </c>
      <c r="E84" s="8" t="str">
        <f t="shared" ref="E84:E147" si="26">IFERROR(LOOKUP(1,0/(D:D=ROW()-ROW(E$1)),B:B),"")</f>
        <v/>
      </c>
      <c r="F84" s="8" t="str">
        <f t="shared" si="22"/>
        <v/>
      </c>
      <c r="G84" s="8" t="str">
        <f>IF(ISBLANK(E84),"",IF(COUNTIF(AK:AK,"="&amp;E84)&gt;0,"",MAX(G$1:G83)+1))</f>
        <v/>
      </c>
      <c r="H84" s="8" t="str">
        <f t="shared" si="25"/>
        <v/>
      </c>
      <c r="S84" t="s">
        <v>54</v>
      </c>
      <c r="Z84" t="s">
        <v>68</v>
      </c>
      <c r="AC84" s="8" t="str">
        <f t="shared" si="24"/>
        <v/>
      </c>
      <c r="AE84" s="8" t="str">
        <f t="shared" si="23"/>
        <v/>
      </c>
      <c r="AK84" s="32" t="s">
        <v>1158</v>
      </c>
      <c r="AL84" s="14" t="e">
        <f ca="1">IF(セルの固定色(AK84)=セルの固定色(AK$2),1,"")</f>
        <v>#NAME?</v>
      </c>
      <c r="AM84" s="14" t="e">
        <f ca="1">IF(OR(ISBLANK(AL84),AL84=""),"",COUNTIF(AL$2:AL84,"&gt;0"))</f>
        <v>#NAME?</v>
      </c>
      <c r="AP84" s="14" t="e">
        <f ca="1">IF(ISBLANK(AK84),"",LOOKUP(1,0/(AM$2:AM84=MAX(AM$2:AM84)),AK$2:AK84))</f>
        <v>#N/A</v>
      </c>
    </row>
    <row r="85" spans="2:42">
      <c r="B85" t="s">
        <v>47</v>
      </c>
      <c r="C85" s="8" t="b">
        <f>IF(B85="","",COUNTIF(B$1:B84,B85)=0)</f>
        <v>0</v>
      </c>
      <c r="D85" s="8" t="str">
        <f>IF(B85="","",IF(C85,COUNTIF(C$2:C85,TRUE),""))</f>
        <v/>
      </c>
      <c r="E85" s="8" t="str">
        <f t="shared" si="26"/>
        <v/>
      </c>
      <c r="F85" s="8" t="str">
        <f t="shared" si="22"/>
        <v/>
      </c>
      <c r="G85" s="8" t="str">
        <f>IF(ISBLANK(E85),"",IF(COUNTIF(AK:AK,"="&amp;E85)&gt;0,"",MAX(G$1:G84)+1))</f>
        <v/>
      </c>
      <c r="H85" s="8" t="str">
        <f t="shared" si="25"/>
        <v/>
      </c>
      <c r="S85" t="s">
        <v>27</v>
      </c>
      <c r="Z85" t="s">
        <v>68</v>
      </c>
      <c r="AC85" s="8" t="str">
        <f t="shared" si="24"/>
        <v/>
      </c>
      <c r="AE85" s="8" t="str">
        <f t="shared" si="23"/>
        <v/>
      </c>
      <c r="AK85" s="26" t="s">
        <v>1159</v>
      </c>
      <c r="AL85" s="14" t="e">
        <f ca="1">IF(セルの固定色(AK85)=セルの固定色(AK$2),1,"")</f>
        <v>#NAME?</v>
      </c>
      <c r="AM85" s="14" t="e">
        <f ca="1">IF(OR(ISBLANK(AL85),AL85=""),"",COUNTIF(AL$2:AL85,"&gt;0"))</f>
        <v>#NAME?</v>
      </c>
      <c r="AP85" s="14" t="e">
        <f ca="1">IF(ISBLANK(AK85),"",LOOKUP(1,0/(AM$2:AM85=MAX(AM$2:AM85)),AK$2:AK85))</f>
        <v>#N/A</v>
      </c>
    </row>
    <row r="86" spans="2:42">
      <c r="B86" t="s">
        <v>47</v>
      </c>
      <c r="C86" s="8" t="b">
        <f>IF(B86="","",COUNTIF(B$1:B85,B86)=0)</f>
        <v>0</v>
      </c>
      <c r="D86" s="8" t="str">
        <f>IF(B86="","",IF(C86,COUNTIF(C$2:C86,TRUE),""))</f>
        <v/>
      </c>
      <c r="E86" s="8" t="str">
        <f t="shared" si="26"/>
        <v/>
      </c>
      <c r="F86" s="8" t="str">
        <f t="shared" si="22"/>
        <v/>
      </c>
      <c r="G86" s="8" t="str">
        <f>IF(ISBLANK(E86),"",IF(COUNTIF(AK:AK,"="&amp;E86)&gt;0,"",MAX(G$1:G85)+1))</f>
        <v/>
      </c>
      <c r="H86" s="8" t="str">
        <f t="shared" si="25"/>
        <v/>
      </c>
      <c r="S86" t="s">
        <v>27</v>
      </c>
      <c r="Z86" t="s">
        <v>477</v>
      </c>
      <c r="AC86" s="8" t="str">
        <f t="shared" si="24"/>
        <v/>
      </c>
      <c r="AE86" s="8" t="str">
        <f t="shared" si="23"/>
        <v/>
      </c>
      <c r="AK86" s="26" t="s">
        <v>1160</v>
      </c>
      <c r="AL86" s="14" t="e">
        <f ca="1">IF(セルの固定色(AK86)=セルの固定色(AK$2),1,"")</f>
        <v>#NAME?</v>
      </c>
      <c r="AM86" s="14" t="e">
        <f ca="1">IF(OR(ISBLANK(AL86),AL86=""),"",COUNTIF(AL$2:AL86,"&gt;0"))</f>
        <v>#NAME?</v>
      </c>
      <c r="AP86" s="14" t="e">
        <f ca="1">IF(ISBLANK(AK86),"",LOOKUP(1,0/(AM$2:AM86=MAX(AM$2:AM86)),AK$2:AK86))</f>
        <v>#N/A</v>
      </c>
    </row>
    <row r="87" spans="2:42" ht="19.5" thickBot="1">
      <c r="B87" t="s">
        <v>408</v>
      </c>
      <c r="C87" s="8" t="b">
        <f>IF(B87="","",COUNTIF(B$1:B86,B87)=0)</f>
        <v>0</v>
      </c>
      <c r="D87" s="8" t="str">
        <f>IF(B87="","",IF(C87,COUNTIF(C$2:C87,TRUE),""))</f>
        <v/>
      </c>
      <c r="E87" s="8" t="str">
        <f t="shared" si="26"/>
        <v/>
      </c>
      <c r="F87" s="8" t="str">
        <f t="shared" si="22"/>
        <v/>
      </c>
      <c r="G87" s="8" t="str">
        <f>IF(ISBLANK(E87),"",IF(COUNTIF(AK:AK,"="&amp;E87)&gt;0,"",MAX(G$1:G86)+1))</f>
        <v/>
      </c>
      <c r="H87" s="8" t="str">
        <f t="shared" si="25"/>
        <v/>
      </c>
      <c r="S87" t="s">
        <v>73</v>
      </c>
      <c r="Z87" t="s">
        <v>222</v>
      </c>
      <c r="AC87" s="8" t="str">
        <f t="shared" si="24"/>
        <v/>
      </c>
      <c r="AE87" s="8" t="str">
        <f t="shared" si="23"/>
        <v/>
      </c>
      <c r="AK87" s="26" t="s">
        <v>1161</v>
      </c>
      <c r="AL87" s="14" t="e">
        <f ca="1">IF(セルの固定色(AK87)=セルの固定色(AK$2),1,"")</f>
        <v>#NAME?</v>
      </c>
      <c r="AM87" s="14" t="e">
        <f ca="1">IF(OR(ISBLANK(AL87),AL87=""),"",COUNTIF(AL$2:AL87,"&gt;0"))</f>
        <v>#NAME?</v>
      </c>
      <c r="AP87" s="14" t="e">
        <f ca="1">IF(ISBLANK(AK87),"",LOOKUP(1,0/(AM$2:AM87=MAX(AM$2:AM87)),AK$2:AK87))</f>
        <v>#N/A</v>
      </c>
    </row>
    <row r="88" spans="2:42">
      <c r="B88" t="s">
        <v>128</v>
      </c>
      <c r="C88" s="8" t="b">
        <f>IF(B88="","",COUNTIF(B$1:B87,B88)=0)</f>
        <v>0</v>
      </c>
      <c r="D88" s="8" t="str">
        <f>IF(B88="","",IF(C88,COUNTIF(C$2:C88,TRUE),""))</f>
        <v/>
      </c>
      <c r="E88" s="8" t="str">
        <f t="shared" si="26"/>
        <v/>
      </c>
      <c r="F88" s="8" t="str">
        <f t="shared" si="22"/>
        <v/>
      </c>
      <c r="G88" s="8" t="str">
        <f>IF(ISBLANK(E88),"",IF(COUNTIF(AK:AK,"="&amp;E88)&gt;0,"",MAX(G$1:G87)+1))</f>
        <v/>
      </c>
      <c r="H88" s="8" t="str">
        <f t="shared" si="25"/>
        <v/>
      </c>
      <c r="S88" t="s">
        <v>27</v>
      </c>
      <c r="Z88" t="s">
        <v>999</v>
      </c>
      <c r="AC88" s="8" t="str">
        <f t="shared" si="24"/>
        <v/>
      </c>
      <c r="AE88" s="8" t="str">
        <f t="shared" si="23"/>
        <v/>
      </c>
      <c r="AK88" s="32" t="s">
        <v>1162</v>
      </c>
      <c r="AL88" s="14" t="e">
        <f ca="1">IF(セルの固定色(AK88)=セルの固定色(AK$2),1,"")</f>
        <v>#NAME?</v>
      </c>
      <c r="AM88" s="14" t="e">
        <f ca="1">IF(OR(ISBLANK(AL88),AL88=""),"",COUNTIF(AL$2:AL88,"&gt;0"))</f>
        <v>#NAME?</v>
      </c>
      <c r="AP88" s="14" t="e">
        <f ca="1">IF(ISBLANK(AK88),"",LOOKUP(1,0/(AM$2:AM88=MAX(AM$2:AM88)),AK$2:AK88))</f>
        <v>#N/A</v>
      </c>
    </row>
    <row r="89" spans="2:42">
      <c r="B89" t="s">
        <v>47</v>
      </c>
      <c r="C89" s="8" t="b">
        <f>IF(B89="","",COUNTIF(B$1:B88,B89)=0)</f>
        <v>0</v>
      </c>
      <c r="D89" s="8" t="str">
        <f>IF(B89="","",IF(C89,COUNTIF(C$2:C89,TRUE),""))</f>
        <v/>
      </c>
      <c r="E89" s="8" t="str">
        <f t="shared" si="26"/>
        <v/>
      </c>
      <c r="F89" s="8" t="str">
        <f t="shared" si="22"/>
        <v/>
      </c>
      <c r="G89" s="8" t="str">
        <f>IF(ISBLANK(E89),"",IF(COUNTIF(AK:AK,"="&amp;E89)&gt;0,"",MAX(G$1:G88)+1))</f>
        <v/>
      </c>
      <c r="H89" s="8" t="str">
        <f t="shared" si="25"/>
        <v/>
      </c>
      <c r="S89" t="s">
        <v>54</v>
      </c>
      <c r="Z89" t="s">
        <v>44</v>
      </c>
      <c r="AC89" s="8" t="str">
        <f t="shared" si="24"/>
        <v/>
      </c>
      <c r="AE89" s="8" t="str">
        <f t="shared" si="23"/>
        <v/>
      </c>
      <c r="AK89" s="19" t="s">
        <v>1163</v>
      </c>
      <c r="AL89" s="14" t="e">
        <f ca="1">IF(セルの固定色(AK89)=セルの固定色(AK$2),1,"")</f>
        <v>#NAME?</v>
      </c>
      <c r="AM89" s="14" t="e">
        <f ca="1">IF(OR(ISBLANK(AL89),AL89=""),"",COUNTIF(AL$2:AL89,"&gt;0"))</f>
        <v>#NAME?</v>
      </c>
      <c r="AP89" s="14" t="e">
        <f ca="1">IF(ISBLANK(AK89),"",LOOKUP(1,0/(AM$2:AM89=MAX(AM$2:AM89)),AK$2:AK89))</f>
        <v>#N/A</v>
      </c>
    </row>
    <row r="90" spans="2:42">
      <c r="B90" t="s">
        <v>47</v>
      </c>
      <c r="C90" s="8" t="b">
        <f>IF(B90="","",COUNTIF(B$1:B89,B90)=0)</f>
        <v>0</v>
      </c>
      <c r="D90" s="8" t="str">
        <f>IF(B90="","",IF(C90,COUNTIF(C$2:C90,TRUE),""))</f>
        <v/>
      </c>
      <c r="E90" s="8" t="str">
        <f t="shared" si="26"/>
        <v/>
      </c>
      <c r="F90" s="8" t="str">
        <f t="shared" si="22"/>
        <v/>
      </c>
      <c r="G90" s="8" t="str">
        <f>IF(ISBLANK(E90),"",IF(COUNTIF(AK:AK,"="&amp;E90)&gt;0,"",MAX(G$1:G89)+1))</f>
        <v/>
      </c>
      <c r="H90" s="8" t="str">
        <f t="shared" si="25"/>
        <v/>
      </c>
      <c r="S90" t="s">
        <v>27</v>
      </c>
      <c r="Z90" t="s">
        <v>59</v>
      </c>
      <c r="AC90" s="8" t="str">
        <f t="shared" si="24"/>
        <v/>
      </c>
      <c r="AE90" s="8" t="str">
        <f t="shared" si="23"/>
        <v/>
      </c>
      <c r="AK90" s="19" t="s">
        <v>1164</v>
      </c>
      <c r="AL90" s="14" t="e">
        <f ca="1">IF(セルの固定色(AK90)=セルの固定色(AK$2),1,"")</f>
        <v>#NAME?</v>
      </c>
      <c r="AM90" s="14" t="e">
        <f ca="1">IF(OR(ISBLANK(AL90),AL90=""),"",COUNTIF(AL$2:AL90,"&gt;0"))</f>
        <v>#NAME?</v>
      </c>
      <c r="AP90" s="14" t="e">
        <f ca="1">IF(ISBLANK(AK90),"",LOOKUP(1,0/(AM$2:AM90=MAX(AM$2:AM90)),AK$2:AK90))</f>
        <v>#N/A</v>
      </c>
    </row>
    <row r="91" spans="2:42">
      <c r="B91" t="s">
        <v>47</v>
      </c>
      <c r="C91" s="8" t="b">
        <f>IF(B91="","",COUNTIF(B$1:B90,B91)=0)</f>
        <v>0</v>
      </c>
      <c r="D91" s="8" t="str">
        <f>IF(B91="","",IF(C91,COUNTIF(C$2:C91,TRUE),""))</f>
        <v/>
      </c>
      <c r="E91" s="8" t="str">
        <f t="shared" si="26"/>
        <v/>
      </c>
      <c r="F91" s="8" t="str">
        <f t="shared" si="22"/>
        <v/>
      </c>
      <c r="G91" s="8" t="str">
        <f>IF(ISBLANK(E91),"",IF(COUNTIF(AK:AK,"="&amp;E91)&gt;0,"",MAX(G$1:G90)+1))</f>
        <v/>
      </c>
      <c r="H91" s="8" t="str">
        <f t="shared" si="25"/>
        <v/>
      </c>
      <c r="S91" t="s">
        <v>27</v>
      </c>
      <c r="Z91" t="s">
        <v>222</v>
      </c>
      <c r="AC91" s="8" t="str">
        <f t="shared" si="24"/>
        <v/>
      </c>
      <c r="AE91" s="8" t="str">
        <f t="shared" si="23"/>
        <v/>
      </c>
      <c r="AK91" s="19" t="s">
        <v>1165</v>
      </c>
      <c r="AL91" s="14" t="e">
        <f ca="1">IF(セルの固定色(AK91)=セルの固定色(AK$2),1,"")</f>
        <v>#NAME?</v>
      </c>
      <c r="AM91" s="14" t="e">
        <f ca="1">IF(OR(ISBLANK(AL91),AL91=""),"",COUNTIF(AL$2:AL91,"&gt;0"))</f>
        <v>#NAME?</v>
      </c>
      <c r="AP91" s="14" t="e">
        <f ca="1">IF(ISBLANK(AK91),"",LOOKUP(1,0/(AM$2:AM91=MAX(AM$2:AM91)),AK$2:AK91))</f>
        <v>#N/A</v>
      </c>
    </row>
    <row r="92" spans="2:42" ht="19.5" thickBot="1">
      <c r="B92" t="s">
        <v>47</v>
      </c>
      <c r="C92" s="8" t="b">
        <f>IF(B92="","",COUNTIF(B$1:B91,B92)=0)</f>
        <v>0</v>
      </c>
      <c r="D92" s="8" t="str">
        <f>IF(B92="","",IF(C92,COUNTIF(C$2:C92,TRUE),""))</f>
        <v/>
      </c>
      <c r="E92" s="8" t="str">
        <f t="shared" si="26"/>
        <v/>
      </c>
      <c r="F92" s="8" t="str">
        <f t="shared" si="22"/>
        <v/>
      </c>
      <c r="G92" s="8" t="str">
        <f>IF(ISBLANK(E92),"",IF(COUNTIF(AK:AK,"="&amp;E92)&gt;0,"",MAX(G$1:G91)+1))</f>
        <v/>
      </c>
      <c r="H92" s="8" t="str">
        <f t="shared" si="25"/>
        <v/>
      </c>
      <c r="S92" t="s">
        <v>87</v>
      </c>
      <c r="Z92" t="s">
        <v>639</v>
      </c>
      <c r="AC92" s="8" t="str">
        <f t="shared" si="24"/>
        <v/>
      </c>
      <c r="AE92" s="8" t="str">
        <f t="shared" si="23"/>
        <v/>
      </c>
      <c r="AK92" s="30" t="s">
        <v>1166</v>
      </c>
      <c r="AL92" s="14" t="e">
        <f ca="1">IF(セルの固定色(AK92)=セルの固定色(AK$2),1,"")</f>
        <v>#NAME?</v>
      </c>
      <c r="AM92" s="14" t="e">
        <f ca="1">IF(OR(ISBLANK(AL92),AL92=""),"",COUNTIF(AL$2:AL92,"&gt;0"))</f>
        <v>#NAME?</v>
      </c>
      <c r="AP92" s="14" t="e">
        <f ca="1">IF(ISBLANK(AK92),"",LOOKUP(1,0/(AM$2:AM92=MAX(AM$2:AM92)),AK$2:AK92))</f>
        <v>#N/A</v>
      </c>
    </row>
    <row r="93" spans="2:42" ht="19.5" thickBot="1">
      <c r="B93" t="s">
        <v>32</v>
      </c>
      <c r="C93" s="8" t="b">
        <f>IF(B93="","",COUNTIF(B$1:B92,B93)=0)</f>
        <v>0</v>
      </c>
      <c r="D93" s="8" t="str">
        <f>IF(B93="","",IF(C93,COUNTIF(C$2:C93,TRUE),""))</f>
        <v/>
      </c>
      <c r="E93" s="8" t="str">
        <f t="shared" si="26"/>
        <v/>
      </c>
      <c r="F93" s="8" t="str">
        <f t="shared" si="22"/>
        <v/>
      </c>
      <c r="G93" s="8" t="str">
        <f>IF(ISBLANK(E93),"",IF(COUNTIF(AK:AK,"="&amp;E93)&gt;0,"",MAX(G$1:G92)+1))</f>
        <v/>
      </c>
      <c r="H93" s="8" t="str">
        <f t="shared" si="25"/>
        <v/>
      </c>
      <c r="S93" t="s">
        <v>27</v>
      </c>
      <c r="Z93" t="s">
        <v>68</v>
      </c>
      <c r="AC93" s="8" t="str">
        <f t="shared" si="24"/>
        <v/>
      </c>
      <c r="AE93" s="8" t="str">
        <f t="shared" si="23"/>
        <v/>
      </c>
      <c r="AK93" s="35" t="s">
        <v>1167</v>
      </c>
      <c r="AL93" s="14" t="e">
        <f ca="1">IF(セルの固定色(AK93)=セルの固定色(AK$2),1,"")</f>
        <v>#NAME?</v>
      </c>
      <c r="AM93" s="14" t="e">
        <f ca="1">IF(OR(ISBLANK(AL93),AL93=""),"",COUNTIF(AL$2:AL93,"&gt;0"))</f>
        <v>#NAME?</v>
      </c>
      <c r="AP93" s="14" t="e">
        <f ca="1">IF(ISBLANK(AK93),"",LOOKUP(1,0/(AM$2:AM93=MAX(AM$2:AM93)),AK$2:AK93))</f>
        <v>#N/A</v>
      </c>
    </row>
    <row r="94" spans="2:42">
      <c r="B94" t="s">
        <v>596</v>
      </c>
      <c r="C94" s="8" t="b">
        <f>IF(B94="","",COUNTIF(B$1:B93,B94)=0)</f>
        <v>0</v>
      </c>
      <c r="D94" s="8" t="str">
        <f>IF(B94="","",IF(C94,COUNTIF(C$2:C94,TRUE),""))</f>
        <v/>
      </c>
      <c r="E94" s="8" t="str">
        <f t="shared" si="26"/>
        <v/>
      </c>
      <c r="F94" s="8" t="str">
        <f t="shared" si="22"/>
        <v/>
      </c>
      <c r="G94" s="8" t="str">
        <f>IF(ISBLANK(E94),"",IF(COUNTIF(AK:AK,"="&amp;E94)&gt;0,"",MAX(G$1:G93)+1))</f>
        <v/>
      </c>
      <c r="H94" s="8" t="str">
        <f t="shared" si="25"/>
        <v/>
      </c>
      <c r="S94" t="s">
        <v>166</v>
      </c>
      <c r="Z94" t="s">
        <v>68</v>
      </c>
      <c r="AC94" s="8" t="str">
        <f t="shared" si="24"/>
        <v/>
      </c>
      <c r="AE94" s="8" t="str">
        <f t="shared" si="23"/>
        <v/>
      </c>
      <c r="AK94" s="24" t="s">
        <v>1168</v>
      </c>
      <c r="AL94" s="14" t="e">
        <f ca="1">IF(セルの固定色(AK94)=セルの固定色(AK$2),1,"")</f>
        <v>#NAME?</v>
      </c>
      <c r="AM94" s="14" t="e">
        <f ca="1">IF(OR(ISBLANK(AL94),AL94=""),"",COUNTIF(AL$2:AL94,"&gt;0"))</f>
        <v>#NAME?</v>
      </c>
      <c r="AP94" s="14" t="e">
        <f ca="1">IF(ISBLANK(AK94),"",LOOKUP(1,0/(AM$2:AM94=MAX(AM$2:AM94)),AK$2:AK94))</f>
        <v>#N/A</v>
      </c>
    </row>
    <row r="95" spans="2:42">
      <c r="B95" t="s">
        <v>32</v>
      </c>
      <c r="C95" s="8" t="b">
        <f>IF(B95="","",COUNTIF(B$1:B94,B95)=0)</f>
        <v>0</v>
      </c>
      <c r="D95" s="8" t="str">
        <f>IF(B95="","",IF(C95,COUNTIF(C$2:C95,TRUE),""))</f>
        <v/>
      </c>
      <c r="E95" s="8" t="str">
        <f t="shared" si="26"/>
        <v/>
      </c>
      <c r="F95" s="8" t="str">
        <f t="shared" si="22"/>
        <v/>
      </c>
      <c r="G95" s="8" t="str">
        <f>IF(ISBLANK(E95),"",IF(COUNTIF(AK:AK,"="&amp;E95)&gt;0,"",MAX(G$1:G94)+1))</f>
        <v/>
      </c>
      <c r="H95" s="8" t="str">
        <f t="shared" si="25"/>
        <v/>
      </c>
      <c r="S95" t="s">
        <v>27</v>
      </c>
      <c r="Z95" t="s">
        <v>83</v>
      </c>
      <c r="AC95" s="8" t="str">
        <f t="shared" si="24"/>
        <v/>
      </c>
      <c r="AE95" s="8" t="str">
        <f t="shared" si="23"/>
        <v/>
      </c>
      <c r="AK95" s="19" t="s">
        <v>1169</v>
      </c>
      <c r="AL95" s="14" t="e">
        <f ca="1">IF(セルの固定色(AK95)=セルの固定色(AK$2),1,"")</f>
        <v>#NAME?</v>
      </c>
      <c r="AM95" s="14" t="e">
        <f ca="1">IF(OR(ISBLANK(AL95),AL95=""),"",COUNTIF(AL$2:AL95,"&gt;0"))</f>
        <v>#NAME?</v>
      </c>
      <c r="AP95" s="14" t="e">
        <f ca="1">IF(ISBLANK(AK95),"",LOOKUP(1,0/(AM$2:AM95=MAX(AM$2:AM95)),AK$2:AK95))</f>
        <v>#N/A</v>
      </c>
    </row>
    <row r="96" spans="2:42">
      <c r="B96" t="s">
        <v>32</v>
      </c>
      <c r="C96" s="8" t="b">
        <f>IF(B96="","",COUNTIF(B$1:B95,B96)=0)</f>
        <v>0</v>
      </c>
      <c r="D96" s="8" t="str">
        <f>IF(B96="","",IF(C96,COUNTIF(C$2:C96,TRUE),""))</f>
        <v/>
      </c>
      <c r="E96" s="8" t="str">
        <f t="shared" si="26"/>
        <v/>
      </c>
      <c r="F96" s="8" t="str">
        <f t="shared" si="22"/>
        <v/>
      </c>
      <c r="G96" s="8" t="str">
        <f>IF(ISBLANK(E96),"",IF(COUNTIF(AK:AK,"="&amp;E96)&gt;0,"",MAX(G$1:G95)+1))</f>
        <v/>
      </c>
      <c r="H96" s="8" t="str">
        <f t="shared" si="25"/>
        <v/>
      </c>
      <c r="S96" t="s">
        <v>27</v>
      </c>
      <c r="Z96" t="s">
        <v>525</v>
      </c>
      <c r="AC96" s="8" t="str">
        <f t="shared" si="24"/>
        <v/>
      </c>
      <c r="AE96" s="8" t="str">
        <f t="shared" si="23"/>
        <v/>
      </c>
      <c r="AK96" s="19" t="s">
        <v>1170</v>
      </c>
      <c r="AL96" s="14" t="e">
        <f ca="1">IF(セルの固定色(AK96)=セルの固定色(AK$2),1,"")</f>
        <v>#NAME?</v>
      </c>
      <c r="AM96" s="14" t="e">
        <f ca="1">IF(OR(ISBLANK(AL96),AL96=""),"",COUNTIF(AL$2:AL96,"&gt;0"))</f>
        <v>#NAME?</v>
      </c>
      <c r="AP96" s="14" t="e">
        <f ca="1">IF(ISBLANK(AK96),"",LOOKUP(1,0/(AM$2:AM96=MAX(AM$2:AM96)),AK$2:AK96))</f>
        <v>#N/A</v>
      </c>
    </row>
    <row r="97" spans="2:42">
      <c r="B97" t="s">
        <v>32</v>
      </c>
      <c r="C97" s="8" t="b">
        <f>IF(B97="","",COUNTIF(B$1:B96,B97)=0)</f>
        <v>0</v>
      </c>
      <c r="D97" s="8" t="str">
        <f>IF(B97="","",IF(C97,COUNTIF(C$2:C97,TRUE),""))</f>
        <v/>
      </c>
      <c r="E97" s="8" t="str">
        <f t="shared" si="26"/>
        <v/>
      </c>
      <c r="F97" s="8" t="str">
        <f t="shared" si="22"/>
        <v/>
      </c>
      <c r="G97" s="8" t="str">
        <f>IF(ISBLANK(E97),"",IF(COUNTIF(AK:AK,"="&amp;E97)&gt;0,"",MAX(G$1:G96)+1))</f>
        <v/>
      </c>
      <c r="H97" s="8" t="str">
        <f t="shared" si="25"/>
        <v/>
      </c>
      <c r="S97" t="s">
        <v>54</v>
      </c>
      <c r="Z97" t="s">
        <v>44</v>
      </c>
      <c r="AC97" s="8" t="str">
        <f t="shared" si="24"/>
        <v/>
      </c>
      <c r="AE97" s="8" t="str">
        <f t="shared" si="23"/>
        <v/>
      </c>
      <c r="AK97" s="19" t="s">
        <v>1171</v>
      </c>
      <c r="AL97" s="14" t="e">
        <f ca="1">IF(セルの固定色(AK97)=セルの固定色(AK$2),1,"")</f>
        <v>#NAME?</v>
      </c>
      <c r="AM97" s="14" t="e">
        <f ca="1">IF(OR(ISBLANK(AL97),AL97=""),"",COUNTIF(AL$2:AL97,"&gt;0"))</f>
        <v>#NAME?</v>
      </c>
      <c r="AP97" s="14" t="e">
        <f ca="1">IF(ISBLANK(AK97),"",LOOKUP(1,0/(AM$2:AM97=MAX(AM$2:AM97)),AK$2:AK97))</f>
        <v>#N/A</v>
      </c>
    </row>
    <row r="98" spans="2:42" ht="19.5" thickBot="1">
      <c r="B98" t="s">
        <v>47</v>
      </c>
      <c r="C98" s="8" t="b">
        <f>IF(B98="","",COUNTIF(B$1:B97,B98)=0)</f>
        <v>0</v>
      </c>
      <c r="D98" s="8" t="str">
        <f>IF(B98="","",IF(C98,COUNTIF(C$2:C98,TRUE),""))</f>
        <v/>
      </c>
      <c r="E98" s="8" t="str">
        <f t="shared" si="26"/>
        <v/>
      </c>
      <c r="F98" s="8" t="str">
        <f t="shared" si="22"/>
        <v/>
      </c>
      <c r="G98" s="8" t="str">
        <f>IF(ISBLANK(E98),"",IF(COUNTIF(AK:AK,"="&amp;E98)&gt;0,"",MAX(G$1:G97)+1))</f>
        <v/>
      </c>
      <c r="H98" s="8" t="str">
        <f t="shared" si="25"/>
        <v/>
      </c>
      <c r="S98" t="s">
        <v>54</v>
      </c>
      <c r="Z98" t="s">
        <v>1037</v>
      </c>
      <c r="AC98" s="8" t="str">
        <f t="shared" si="24"/>
        <v/>
      </c>
      <c r="AE98" s="8" t="str">
        <f t="shared" si="23"/>
        <v/>
      </c>
      <c r="AK98" s="30" t="s">
        <v>1172</v>
      </c>
      <c r="AL98" s="14" t="e">
        <f ca="1">IF(セルの固定色(AK98)=セルの固定色(AK$2),1,"")</f>
        <v>#NAME?</v>
      </c>
      <c r="AM98" s="14" t="e">
        <f ca="1">IF(OR(ISBLANK(AL98),AL98=""),"",COUNTIF(AL$2:AL98,"&gt;0"))</f>
        <v>#NAME?</v>
      </c>
      <c r="AP98" s="14" t="e">
        <f ca="1">IF(ISBLANK(AK98),"",LOOKUP(1,0/(AM$2:AM98=MAX(AM$2:AM98)),AK$2:AK98))</f>
        <v>#N/A</v>
      </c>
    </row>
    <row r="99" spans="2:42">
      <c r="B99" t="s">
        <v>264</v>
      </c>
      <c r="C99" s="8" t="b">
        <f>IF(B99="","",COUNTIF(B$1:B98,B99)=0)</f>
        <v>0</v>
      </c>
      <c r="D99" s="8" t="str">
        <f>IF(B99="","",IF(C99,COUNTIF(C$2:C99,TRUE),""))</f>
        <v/>
      </c>
      <c r="E99" s="8" t="str">
        <f t="shared" si="26"/>
        <v/>
      </c>
      <c r="F99" s="8" t="str">
        <f t="shared" si="22"/>
        <v/>
      </c>
      <c r="G99" s="8" t="str">
        <f>IF(ISBLANK(E99),"",IF(COUNTIF(AK:AK,"="&amp;E99)&gt;0,"",MAX(G$1:G98)+1))</f>
        <v/>
      </c>
      <c r="H99" s="8" t="str">
        <f t="shared" si="25"/>
        <v/>
      </c>
      <c r="S99" t="s">
        <v>252</v>
      </c>
      <c r="Z99" t="s">
        <v>925</v>
      </c>
      <c r="AC99" s="8" t="str">
        <f t="shared" si="24"/>
        <v/>
      </c>
      <c r="AE99" s="8" t="str">
        <f t="shared" si="23"/>
        <v/>
      </c>
      <c r="AK99" s="31" t="s">
        <v>1173</v>
      </c>
      <c r="AL99" s="14" t="e">
        <f ca="1">IF(セルの固定色(AK99)=セルの固定色(AK$2),1,"")</f>
        <v>#NAME?</v>
      </c>
      <c r="AM99" s="14" t="e">
        <f ca="1">IF(OR(ISBLANK(AL99),AL99=""),"",COUNTIF(AL$2:AL99,"&gt;0"))</f>
        <v>#NAME?</v>
      </c>
      <c r="AP99" s="14" t="e">
        <f ca="1">IF(ISBLANK(AK99),"",LOOKUP(1,0/(AM$2:AM99=MAX(AM$2:AM99)),AK$2:AK99))</f>
        <v>#N/A</v>
      </c>
    </row>
    <row r="100" spans="2:42">
      <c r="B100" t="s">
        <v>32</v>
      </c>
      <c r="C100" s="8" t="b">
        <f>IF(B100="","",COUNTIF(B$1:B99,B100)=0)</f>
        <v>0</v>
      </c>
      <c r="D100" s="8" t="str">
        <f>IF(B100="","",IF(C100,COUNTIF(C$2:C100,TRUE),""))</f>
        <v/>
      </c>
      <c r="E100" s="8" t="str">
        <f t="shared" si="26"/>
        <v/>
      </c>
      <c r="F100" s="8" t="str">
        <f t="shared" si="22"/>
        <v/>
      </c>
      <c r="G100" s="8" t="str">
        <f>IF(ISBLANK(E100),"",IF(COUNTIF(AK:AK,"="&amp;E100)&gt;0,"",MAX(G$1:G99)+1))</f>
        <v/>
      </c>
      <c r="H100" s="8" t="str">
        <f t="shared" si="25"/>
        <v/>
      </c>
      <c r="S100" t="s">
        <v>27</v>
      </c>
      <c r="Z100" t="s">
        <v>37</v>
      </c>
      <c r="AC100" s="8" t="str">
        <f t="shared" si="24"/>
        <v/>
      </c>
      <c r="AE100" s="8" t="str">
        <f t="shared" si="23"/>
        <v/>
      </c>
      <c r="AK100" s="19" t="s">
        <v>1174</v>
      </c>
      <c r="AL100" s="14" t="e">
        <f ca="1">IF(セルの固定色(AK100)=セルの固定色(AK$2),1,"")</f>
        <v>#NAME?</v>
      </c>
      <c r="AM100" s="14" t="e">
        <f ca="1">IF(OR(ISBLANK(AL100),AL100=""),"",COUNTIF(AL$2:AL100,"&gt;0"))</f>
        <v>#NAME?</v>
      </c>
      <c r="AP100" s="14" t="e">
        <f ca="1">IF(ISBLANK(AK100),"",LOOKUP(1,0/(AM$2:AM100=MAX(AM$2:AM100)),AK$2:AK100))</f>
        <v>#N/A</v>
      </c>
    </row>
    <row r="101" spans="2:42">
      <c r="B101" t="s">
        <v>47</v>
      </c>
      <c r="C101" s="8" t="b">
        <f>IF(B101="","",COUNTIF(B$1:B100,B101)=0)</f>
        <v>0</v>
      </c>
      <c r="D101" s="8" t="str">
        <f>IF(B101="","",IF(C101,COUNTIF(C$2:C101,TRUE),""))</f>
        <v/>
      </c>
      <c r="E101" s="8" t="str">
        <f t="shared" si="26"/>
        <v/>
      </c>
      <c r="F101" s="8" t="str">
        <f t="shared" si="22"/>
        <v/>
      </c>
      <c r="G101" s="8" t="str">
        <f>IF(ISBLANK(E101),"",IF(COUNTIF(AK:AK,"="&amp;E101)&gt;0,"",MAX(G$1:G100)+1))</f>
        <v/>
      </c>
      <c r="H101" s="8" t="str">
        <f t="shared" si="25"/>
        <v/>
      </c>
      <c r="S101" t="s">
        <v>252</v>
      </c>
      <c r="Z101" t="s">
        <v>59</v>
      </c>
      <c r="AC101" s="8" t="str">
        <f t="shared" si="24"/>
        <v/>
      </c>
      <c r="AE101" s="8" t="str">
        <f t="shared" si="23"/>
        <v/>
      </c>
      <c r="AK101" s="25" t="s">
        <v>1175</v>
      </c>
      <c r="AL101" s="14" t="e">
        <f ca="1">IF(セルの固定色(AK101)=セルの固定色(AK$2),1,"")</f>
        <v>#NAME?</v>
      </c>
      <c r="AM101" s="14" t="e">
        <f ca="1">IF(OR(ISBLANK(AL101),AL101=""),"",COUNTIF(AL$2:AL101,"&gt;0"))</f>
        <v>#NAME?</v>
      </c>
      <c r="AP101" s="14" t="e">
        <f ca="1">IF(ISBLANK(AK101),"",LOOKUP(1,0/(AM$2:AM101=MAX(AM$2:AM101)),AK$2:AK101))</f>
        <v>#N/A</v>
      </c>
    </row>
    <row r="102" spans="2:42">
      <c r="B102" t="s">
        <v>32</v>
      </c>
      <c r="C102" s="8" t="b">
        <f>IF(B102="","",COUNTIF(B$1:B101,B102)=0)</f>
        <v>0</v>
      </c>
      <c r="D102" s="8" t="str">
        <f>IF(B102="","",IF(C102,COUNTIF(C$2:C102,TRUE),""))</f>
        <v/>
      </c>
      <c r="E102" s="8" t="str">
        <f t="shared" si="26"/>
        <v/>
      </c>
      <c r="S102" t="s">
        <v>54</v>
      </c>
      <c r="Z102" t="s">
        <v>68</v>
      </c>
      <c r="AC102" s="8" t="str">
        <f t="shared" si="24"/>
        <v/>
      </c>
      <c r="AE102" s="8" t="str">
        <f t="shared" si="23"/>
        <v/>
      </c>
      <c r="AK102" s="25" t="s">
        <v>1176</v>
      </c>
      <c r="AL102" s="14" t="e">
        <f ca="1">IF(セルの固定色(AK102)=セルの固定色(AK$2),1,"")</f>
        <v>#NAME?</v>
      </c>
      <c r="AM102" s="14" t="e">
        <f ca="1">IF(OR(ISBLANK(AL102),AL102=""),"",COUNTIF(AL$2:AL102,"&gt;0"))</f>
        <v>#NAME?</v>
      </c>
      <c r="AP102" s="14" t="e">
        <f ca="1">IF(ISBLANK(AK102),"",LOOKUP(1,0/(AM$2:AM102=MAX(AM$2:AM102)),AK$2:AK102))</f>
        <v>#N/A</v>
      </c>
    </row>
    <row r="103" spans="2:42">
      <c r="B103" t="s">
        <v>47</v>
      </c>
      <c r="C103" s="8" t="b">
        <f>IF(B103="","",COUNTIF(B$1:B102,B103)=0)</f>
        <v>0</v>
      </c>
      <c r="D103" s="8" t="str">
        <f>IF(B103="","",IF(C103,COUNTIF(C$2:C103,TRUE),""))</f>
        <v/>
      </c>
      <c r="E103" s="8" t="str">
        <f t="shared" si="26"/>
        <v/>
      </c>
      <c r="S103" t="s">
        <v>27</v>
      </c>
      <c r="Z103" t="s">
        <v>44</v>
      </c>
      <c r="AK103" s="25" t="s">
        <v>1177</v>
      </c>
      <c r="AL103" s="14" t="e">
        <f ca="1">IF(セルの固定色(AK103)=セルの固定色(AK$2),1,"")</f>
        <v>#NAME?</v>
      </c>
      <c r="AM103" s="14" t="e">
        <f ca="1">IF(OR(ISBLANK(AL103),AL103=""),"",COUNTIF(AL$2:AL103,"&gt;0"))</f>
        <v>#NAME?</v>
      </c>
      <c r="AP103" s="14" t="e">
        <f ca="1">IF(ISBLANK(AK103),"",LOOKUP(1,0/(AM$2:AM103=MAX(AM$2:AM103)),AK$2:AK103))</f>
        <v>#N/A</v>
      </c>
    </row>
    <row r="104" spans="2:42">
      <c r="B104" t="s">
        <v>47</v>
      </c>
      <c r="C104" s="8" t="b">
        <f>IF(B104="","",COUNTIF(B$1:B103,B104)=0)</f>
        <v>0</v>
      </c>
      <c r="D104" s="8" t="str">
        <f>IF(B104="","",IF(C104,COUNTIF(C$2:C104,TRUE),""))</f>
        <v/>
      </c>
      <c r="E104" s="8" t="str">
        <f t="shared" si="26"/>
        <v/>
      </c>
      <c r="S104" t="s">
        <v>27</v>
      </c>
      <c r="Z104" t="s">
        <v>37</v>
      </c>
      <c r="AK104" s="19" t="s">
        <v>1178</v>
      </c>
      <c r="AL104" s="14" t="e">
        <f ca="1">IF(セルの固定色(AK104)=セルの固定色(AK$2),1,"")</f>
        <v>#NAME?</v>
      </c>
      <c r="AM104" s="14" t="e">
        <f ca="1">IF(OR(ISBLANK(AL104),AL104=""),"",COUNTIF(AL$2:AL104,"&gt;0"))</f>
        <v>#NAME?</v>
      </c>
      <c r="AP104" s="14" t="e">
        <f ca="1">IF(ISBLANK(AK104),"",LOOKUP(1,0/(AM$2:AM104=MAX(AM$2:AM104)),AK$2:AK104))</f>
        <v>#N/A</v>
      </c>
    </row>
    <row r="105" spans="2:42">
      <c r="B105" t="s">
        <v>101</v>
      </c>
      <c r="C105" s="8" t="b">
        <f>IF(B105="","",COUNTIF(B$1:B104,B105)=0)</f>
        <v>0</v>
      </c>
      <c r="D105" s="8" t="str">
        <f>IF(B105="","",IF(C105,COUNTIF(C$2:C105,TRUE),""))</f>
        <v/>
      </c>
      <c r="E105" s="8" t="str">
        <f t="shared" si="26"/>
        <v/>
      </c>
      <c r="S105" t="s">
        <v>54</v>
      </c>
      <c r="Z105" t="s">
        <v>454</v>
      </c>
      <c r="AK105" s="36" t="s">
        <v>1179</v>
      </c>
      <c r="AL105" s="14" t="e">
        <f ca="1">IF(セルの固定色(AK105)=セルの固定色(AK$2),1,"")</f>
        <v>#NAME?</v>
      </c>
      <c r="AM105" s="14" t="e">
        <f ca="1">IF(OR(ISBLANK(AL105),AL105=""),"",COUNTIF(AL$2:AL105,"&gt;0"))</f>
        <v>#NAME?</v>
      </c>
      <c r="AP105" s="14" t="e">
        <f ca="1">IF(ISBLANK(AK105),"",LOOKUP(1,0/(AM$2:AM105=MAX(AM$2:AM105)),AK$2:AK105))</f>
        <v>#N/A</v>
      </c>
    </row>
    <row r="106" spans="2:42">
      <c r="B106" t="s">
        <v>32</v>
      </c>
      <c r="C106" s="8" t="b">
        <f>IF(B106="","",COUNTIF(B$1:B105,B106)=0)</f>
        <v>0</v>
      </c>
      <c r="D106" s="8" t="str">
        <f>IF(B106="","",IF(C106,COUNTIF(C$2:C106,TRUE),""))</f>
        <v/>
      </c>
      <c r="E106" s="8" t="str">
        <f t="shared" si="26"/>
        <v/>
      </c>
      <c r="S106" t="s">
        <v>27</v>
      </c>
      <c r="Z106" t="s">
        <v>653</v>
      </c>
      <c r="AK106" s="19" t="s">
        <v>1180</v>
      </c>
      <c r="AL106" s="14" t="e">
        <f ca="1">IF(セルの固定色(AK106)=セルの固定色(AK$2),1,"")</f>
        <v>#NAME?</v>
      </c>
      <c r="AM106" s="14" t="e">
        <f ca="1">IF(OR(ISBLANK(AL106),AL106=""),"",COUNTIF(AL$2:AL106,"&gt;0"))</f>
        <v>#NAME?</v>
      </c>
      <c r="AP106" s="14" t="e">
        <f ca="1">IF(ISBLANK(AK106),"",LOOKUP(1,0/(AM$2:AM106=MAX(AM$2:AM106)),AK$2:AK106))</f>
        <v>#N/A</v>
      </c>
    </row>
    <row r="107" spans="2:42">
      <c r="C107" s="8" t="str">
        <f>IF(B107="","",COUNTIF(B$1:B106,B107)=0)</f>
        <v/>
      </c>
      <c r="D107" s="8" t="str">
        <f>IF(B107="","",IF(C107,COUNTIF(C$2:C107,TRUE),""))</f>
        <v/>
      </c>
      <c r="E107" s="8" t="str">
        <f t="shared" si="26"/>
        <v/>
      </c>
      <c r="AK107" s="23" t="s">
        <v>1181</v>
      </c>
      <c r="AL107" s="14" t="e">
        <f ca="1">IF(セルの固定色(AK107)=セルの固定色(AK$2),1,"")</f>
        <v>#NAME?</v>
      </c>
      <c r="AM107" s="14" t="e">
        <f ca="1">IF(OR(ISBLANK(AL107),AL107=""),"",COUNTIF(AL$2:AL107,"&gt;0"))</f>
        <v>#NAME?</v>
      </c>
      <c r="AP107" s="14" t="e">
        <f ca="1">IF(ISBLANK(AK107),"",LOOKUP(1,0/(AM$2:AM107=MAX(AM$2:AM107)),AK$2:AK107))</f>
        <v>#N/A</v>
      </c>
    </row>
    <row r="108" spans="2:42" ht="19.5" thickBot="1">
      <c r="C108" s="8" t="str">
        <f>IF(B108="","",COUNTIF(B$1:B107,B108)=0)</f>
        <v/>
      </c>
      <c r="D108" s="8" t="str">
        <f>IF(B108="","",IF(C108,COUNTIF(C$2:C108,TRUE),""))</f>
        <v/>
      </c>
      <c r="E108" s="8" t="str">
        <f t="shared" si="26"/>
        <v/>
      </c>
      <c r="AK108" s="23" t="s">
        <v>1182</v>
      </c>
      <c r="AL108" s="14" t="e">
        <f ca="1">IF(セルの固定色(AK108)=セルの固定色(AK$2),1,"")</f>
        <v>#NAME?</v>
      </c>
      <c r="AM108" s="14" t="e">
        <f ca="1">IF(OR(ISBLANK(AL108),AL108=""),"",COUNTIF(AL$2:AL108,"&gt;0"))</f>
        <v>#NAME?</v>
      </c>
      <c r="AP108" s="14" t="e">
        <f ca="1">IF(ISBLANK(AK108),"",LOOKUP(1,0/(AM$2:AM108=MAX(AM$2:AM108)),AK$2:AK108))</f>
        <v>#N/A</v>
      </c>
    </row>
    <row r="109" spans="2:42">
      <c r="C109" s="8" t="str">
        <f>IF(B109="","",COUNTIF(B$1:B108,B109)=0)</f>
        <v/>
      </c>
      <c r="D109" s="8" t="str">
        <f>IF(B109="","",IF(C109,COUNTIF(C$2:C109,TRUE),""))</f>
        <v/>
      </c>
      <c r="E109" s="8" t="str">
        <f t="shared" si="26"/>
        <v/>
      </c>
      <c r="AK109" s="24" t="s">
        <v>1183</v>
      </c>
      <c r="AL109" s="14" t="e">
        <f ca="1">IF(セルの固定色(AK109)=セルの固定色(AK$2),1,"")</f>
        <v>#NAME?</v>
      </c>
      <c r="AM109" s="14" t="e">
        <f ca="1">IF(OR(ISBLANK(AL109),AL109=""),"",COUNTIF(AL$2:AL109,"&gt;0"))</f>
        <v>#NAME?</v>
      </c>
      <c r="AP109" s="14" t="e">
        <f ca="1">IF(ISBLANK(AK109),"",LOOKUP(1,0/(AM$2:AM109=MAX(AM$2:AM109)),AK$2:AK109))</f>
        <v>#N/A</v>
      </c>
    </row>
    <row r="110" spans="2:42">
      <c r="C110" s="8" t="str">
        <f>IF(B110="","",COUNTIF(B$1:B109,B110)=0)</f>
        <v/>
      </c>
      <c r="D110" s="8" t="str">
        <f>IF(B110="","",IF(C110,COUNTIF(C$2:C110,TRUE),""))</f>
        <v/>
      </c>
      <c r="E110" s="8" t="str">
        <f t="shared" si="26"/>
        <v/>
      </c>
      <c r="AK110" s="19" t="s">
        <v>1184</v>
      </c>
      <c r="AL110" s="14" t="e">
        <f ca="1">IF(セルの固定色(AK110)=セルの固定色(AK$2),1,"")</f>
        <v>#NAME?</v>
      </c>
      <c r="AM110" s="14" t="e">
        <f ca="1">IF(OR(ISBLANK(AL110),AL110=""),"",COUNTIF(AL$2:AL110,"&gt;0"))</f>
        <v>#NAME?</v>
      </c>
      <c r="AP110" s="14" t="e">
        <f ca="1">IF(ISBLANK(AK110),"",LOOKUP(1,0/(AM$2:AM110=MAX(AM$2:AM110)),AK$2:AK110))</f>
        <v>#N/A</v>
      </c>
    </row>
    <row r="111" spans="2:42">
      <c r="C111" s="8" t="str">
        <f>IF(B111="","",COUNTIF(B$1:B110,B111)=0)</f>
        <v/>
      </c>
      <c r="D111" s="8" t="str">
        <f>IF(B111="","",IF(C111,COUNTIF(C$2:C111,TRUE),""))</f>
        <v/>
      </c>
      <c r="E111" s="8" t="str">
        <f t="shared" si="26"/>
        <v/>
      </c>
      <c r="AK111" s="19" t="s">
        <v>1185</v>
      </c>
      <c r="AL111" s="14" t="e">
        <f ca="1">IF(セルの固定色(AK111)=セルの固定色(AK$2),1,"")</f>
        <v>#NAME?</v>
      </c>
      <c r="AM111" s="14" t="e">
        <f ca="1">IF(OR(ISBLANK(AL111),AL111=""),"",COUNTIF(AL$2:AL111,"&gt;0"))</f>
        <v>#NAME?</v>
      </c>
      <c r="AP111" s="14" t="e">
        <f ca="1">IF(ISBLANK(AK111),"",LOOKUP(1,0/(AM$2:AM111=MAX(AM$2:AM111)),AK$2:AK111))</f>
        <v>#N/A</v>
      </c>
    </row>
    <row r="112" spans="2:42">
      <c r="C112" s="8" t="str">
        <f>IF(B112="","",COUNTIF(B$1:B111,B112)=0)</f>
        <v/>
      </c>
      <c r="D112" s="8" t="str">
        <f>IF(B112="","",IF(C112,COUNTIF(C$2:C112,TRUE),""))</f>
        <v/>
      </c>
      <c r="E112" s="8" t="str">
        <f t="shared" si="26"/>
        <v/>
      </c>
      <c r="AK112" s="19" t="s">
        <v>1186</v>
      </c>
      <c r="AL112" s="14" t="e">
        <f ca="1">IF(セルの固定色(AK112)=セルの固定色(AK$2),1,"")</f>
        <v>#NAME?</v>
      </c>
      <c r="AM112" s="14" t="e">
        <f ca="1">IF(OR(ISBLANK(AL112),AL112=""),"",COUNTIF(AL$2:AL112,"&gt;0"))</f>
        <v>#NAME?</v>
      </c>
      <c r="AP112" s="14" t="e">
        <f ca="1">IF(ISBLANK(AK112),"",LOOKUP(1,0/(AM$2:AM112=MAX(AM$2:AM112)),AK$2:AK112))</f>
        <v>#N/A</v>
      </c>
    </row>
    <row r="113" spans="3:42" ht="19.5" thickBot="1">
      <c r="C113" s="8" t="str">
        <f>IF(B113="","",COUNTIF(B$1:B112,B113)=0)</f>
        <v/>
      </c>
      <c r="D113" s="8" t="str">
        <f>IF(B113="","",IF(C113,COUNTIF(C$2:C113,TRUE),""))</f>
        <v/>
      </c>
      <c r="E113" s="8" t="str">
        <f t="shared" si="26"/>
        <v/>
      </c>
      <c r="AK113" s="23" t="s">
        <v>1187</v>
      </c>
      <c r="AL113" s="14" t="e">
        <f ca="1">IF(セルの固定色(AK113)=セルの固定色(AK$2),1,"")</f>
        <v>#NAME?</v>
      </c>
      <c r="AM113" s="14" t="e">
        <f ca="1">IF(OR(ISBLANK(AL113),AL113=""),"",COUNTIF(AL$2:AL113,"&gt;0"))</f>
        <v>#NAME?</v>
      </c>
      <c r="AP113" s="14" t="e">
        <f ca="1">IF(ISBLANK(AK113),"",LOOKUP(1,0/(AM$2:AM113=MAX(AM$2:AM113)),AK$2:AK113))</f>
        <v>#N/A</v>
      </c>
    </row>
    <row r="114" spans="3:42">
      <c r="C114" s="8" t="str">
        <f>IF(B114="","",COUNTIF(B$1:B113,B114)=0)</f>
        <v/>
      </c>
      <c r="D114" s="8" t="str">
        <f>IF(B114="","",IF(C114,COUNTIF(C$2:C114,TRUE),""))</f>
        <v/>
      </c>
      <c r="E114" s="8" t="str">
        <f t="shared" si="26"/>
        <v/>
      </c>
      <c r="AK114" s="24" t="s">
        <v>1188</v>
      </c>
      <c r="AL114" s="14" t="e">
        <f ca="1">IF(セルの固定色(AK114)=セルの固定色(AK$2),1,"")</f>
        <v>#NAME?</v>
      </c>
      <c r="AM114" s="14" t="e">
        <f ca="1">IF(OR(ISBLANK(AL114),AL114=""),"",COUNTIF(AL$2:AL114,"&gt;0"))</f>
        <v>#NAME?</v>
      </c>
      <c r="AP114" s="14" t="e">
        <f ca="1">IF(ISBLANK(AK114),"",LOOKUP(1,0/(AM$2:AM114=MAX(AM$2:AM114)),AK$2:AK114))</f>
        <v>#N/A</v>
      </c>
    </row>
    <row r="115" spans="3:42" ht="19.5" thickBot="1">
      <c r="C115" s="8" t="str">
        <f>IF(B115="","",COUNTIF(B$1:B114,B115)=0)</f>
        <v/>
      </c>
      <c r="D115" s="8" t="str">
        <f>IF(B115="","",IF(C115,COUNTIF(C$2:C115,TRUE),""))</f>
        <v/>
      </c>
      <c r="E115" s="8" t="str">
        <f t="shared" si="26"/>
        <v/>
      </c>
      <c r="AK115" s="30" t="s">
        <v>1189</v>
      </c>
      <c r="AL115" s="14" t="e">
        <f ca="1">IF(セルの固定色(AK115)=セルの固定色(AK$2),1,"")</f>
        <v>#NAME?</v>
      </c>
      <c r="AM115" s="14" t="e">
        <f ca="1">IF(OR(ISBLANK(AL115),AL115=""),"",COUNTIF(AL$2:AL115,"&gt;0"))</f>
        <v>#NAME?</v>
      </c>
      <c r="AP115" s="14" t="e">
        <f ca="1">IF(ISBLANK(AK115),"",LOOKUP(1,0/(AM$2:AM115=MAX(AM$2:AM115)),AK$2:AK115))</f>
        <v>#N/A</v>
      </c>
    </row>
    <row r="116" spans="3:42" ht="19.5" thickBot="1">
      <c r="C116" s="8" t="str">
        <f>IF(B116="","",COUNTIF(B$1:B115,B116)=0)</f>
        <v/>
      </c>
      <c r="D116" s="8" t="str">
        <f>IF(B116="","",IF(C116,COUNTIF(C$2:C116,TRUE),""))</f>
        <v/>
      </c>
      <c r="E116" s="8" t="str">
        <f t="shared" si="26"/>
        <v/>
      </c>
      <c r="AK116" s="35" t="s">
        <v>1190</v>
      </c>
      <c r="AL116" s="14" t="e">
        <f ca="1">IF(セルの固定色(AK116)=セルの固定色(AK$2),1,"")</f>
        <v>#NAME?</v>
      </c>
      <c r="AM116" s="14" t="e">
        <f ca="1">IF(OR(ISBLANK(AL116),AL116=""),"",COUNTIF(AL$2:AL116,"&gt;0"))</f>
        <v>#NAME?</v>
      </c>
      <c r="AP116" s="14" t="e">
        <f ca="1">IF(ISBLANK(AK116),"",LOOKUP(1,0/(AM$2:AM116=MAX(AM$2:AM116)),AK$2:AK116))</f>
        <v>#N/A</v>
      </c>
    </row>
    <row r="117" spans="3:42" ht="19.5" thickBot="1">
      <c r="C117" s="8" t="str">
        <f>IF(B117="","",COUNTIF(B$1:B116,B117)=0)</f>
        <v/>
      </c>
      <c r="D117" s="8" t="str">
        <f>IF(B117="","",IF(C117,COUNTIF(C$2:C117,TRUE),""))</f>
        <v/>
      </c>
      <c r="E117" s="8" t="str">
        <f t="shared" si="26"/>
        <v/>
      </c>
      <c r="AK117" s="34" t="s">
        <v>1191</v>
      </c>
      <c r="AL117" s="14" t="e">
        <f ca="1">IF(セルの固定色(AK117)=セルの固定色(AK$2),1,"")</f>
        <v>#NAME?</v>
      </c>
      <c r="AM117" s="14" t="e">
        <f ca="1">IF(OR(ISBLANK(AL117),AL117=""),"",COUNTIF(AL$2:AL117,"&gt;0"))</f>
        <v>#NAME?</v>
      </c>
      <c r="AP117" s="14" t="e">
        <f ca="1">IF(ISBLANK(AK117),"",LOOKUP(1,0/(AM$2:AM117=MAX(AM$2:AM117)),AK$2:AK117))</f>
        <v>#N/A</v>
      </c>
    </row>
    <row r="118" spans="3:42">
      <c r="C118" s="8" t="str">
        <f>IF(B118="","",COUNTIF(B$1:B117,B118)=0)</f>
        <v/>
      </c>
      <c r="D118" s="8" t="str">
        <f>IF(B118="","",IF(C118,COUNTIF(C$2:C118,TRUE),""))</f>
        <v/>
      </c>
      <c r="E118" s="8" t="str">
        <f t="shared" si="26"/>
        <v/>
      </c>
      <c r="AL118" s="14" t="e">
        <f ca="1">IF(セルの固定色(AK118)=セルの固定色(AK$2),1,"")</f>
        <v>#NAME?</v>
      </c>
      <c r="AM118" s="14" t="e">
        <f ca="1">IF(OR(ISBLANK(AL118),AL118=""),"",COUNTIF(AL$2:AL118,"&gt;0"))</f>
        <v>#NAME?</v>
      </c>
      <c r="AP118" s="14" t="str">
        <f>IF(ISBLANK(AK118),"",LOOKUP(1,0/(AM$2:AM118=MAX(AM$2:AM118)),AK$2:AK118))</f>
        <v/>
      </c>
    </row>
    <row r="119" spans="3:42">
      <c r="C119" s="8" t="str">
        <f>IF(B119="","",COUNTIF(B$1:B118,B119)=0)</f>
        <v/>
      </c>
      <c r="D119" s="8" t="str">
        <f>IF(B119="","",IF(C119,COUNTIF(C$2:C119,TRUE),""))</f>
        <v/>
      </c>
      <c r="E119" s="8" t="str">
        <f t="shared" si="26"/>
        <v/>
      </c>
      <c r="AL119" s="14" t="e">
        <f ca="1">IF(セルの固定色(AK119)=セルの固定色(AK$2),1,"")</f>
        <v>#NAME?</v>
      </c>
      <c r="AM119" s="14" t="e">
        <f ca="1">IF(OR(ISBLANK(AL119),AL119=""),"",COUNTIF(AL$2:AL119,"&gt;0"))</f>
        <v>#NAME?</v>
      </c>
      <c r="AP119" s="14" t="str">
        <f>IF(ISBLANK(AK119),"",LOOKUP(1,0/(AM$2:AM119=MAX(AM$2:AM119)),AK$2:AK119))</f>
        <v/>
      </c>
    </row>
    <row r="120" spans="3:42">
      <c r="C120" s="8" t="str">
        <f>IF(B120="","",COUNTIF(B$1:B119,B120)=0)</f>
        <v/>
      </c>
      <c r="D120" s="8" t="str">
        <f>IF(B120="","",IF(C120,COUNTIF(C$2:C120,TRUE),""))</f>
        <v/>
      </c>
      <c r="E120" s="8" t="str">
        <f t="shared" si="26"/>
        <v/>
      </c>
      <c r="AL120" s="14" t="e">
        <f ca="1">IF(セルの固定色(AK120)=セルの固定色(AK$2),1,"")</f>
        <v>#NAME?</v>
      </c>
      <c r="AM120" s="14" t="e">
        <f ca="1">IF(OR(ISBLANK(AL120),AL120=""),"",COUNTIF(AL$2:AL120,"&gt;0"))</f>
        <v>#NAME?</v>
      </c>
      <c r="AP120" s="14" t="str">
        <f>IF(ISBLANK(AK120),"",LOOKUP(1,0/(AM$2:AM120=MAX(AM$2:AM120)),AK$2:AK120))</f>
        <v/>
      </c>
    </row>
    <row r="121" spans="3:42">
      <c r="C121" s="8" t="str">
        <f>IF(B121="","",COUNTIF(B$1:B120,B121)=0)</f>
        <v/>
      </c>
      <c r="D121" s="8" t="str">
        <f>IF(B121="","",IF(C121,COUNTIF(C$2:C121,TRUE),""))</f>
        <v/>
      </c>
      <c r="E121" s="8" t="str">
        <f t="shared" si="26"/>
        <v/>
      </c>
      <c r="AL121" s="14" t="e">
        <f ca="1">IF(セルの固定色(AK121)=セルの固定色(AK$2),1,"")</f>
        <v>#NAME?</v>
      </c>
      <c r="AM121" s="14" t="e">
        <f ca="1">IF(OR(ISBLANK(AL121),AL121=""),"",COUNTIF(AL$2:AL121,"&gt;0"))</f>
        <v>#NAME?</v>
      </c>
      <c r="AP121" s="14" t="str">
        <f>IF(ISBLANK(AK121),"",LOOKUP(1,0/(AM$2:AM121=MAX(AM$2:AM121)),AK$2:AK121))</f>
        <v/>
      </c>
    </row>
    <row r="122" spans="3:42">
      <c r="C122" s="8" t="str">
        <f>IF(B122="","",COUNTIF(B$1:B121,B122)=0)</f>
        <v/>
      </c>
      <c r="D122" s="8" t="str">
        <f>IF(B122="","",IF(C122,COUNTIF(C$2:C122,TRUE),""))</f>
        <v/>
      </c>
      <c r="E122" s="8" t="str">
        <f t="shared" si="26"/>
        <v/>
      </c>
      <c r="AL122" s="14" t="e">
        <f ca="1">IF(セルの固定色(AK122)=セルの固定色(AK$2),1,"")</f>
        <v>#NAME?</v>
      </c>
      <c r="AM122" s="14" t="e">
        <f ca="1">IF(OR(ISBLANK(AL122),AL122=""),"",COUNTIF(AL$2:AL122,"&gt;0"))</f>
        <v>#NAME?</v>
      </c>
      <c r="AP122" s="14" t="str">
        <f>IF(ISBLANK(AK122),"",LOOKUP(1,0/(AM$2:AM122=MAX(AM$2:AM122)),AK$2:AK122))</f>
        <v/>
      </c>
    </row>
    <row r="123" spans="3:42">
      <c r="C123" s="8" t="str">
        <f>IF(B123="","",COUNTIF(B$1:B122,B123)=0)</f>
        <v/>
      </c>
      <c r="D123" s="8" t="str">
        <f>IF(B123="","",IF(C123,COUNTIF(C$2:C123,TRUE),""))</f>
        <v/>
      </c>
      <c r="E123" s="8" t="str">
        <f t="shared" si="26"/>
        <v/>
      </c>
      <c r="AL123" s="14" t="e">
        <f ca="1">IF(セルの固定色(AK123)=セルの固定色(AK$2),1,"")</f>
        <v>#NAME?</v>
      </c>
      <c r="AM123" s="14" t="e">
        <f ca="1">IF(OR(ISBLANK(AL123),AL123=""),"",COUNTIF(AL$2:AL123,"&gt;0"))</f>
        <v>#NAME?</v>
      </c>
      <c r="AP123" s="14" t="str">
        <f>IF(ISBLANK(AK123),"",LOOKUP(1,0/(AM$2:AM123=MAX(AM$2:AM123)),AK$2:AK123))</f>
        <v/>
      </c>
    </row>
    <row r="124" spans="3:42">
      <c r="C124" s="8" t="str">
        <f>IF(B124="","",COUNTIF(B$1:B123,B124)=0)</f>
        <v/>
      </c>
      <c r="D124" s="8" t="str">
        <f>IF(B124="","",IF(C124,COUNTIF(C$2:C124,TRUE),""))</f>
        <v/>
      </c>
      <c r="E124" s="8" t="str">
        <f t="shared" si="26"/>
        <v/>
      </c>
      <c r="AL124" s="14" t="e">
        <f ca="1">IF(セルの固定色(AK124)=セルの固定色(AK$2),1,"")</f>
        <v>#NAME?</v>
      </c>
      <c r="AM124" s="14" t="e">
        <f ca="1">IF(OR(ISBLANK(AL124),AL124=""),"",COUNTIF(AL$2:AL124,"&gt;0"))</f>
        <v>#NAME?</v>
      </c>
      <c r="AP124" s="14" t="str">
        <f>IF(ISBLANK(AK124),"",LOOKUP(1,0/(AM$2:AM124=MAX(AM$2:AM124)),AK$2:AK124))</f>
        <v/>
      </c>
    </row>
    <row r="125" spans="3:42">
      <c r="C125" s="8" t="str">
        <f>IF(B125="","",COUNTIF(B$1:B124,B125)=0)</f>
        <v/>
      </c>
      <c r="D125" s="8" t="str">
        <f>IF(B125="","",IF(C125,COUNTIF(C$2:C125,TRUE),""))</f>
        <v/>
      </c>
      <c r="E125" s="8" t="str">
        <f t="shared" si="26"/>
        <v/>
      </c>
      <c r="AL125" s="14" t="e">
        <f ca="1">IF(セルの固定色(AK125)=セルの固定色(AK$2),1,"")</f>
        <v>#NAME?</v>
      </c>
      <c r="AM125" s="14" t="e">
        <f ca="1">IF(OR(ISBLANK(AL125),AL125=""),"",COUNTIF(AL$2:AL125,"&gt;0"))</f>
        <v>#NAME?</v>
      </c>
      <c r="AP125" s="14" t="str">
        <f>IF(ISBLANK(AK125),"",LOOKUP(1,0/(AM$2:AM125=MAX(AM$2:AM125)),AK$2:AK125))</f>
        <v/>
      </c>
    </row>
    <row r="126" spans="3:42">
      <c r="C126" s="8" t="str">
        <f>IF(B126="","",COUNTIF(B$1:B125,B126)=0)</f>
        <v/>
      </c>
      <c r="D126" s="8" t="str">
        <f>IF(B126="","",IF(C126,COUNTIF(C$2:C126,TRUE),""))</f>
        <v/>
      </c>
      <c r="E126" s="8" t="str">
        <f t="shared" si="26"/>
        <v/>
      </c>
      <c r="AL126" s="14" t="e">
        <f ca="1">IF(セルの固定色(AK126)=セルの固定色(AK$2),1,"")</f>
        <v>#NAME?</v>
      </c>
      <c r="AM126" s="14" t="e">
        <f ca="1">IF(OR(ISBLANK(AL126),AL126=""),"",COUNTIF(AL$2:AL126,"&gt;0"))</f>
        <v>#NAME?</v>
      </c>
      <c r="AP126" s="14" t="str">
        <f>IF(ISBLANK(AK126),"",LOOKUP(1,0/(AM$2:AM126=MAX(AM$2:AM126)),AK$2:AK126))</f>
        <v/>
      </c>
    </row>
    <row r="127" spans="3:42">
      <c r="C127" s="8" t="str">
        <f>IF(B127="","",COUNTIF(B$1:B126,B127)=0)</f>
        <v/>
      </c>
      <c r="D127" s="8" t="str">
        <f>IF(B127="","",IF(C127,COUNTIF(C$2:C127,TRUE),""))</f>
        <v/>
      </c>
      <c r="E127" s="8" t="str">
        <f t="shared" si="26"/>
        <v/>
      </c>
      <c r="AL127" s="14" t="e">
        <f ca="1">IF(セルの固定色(AK127)=セルの固定色(AK$2),1,"")</f>
        <v>#NAME?</v>
      </c>
      <c r="AM127" s="14" t="e">
        <f ca="1">IF(OR(ISBLANK(AL127),AL127=""),"",COUNTIF(AL$2:AL127,"&gt;0"))</f>
        <v>#NAME?</v>
      </c>
      <c r="AP127" s="14" t="str">
        <f>IF(ISBLANK(AK127),"",LOOKUP(1,0/(AM$2:AM127=MAX(AM$2:AM127)),AK$2:AK127))</f>
        <v/>
      </c>
    </row>
    <row r="128" spans="3:42">
      <c r="C128" s="8" t="str">
        <f>IF(B128="","",COUNTIF(B$1:B127,B128)=0)</f>
        <v/>
      </c>
      <c r="D128" s="8" t="str">
        <f>IF(B128="","",IF(C128,COUNTIF(C$2:C128,TRUE),""))</f>
        <v/>
      </c>
      <c r="E128" s="8" t="str">
        <f t="shared" si="26"/>
        <v/>
      </c>
      <c r="AL128" s="14" t="e">
        <f ca="1">IF(セルの固定色(AK128)=セルの固定色(AK$2),1,"")</f>
        <v>#NAME?</v>
      </c>
      <c r="AM128" s="14" t="e">
        <f ca="1">IF(OR(ISBLANK(AL128),AL128=""),"",COUNTIF(AL$2:AL128,"&gt;0"))</f>
        <v>#NAME?</v>
      </c>
      <c r="AP128" s="14" t="str">
        <f>IF(ISBLANK(AK128),"",LOOKUP(1,0/(AM$2:AM128=MAX(AM$2:AM128)),AK$2:AK128))</f>
        <v/>
      </c>
    </row>
    <row r="129" spans="3:42">
      <c r="C129" s="8" t="str">
        <f>IF(B129="","",COUNTIF(B$1:B128,B129)=0)</f>
        <v/>
      </c>
      <c r="D129" s="8" t="str">
        <f>IF(B129="","",IF(C129,COUNTIF(C$2:C129,TRUE),""))</f>
        <v/>
      </c>
      <c r="E129" s="8" t="str">
        <f t="shared" si="26"/>
        <v/>
      </c>
      <c r="AL129" s="14" t="e">
        <f ca="1">IF(セルの固定色(AK129)=セルの固定色(AK$2),1,"")</f>
        <v>#NAME?</v>
      </c>
      <c r="AM129" s="14" t="e">
        <f ca="1">IF(OR(ISBLANK(AL129),AL129=""),"",COUNTIF(AL$2:AL129,"&gt;0"))</f>
        <v>#NAME?</v>
      </c>
      <c r="AP129" s="14" t="str">
        <f>IF(ISBLANK(AK129),"",LOOKUP(1,0/(AM$2:AM129=MAX(AM$2:AM129)),AK$2:AK129))</f>
        <v/>
      </c>
    </row>
    <row r="130" spans="3:42">
      <c r="C130" s="8" t="str">
        <f>IF(B130="","",COUNTIF(B$1:B129,B130)=0)</f>
        <v/>
      </c>
      <c r="D130" s="8" t="str">
        <f>IF(B130="","",IF(C130,COUNTIF(C$2:C130,TRUE),""))</f>
        <v/>
      </c>
      <c r="E130" s="8" t="str">
        <f t="shared" si="26"/>
        <v/>
      </c>
      <c r="AL130" s="14" t="e">
        <f ca="1">IF(セルの固定色(AK130)=セルの固定色(AK$2),1,"")</f>
        <v>#NAME?</v>
      </c>
      <c r="AM130" s="14" t="e">
        <f ca="1">IF(OR(ISBLANK(AL130),AL130=""),"",COUNTIF(AL$2:AL130,"&gt;0"))</f>
        <v>#NAME?</v>
      </c>
      <c r="AP130" s="14" t="str">
        <f>IF(ISBLANK(AK130),"",LOOKUP(1,0/(AM$2:AM130=MAX(AM$2:AM130)),AK$2:AK130))</f>
        <v/>
      </c>
    </row>
    <row r="131" spans="3:42">
      <c r="C131" s="8" t="str">
        <f>IF(B131="","",COUNTIF(B$1:B130,B131)=0)</f>
        <v/>
      </c>
      <c r="D131" s="8" t="str">
        <f>IF(B131="","",IF(C131,COUNTIF(C$2:C131,TRUE),""))</f>
        <v/>
      </c>
      <c r="E131" s="8" t="str">
        <f t="shared" si="26"/>
        <v/>
      </c>
      <c r="AL131" s="14" t="e">
        <f ca="1">IF(セルの固定色(AK131)=セルの固定色(AK$2),1,"")</f>
        <v>#NAME?</v>
      </c>
      <c r="AM131" s="14" t="e">
        <f ca="1">IF(OR(ISBLANK(AL131),AL131=""),"",COUNTIF(AL$2:AL131,"&gt;0"))</f>
        <v>#NAME?</v>
      </c>
      <c r="AP131" s="14" t="str">
        <f>IF(ISBLANK(AK131),"",LOOKUP(1,0/(AM$2:AM131=MAX(AM$2:AM131)),AK$2:AK131))</f>
        <v/>
      </c>
    </row>
    <row r="132" spans="3:42">
      <c r="C132" s="8" t="str">
        <f>IF(B132="","",COUNTIF(B$1:B131,B132)=0)</f>
        <v/>
      </c>
      <c r="D132" s="8" t="str">
        <f>IF(B132="","",IF(C132,COUNTIF(C$2:C132,TRUE),""))</f>
        <v/>
      </c>
      <c r="E132" s="8" t="str">
        <f t="shared" si="26"/>
        <v/>
      </c>
    </row>
    <row r="133" spans="3:42">
      <c r="C133" s="8" t="str">
        <f>IF(B133="","",COUNTIF(B$1:B132,B133)=0)</f>
        <v/>
      </c>
      <c r="D133" s="8" t="str">
        <f>IF(B133="","",IF(C133,COUNTIF(C$2:C133,TRUE),""))</f>
        <v/>
      </c>
      <c r="E133" s="8" t="str">
        <f t="shared" si="26"/>
        <v/>
      </c>
    </row>
    <row r="134" spans="3:42">
      <c r="C134" s="8" t="str">
        <f>IF(B134="","",COUNTIF(B$1:B133,B134)=0)</f>
        <v/>
      </c>
      <c r="D134" s="8" t="str">
        <f>IF(B134="","",IF(C134,COUNTIF(C$2:C134,TRUE),""))</f>
        <v/>
      </c>
      <c r="E134" s="8" t="str">
        <f t="shared" si="26"/>
        <v/>
      </c>
    </row>
    <row r="135" spans="3:42">
      <c r="C135" s="8" t="str">
        <f>IF(B135="","",COUNTIF(B$1:B134,B135)=0)</f>
        <v/>
      </c>
      <c r="D135" s="8" t="str">
        <f>IF(B135="","",IF(C135,COUNTIF(C$2:C135,TRUE),""))</f>
        <v/>
      </c>
      <c r="E135" s="8" t="str">
        <f t="shared" si="26"/>
        <v/>
      </c>
    </row>
    <row r="136" spans="3:42">
      <c r="C136" s="8" t="str">
        <f>IF(B136="","",COUNTIF(B$1:B135,B136)=0)</f>
        <v/>
      </c>
      <c r="D136" s="8" t="str">
        <f>IF(B136="","",IF(C136,COUNTIF(C$2:C136,TRUE),""))</f>
        <v/>
      </c>
      <c r="E136" s="8" t="str">
        <f t="shared" si="26"/>
        <v/>
      </c>
    </row>
    <row r="137" spans="3:42">
      <c r="C137" s="8" t="str">
        <f>IF(B137="","",COUNTIF(B$1:B136,B137)=0)</f>
        <v/>
      </c>
      <c r="D137" s="8" t="str">
        <f>IF(B137="","",IF(C137,COUNTIF(C$2:C137,TRUE),""))</f>
        <v/>
      </c>
      <c r="E137" s="8" t="str">
        <f t="shared" si="26"/>
        <v/>
      </c>
    </row>
    <row r="138" spans="3:42">
      <c r="C138" s="8" t="str">
        <f>IF(B138="","",COUNTIF(B$1:B137,B138)=0)</f>
        <v/>
      </c>
      <c r="D138" s="8" t="str">
        <f>IF(B138="","",IF(C138,COUNTIF(C$2:C138,TRUE),""))</f>
        <v/>
      </c>
      <c r="E138" s="8" t="str">
        <f t="shared" si="26"/>
        <v/>
      </c>
    </row>
    <row r="139" spans="3:42">
      <c r="C139" s="8" t="str">
        <f>IF(B139="","",COUNTIF(B$1:B138,B139)=0)</f>
        <v/>
      </c>
      <c r="D139" s="8" t="str">
        <f>IF(B139="","",IF(C139,COUNTIF(C$2:C139,TRUE),""))</f>
        <v/>
      </c>
      <c r="E139" s="8" t="str">
        <f t="shared" si="26"/>
        <v/>
      </c>
    </row>
    <row r="140" spans="3:42">
      <c r="C140" s="8" t="str">
        <f>IF(B140="","",COUNTIF(B$1:B139,B140)=0)</f>
        <v/>
      </c>
      <c r="D140" s="8" t="str">
        <f>IF(B140="","",IF(C140,COUNTIF(C$2:C140,TRUE),""))</f>
        <v/>
      </c>
      <c r="E140" s="8" t="str">
        <f t="shared" si="26"/>
        <v/>
      </c>
    </row>
    <row r="141" spans="3:42">
      <c r="C141" s="8" t="str">
        <f>IF(B141="","",COUNTIF(B$1:B140,B141)=0)</f>
        <v/>
      </c>
      <c r="D141" s="8" t="str">
        <f>IF(B141="","",IF(C141,COUNTIF(C$2:C141,TRUE),""))</f>
        <v/>
      </c>
      <c r="E141" s="8" t="str">
        <f t="shared" si="26"/>
        <v/>
      </c>
    </row>
    <row r="142" spans="3:42">
      <c r="C142" s="8" t="str">
        <f>IF(B142="","",COUNTIF(B$1:B141,B142)=0)</f>
        <v/>
      </c>
      <c r="D142" s="8" t="str">
        <f>IF(B142="","",IF(C142,COUNTIF(C$2:C142,TRUE),""))</f>
        <v/>
      </c>
      <c r="E142" s="8" t="str">
        <f t="shared" si="26"/>
        <v/>
      </c>
    </row>
    <row r="143" spans="3:42">
      <c r="C143" s="8" t="str">
        <f>IF(B143="","",COUNTIF(B$1:B142,B143)=0)</f>
        <v/>
      </c>
      <c r="D143" s="8" t="str">
        <f>IF(B143="","",IF(C143,COUNTIF(C$2:C143,TRUE),""))</f>
        <v/>
      </c>
      <c r="E143" s="8" t="str">
        <f t="shared" si="26"/>
        <v/>
      </c>
    </row>
    <row r="144" spans="3:42">
      <c r="C144" s="8" t="str">
        <f>IF(B144="","",COUNTIF(B$1:B143,B144)=0)</f>
        <v/>
      </c>
      <c r="D144" s="8" t="str">
        <f>IF(B144="","",IF(C144,COUNTIF(C$2:C144,TRUE),""))</f>
        <v/>
      </c>
      <c r="E144" s="8" t="str">
        <f t="shared" si="26"/>
        <v/>
      </c>
    </row>
    <row r="145" spans="3:5">
      <c r="C145" s="8" t="str">
        <f>IF(B145="","",COUNTIF(B$1:B144,B145)=0)</f>
        <v/>
      </c>
      <c r="D145" s="8" t="str">
        <f>IF(B145="","",IF(C145,COUNTIF(C$2:C145,TRUE),""))</f>
        <v/>
      </c>
      <c r="E145" s="8" t="str">
        <f t="shared" si="26"/>
        <v/>
      </c>
    </row>
    <row r="146" spans="3:5">
      <c r="C146" s="8" t="str">
        <f>IF(B146="","",COUNTIF(B$1:B145,B146)=0)</f>
        <v/>
      </c>
      <c r="D146" s="8" t="str">
        <f>IF(B146="","",IF(C146,COUNTIF(C$2:C146,TRUE),""))</f>
        <v/>
      </c>
      <c r="E146" s="8" t="str">
        <f t="shared" si="26"/>
        <v/>
      </c>
    </row>
    <row r="147" spans="3:5">
      <c r="C147" s="8" t="str">
        <f>IF(B147="","",COUNTIF(B$1:B146,B147)=0)</f>
        <v/>
      </c>
      <c r="D147" s="8" t="str">
        <f>IF(B147="","",IF(C147,COUNTIF(C$2:C147,TRUE),""))</f>
        <v/>
      </c>
      <c r="E147" s="8" t="str">
        <f t="shared" si="26"/>
        <v/>
      </c>
    </row>
    <row r="148" spans="3:5">
      <c r="C148" s="8" t="str">
        <f>IF(B148="","",COUNTIF(B$1:B147,B148)=0)</f>
        <v/>
      </c>
      <c r="D148" s="8" t="str">
        <f>IF(B148="","",IF(C148,COUNTIF(C$2:C148,TRUE),""))</f>
        <v/>
      </c>
      <c r="E148" s="8" t="str">
        <f t="shared" ref="E148:E211" si="27">IFERROR(LOOKUP(1,0/(D:D=ROW()-ROW(E$1)),B:B),"")</f>
        <v/>
      </c>
    </row>
    <row r="149" spans="3:5">
      <c r="C149" s="8" t="str">
        <f>IF(B149="","",COUNTIF(B$1:B148,B149)=0)</f>
        <v/>
      </c>
      <c r="D149" s="8" t="str">
        <f>IF(B149="","",IF(C149,COUNTIF(C$2:C149,TRUE),""))</f>
        <v/>
      </c>
      <c r="E149" s="8" t="str">
        <f t="shared" si="27"/>
        <v/>
      </c>
    </row>
    <row r="150" spans="3:5">
      <c r="C150" s="8" t="str">
        <f>IF(B150="","",COUNTIF(B$1:B149,B150)=0)</f>
        <v/>
      </c>
      <c r="D150" s="8" t="str">
        <f>IF(B150="","",IF(C150,COUNTIF(C$2:C150,TRUE),""))</f>
        <v/>
      </c>
      <c r="E150" s="8" t="str">
        <f t="shared" si="27"/>
        <v/>
      </c>
    </row>
    <row r="151" spans="3:5">
      <c r="C151" s="8" t="str">
        <f>IF(B151="","",COUNTIF(B$1:B150,B151)=0)</f>
        <v/>
      </c>
      <c r="D151" s="8" t="str">
        <f>IF(B151="","",IF(C151,COUNTIF(C$2:C151,TRUE),""))</f>
        <v/>
      </c>
      <c r="E151" s="8" t="str">
        <f t="shared" si="27"/>
        <v/>
      </c>
    </row>
    <row r="152" spans="3:5">
      <c r="C152" s="8" t="str">
        <f>IF(B152="","",COUNTIF(B$1:B151,B152)=0)</f>
        <v/>
      </c>
      <c r="D152" s="8" t="str">
        <f>IF(B152="","",IF(C152,COUNTIF(C$2:C152,TRUE),""))</f>
        <v/>
      </c>
      <c r="E152" s="8" t="str">
        <f t="shared" si="27"/>
        <v/>
      </c>
    </row>
    <row r="153" spans="3:5">
      <c r="C153" s="8" t="str">
        <f>IF(B153="","",COUNTIF(B$1:B152,B153)=0)</f>
        <v/>
      </c>
      <c r="D153" s="8" t="str">
        <f>IF(B153="","",IF(C153,COUNTIF(C$2:C153,TRUE),""))</f>
        <v/>
      </c>
      <c r="E153" s="8" t="str">
        <f t="shared" si="27"/>
        <v/>
      </c>
    </row>
    <row r="154" spans="3:5">
      <c r="C154" s="8" t="str">
        <f>IF(B154="","",COUNTIF(B$1:B153,B154)=0)</f>
        <v/>
      </c>
      <c r="D154" s="8" t="str">
        <f>IF(B154="","",IF(C154,COUNTIF(C$2:C154,TRUE),""))</f>
        <v/>
      </c>
      <c r="E154" s="8" t="str">
        <f t="shared" si="27"/>
        <v/>
      </c>
    </row>
    <row r="155" spans="3:5">
      <c r="C155" s="8" t="str">
        <f>IF(B155="","",COUNTIF(B$1:B154,B155)=0)</f>
        <v/>
      </c>
      <c r="D155" s="8" t="str">
        <f>IF(B155="","",IF(C155,COUNTIF(C$2:C155,TRUE),""))</f>
        <v/>
      </c>
      <c r="E155" s="8" t="str">
        <f t="shared" si="27"/>
        <v/>
      </c>
    </row>
    <row r="156" spans="3:5">
      <c r="C156" s="8" t="str">
        <f>IF(B156="","",COUNTIF(B$1:B155,B156)=0)</f>
        <v/>
      </c>
      <c r="D156" s="8" t="str">
        <f>IF(B156="","",IF(C156,COUNTIF(C$2:C156,TRUE),""))</f>
        <v/>
      </c>
      <c r="E156" s="8" t="str">
        <f t="shared" si="27"/>
        <v/>
      </c>
    </row>
    <row r="157" spans="3:5">
      <c r="C157" s="8" t="str">
        <f>IF(B157="","",COUNTIF(B$1:B156,B157)=0)</f>
        <v/>
      </c>
      <c r="D157" s="8" t="str">
        <f>IF(B157="","",IF(C157,COUNTIF(C$2:C157,TRUE),""))</f>
        <v/>
      </c>
      <c r="E157" s="8" t="str">
        <f t="shared" si="27"/>
        <v/>
      </c>
    </row>
    <row r="158" spans="3:5">
      <c r="C158" s="8" t="str">
        <f>IF(B158="","",COUNTIF(B$1:B157,B158)=0)</f>
        <v/>
      </c>
      <c r="D158" s="8" t="str">
        <f>IF(B158="","",IF(C158,COUNTIF(C$2:C158,TRUE),""))</f>
        <v/>
      </c>
      <c r="E158" s="8" t="str">
        <f t="shared" si="27"/>
        <v/>
      </c>
    </row>
    <row r="159" spans="3:5">
      <c r="C159" s="8" t="str">
        <f>IF(B159="","",COUNTIF(B$1:B158,B159)=0)</f>
        <v/>
      </c>
      <c r="D159" s="8" t="str">
        <f>IF(B159="","",IF(C159,COUNTIF(C$2:C159,TRUE),""))</f>
        <v/>
      </c>
      <c r="E159" s="8" t="str">
        <f t="shared" si="27"/>
        <v/>
      </c>
    </row>
    <row r="160" spans="3:5">
      <c r="C160" s="8" t="str">
        <f>IF(B160="","",COUNTIF(B$1:B159,B160)=0)</f>
        <v/>
      </c>
      <c r="D160" s="8" t="str">
        <f>IF(B160="","",IF(C160,COUNTIF(C$2:C160,TRUE),""))</f>
        <v/>
      </c>
      <c r="E160" s="8" t="str">
        <f t="shared" si="27"/>
        <v/>
      </c>
    </row>
    <row r="161" spans="3:5">
      <c r="C161" s="8" t="str">
        <f>IF(B161="","",COUNTIF(B$1:B160,B161)=0)</f>
        <v/>
      </c>
      <c r="D161" s="8" t="str">
        <f>IF(B161="","",IF(C161,COUNTIF(C$2:C161,TRUE),""))</f>
        <v/>
      </c>
      <c r="E161" s="8" t="str">
        <f t="shared" si="27"/>
        <v/>
      </c>
    </row>
    <row r="162" spans="3:5">
      <c r="C162" s="8" t="str">
        <f>IF(B162="","",COUNTIF(B$1:B161,B162)=0)</f>
        <v/>
      </c>
      <c r="D162" s="8" t="str">
        <f>IF(B162="","",IF(C162,COUNTIF(C$2:C162,TRUE),""))</f>
        <v/>
      </c>
      <c r="E162" s="8" t="str">
        <f t="shared" si="27"/>
        <v/>
      </c>
    </row>
    <row r="163" spans="3:5">
      <c r="C163" s="8" t="str">
        <f>IF(B163="","",COUNTIF(B$1:B162,B163)=0)</f>
        <v/>
      </c>
      <c r="D163" s="8" t="str">
        <f>IF(B163="","",IF(C163,COUNTIF(C$2:C163,TRUE),""))</f>
        <v/>
      </c>
      <c r="E163" s="8" t="str">
        <f t="shared" si="27"/>
        <v/>
      </c>
    </row>
    <row r="164" spans="3:5">
      <c r="C164" s="8" t="str">
        <f>IF(B164="","",COUNTIF(B$1:B163,B164)=0)</f>
        <v/>
      </c>
      <c r="D164" s="8" t="str">
        <f>IF(B164="","",IF(C164,COUNTIF(C$2:C164,TRUE),""))</f>
        <v/>
      </c>
      <c r="E164" s="8" t="str">
        <f t="shared" si="27"/>
        <v/>
      </c>
    </row>
    <row r="165" spans="3:5">
      <c r="C165" s="8" t="str">
        <f>IF(B165="","",COUNTIF(B$1:B164,B165)=0)</f>
        <v/>
      </c>
      <c r="D165" s="8" t="str">
        <f>IF(B165="","",IF(C165,COUNTIF(C$2:C165,TRUE),""))</f>
        <v/>
      </c>
      <c r="E165" s="8" t="str">
        <f t="shared" si="27"/>
        <v/>
      </c>
    </row>
    <row r="166" spans="3:5">
      <c r="C166" s="8" t="str">
        <f>IF(B166="","",COUNTIF(B$1:B165,B166)=0)</f>
        <v/>
      </c>
      <c r="D166" s="8" t="str">
        <f>IF(B166="","",IF(C166,COUNTIF(C$2:C166,TRUE),""))</f>
        <v/>
      </c>
      <c r="E166" s="8" t="str">
        <f t="shared" si="27"/>
        <v/>
      </c>
    </row>
    <row r="167" spans="3:5">
      <c r="C167" s="8" t="str">
        <f>IF(B167="","",COUNTIF(B$1:B166,B167)=0)</f>
        <v/>
      </c>
      <c r="D167" s="8" t="str">
        <f>IF(B167="","",IF(C167,COUNTIF(C$2:C167,TRUE),""))</f>
        <v/>
      </c>
      <c r="E167" s="8" t="str">
        <f t="shared" si="27"/>
        <v/>
      </c>
    </row>
    <row r="168" spans="3:5">
      <c r="C168" s="8" t="str">
        <f>IF(B168="","",COUNTIF(B$1:B167,B168)=0)</f>
        <v/>
      </c>
      <c r="D168" s="8" t="str">
        <f>IF(B168="","",IF(C168,COUNTIF(C$2:C168,TRUE),""))</f>
        <v/>
      </c>
      <c r="E168" s="8" t="str">
        <f t="shared" si="27"/>
        <v/>
      </c>
    </row>
    <row r="169" spans="3:5">
      <c r="C169" s="8" t="str">
        <f>IF(B169="","",COUNTIF(B$1:B168,B169)=0)</f>
        <v/>
      </c>
      <c r="D169" s="8" t="str">
        <f>IF(B169="","",IF(C169,COUNTIF(C$2:C169,TRUE),""))</f>
        <v/>
      </c>
      <c r="E169" s="8" t="str">
        <f t="shared" si="27"/>
        <v/>
      </c>
    </row>
    <row r="170" spans="3:5">
      <c r="C170" s="8" t="str">
        <f>IF(B170="","",COUNTIF(B$1:B169,B170)=0)</f>
        <v/>
      </c>
      <c r="D170" s="8" t="str">
        <f>IF(B170="","",IF(C170,COUNTIF(C$2:C170,TRUE),""))</f>
        <v/>
      </c>
      <c r="E170" s="8" t="str">
        <f t="shared" si="27"/>
        <v/>
      </c>
    </row>
    <row r="171" spans="3:5">
      <c r="C171" s="8" t="str">
        <f>IF(B171="","",COUNTIF(B$1:B170,B171)=0)</f>
        <v/>
      </c>
      <c r="D171" s="8" t="str">
        <f>IF(B171="","",IF(C171,COUNTIF(C$2:C171,TRUE),""))</f>
        <v/>
      </c>
      <c r="E171" s="8" t="str">
        <f t="shared" si="27"/>
        <v/>
      </c>
    </row>
    <row r="172" spans="3:5">
      <c r="C172" s="8" t="str">
        <f>IF(B172="","",COUNTIF(B$1:B171,B172)=0)</f>
        <v/>
      </c>
      <c r="D172" s="8" t="str">
        <f>IF(B172="","",IF(C172,COUNTIF(C$2:C172,TRUE),""))</f>
        <v/>
      </c>
      <c r="E172" s="8" t="str">
        <f t="shared" si="27"/>
        <v/>
      </c>
    </row>
    <row r="173" spans="3:5">
      <c r="C173" s="8" t="str">
        <f>IF(B173="","",COUNTIF(B$1:B172,B173)=0)</f>
        <v/>
      </c>
      <c r="D173" s="8" t="str">
        <f>IF(B173="","",IF(C173,COUNTIF(C$2:C173,TRUE),""))</f>
        <v/>
      </c>
      <c r="E173" s="8" t="str">
        <f t="shared" si="27"/>
        <v/>
      </c>
    </row>
    <row r="174" spans="3:5">
      <c r="C174" s="8" t="str">
        <f>IF(B174="","",COUNTIF(B$1:B173,B174)=0)</f>
        <v/>
      </c>
      <c r="D174" s="8" t="str">
        <f>IF(B174="","",IF(C174,COUNTIF(C$2:C174,TRUE),""))</f>
        <v/>
      </c>
      <c r="E174" s="8" t="str">
        <f t="shared" si="27"/>
        <v/>
      </c>
    </row>
    <row r="175" spans="3:5">
      <c r="C175" s="8" t="str">
        <f>IF(B175="","",COUNTIF(B$1:B174,B175)=0)</f>
        <v/>
      </c>
      <c r="D175" s="8" t="str">
        <f>IF(B175="","",IF(C175,COUNTIF(C$2:C175,TRUE),""))</f>
        <v/>
      </c>
      <c r="E175" s="8" t="str">
        <f t="shared" si="27"/>
        <v/>
      </c>
    </row>
    <row r="176" spans="3:5">
      <c r="C176" s="8" t="str">
        <f>IF(B176="","",COUNTIF(B$1:B175,B176)=0)</f>
        <v/>
      </c>
      <c r="D176" s="8" t="str">
        <f>IF(B176="","",IF(C176,COUNTIF(C$2:C176,TRUE),""))</f>
        <v/>
      </c>
      <c r="E176" s="8" t="str">
        <f t="shared" si="27"/>
        <v/>
      </c>
    </row>
    <row r="177" spans="3:5">
      <c r="C177" s="8" t="str">
        <f>IF(B177="","",COUNTIF(B$1:B176,B177)=0)</f>
        <v/>
      </c>
      <c r="D177" s="8" t="str">
        <f>IF(B177="","",IF(C177,COUNTIF(C$2:C177,TRUE),""))</f>
        <v/>
      </c>
      <c r="E177" s="8" t="str">
        <f t="shared" si="27"/>
        <v/>
      </c>
    </row>
    <row r="178" spans="3:5">
      <c r="C178" s="8" t="str">
        <f>IF(B178="","",COUNTIF(B$1:B177,B178)=0)</f>
        <v/>
      </c>
      <c r="D178" s="8" t="str">
        <f>IF(B178="","",IF(C178,COUNTIF(C$2:C178,TRUE),""))</f>
        <v/>
      </c>
      <c r="E178" s="8" t="str">
        <f t="shared" si="27"/>
        <v/>
      </c>
    </row>
    <row r="179" spans="3:5">
      <c r="C179" s="8" t="str">
        <f>IF(B179="","",COUNTIF(B$1:B178,B179)=0)</f>
        <v/>
      </c>
      <c r="D179" s="8" t="str">
        <f>IF(B179="","",IF(C179,COUNTIF(C$2:C179,TRUE),""))</f>
        <v/>
      </c>
      <c r="E179" s="8" t="str">
        <f t="shared" si="27"/>
        <v/>
      </c>
    </row>
    <row r="180" spans="3:5">
      <c r="C180" s="8" t="str">
        <f>IF(B180="","",COUNTIF(B$1:B179,B180)=0)</f>
        <v/>
      </c>
      <c r="D180" s="8" t="str">
        <f>IF(B180="","",IF(C180,COUNTIF(C$2:C180,TRUE),""))</f>
        <v/>
      </c>
      <c r="E180" s="8" t="str">
        <f t="shared" si="27"/>
        <v/>
      </c>
    </row>
    <row r="181" spans="3:5">
      <c r="C181" s="8" t="str">
        <f>IF(B181="","",COUNTIF(B$1:B180,B181)=0)</f>
        <v/>
      </c>
      <c r="D181" s="8" t="str">
        <f>IF(B181="","",IF(C181,COUNTIF(C$2:C181,TRUE),""))</f>
        <v/>
      </c>
      <c r="E181" s="8" t="str">
        <f t="shared" si="27"/>
        <v/>
      </c>
    </row>
    <row r="182" spans="3:5">
      <c r="C182" s="8" t="str">
        <f>IF(B182="","",COUNTIF(B$1:B181,B182)=0)</f>
        <v/>
      </c>
      <c r="D182" s="8" t="str">
        <f>IF(B182="","",IF(C182,COUNTIF(C$2:C182,TRUE),""))</f>
        <v/>
      </c>
      <c r="E182" s="8" t="str">
        <f t="shared" si="27"/>
        <v/>
      </c>
    </row>
    <row r="183" spans="3:5">
      <c r="C183" s="8" t="str">
        <f>IF(B183="","",COUNTIF(B$1:B182,B183)=0)</f>
        <v/>
      </c>
      <c r="D183" s="8" t="str">
        <f>IF(B183="","",IF(C183,COUNTIF(C$2:C183,TRUE),""))</f>
        <v/>
      </c>
      <c r="E183" s="8" t="str">
        <f t="shared" si="27"/>
        <v/>
      </c>
    </row>
    <row r="184" spans="3:5">
      <c r="C184" s="8" t="str">
        <f>IF(B184="","",COUNTIF(B$1:B183,B184)=0)</f>
        <v/>
      </c>
      <c r="D184" s="8" t="str">
        <f>IF(B184="","",IF(C184,COUNTIF(C$2:C184,TRUE),""))</f>
        <v/>
      </c>
      <c r="E184" s="8" t="str">
        <f t="shared" si="27"/>
        <v/>
      </c>
    </row>
    <row r="185" spans="3:5">
      <c r="C185" s="8" t="str">
        <f>IF(B185="","",COUNTIF(B$1:B184,B185)=0)</f>
        <v/>
      </c>
      <c r="D185" s="8" t="str">
        <f>IF(B185="","",IF(C185,COUNTIF(C$2:C185,TRUE),""))</f>
        <v/>
      </c>
      <c r="E185" s="8" t="str">
        <f t="shared" si="27"/>
        <v/>
      </c>
    </row>
    <row r="186" spans="3:5">
      <c r="C186" s="8" t="str">
        <f>IF(B186="","",COUNTIF(B$1:B185,B186)=0)</f>
        <v/>
      </c>
      <c r="D186" s="8" t="str">
        <f>IF(B186="","",IF(C186,COUNTIF(C$2:C186,TRUE),""))</f>
        <v/>
      </c>
      <c r="E186" s="8" t="str">
        <f t="shared" si="27"/>
        <v/>
      </c>
    </row>
    <row r="187" spans="3:5">
      <c r="C187" s="8" t="str">
        <f>IF(B187="","",COUNTIF(B$1:B186,B187)=0)</f>
        <v/>
      </c>
      <c r="D187" s="8" t="str">
        <f>IF(B187="","",IF(C187,COUNTIF(C$2:C187,TRUE),""))</f>
        <v/>
      </c>
      <c r="E187" s="8" t="str">
        <f t="shared" si="27"/>
        <v/>
      </c>
    </row>
    <row r="188" spans="3:5">
      <c r="C188" s="8" t="str">
        <f>IF(B188="","",COUNTIF(B$1:B187,B188)=0)</f>
        <v/>
      </c>
      <c r="D188" s="8" t="str">
        <f>IF(B188="","",IF(C188,COUNTIF(C$2:C188,TRUE),""))</f>
        <v/>
      </c>
      <c r="E188" s="8" t="str">
        <f t="shared" si="27"/>
        <v/>
      </c>
    </row>
    <row r="189" spans="3:5">
      <c r="C189" s="8" t="str">
        <f>IF(B189="","",COUNTIF(B$1:B188,B189)=0)</f>
        <v/>
      </c>
      <c r="D189" s="8" t="str">
        <f>IF(B189="","",IF(C189,COUNTIF(C$2:C189,TRUE),""))</f>
        <v/>
      </c>
      <c r="E189" s="8" t="str">
        <f t="shared" si="27"/>
        <v/>
      </c>
    </row>
    <row r="190" spans="3:5">
      <c r="C190" s="8" t="str">
        <f>IF(B190="","",COUNTIF(B$1:B189,B190)=0)</f>
        <v/>
      </c>
      <c r="D190" s="8" t="str">
        <f>IF(B190="","",IF(C190,COUNTIF(C$2:C190,TRUE),""))</f>
        <v/>
      </c>
      <c r="E190" s="8" t="str">
        <f t="shared" si="27"/>
        <v/>
      </c>
    </row>
    <row r="191" spans="3:5">
      <c r="C191" s="8" t="str">
        <f>IF(B191="","",COUNTIF(B$1:B190,B191)=0)</f>
        <v/>
      </c>
      <c r="D191" s="8" t="str">
        <f>IF(B191="","",IF(C191,COUNTIF(C$2:C191,TRUE),""))</f>
        <v/>
      </c>
      <c r="E191" s="8" t="str">
        <f t="shared" si="27"/>
        <v/>
      </c>
    </row>
    <row r="192" spans="3:5">
      <c r="C192" s="8" t="str">
        <f>IF(B192="","",COUNTIF(B$1:B191,B192)=0)</f>
        <v/>
      </c>
      <c r="D192" s="8" t="str">
        <f>IF(B192="","",IF(C192,COUNTIF(C$2:C192,TRUE),""))</f>
        <v/>
      </c>
      <c r="E192" s="8" t="str">
        <f t="shared" si="27"/>
        <v/>
      </c>
    </row>
    <row r="193" spans="3:5">
      <c r="C193" s="8" t="str">
        <f>IF(B193="","",COUNTIF(B$1:B192,B193)=0)</f>
        <v/>
      </c>
      <c r="D193" s="8" t="str">
        <f>IF(B193="","",IF(C193,COUNTIF(C$2:C193,TRUE),""))</f>
        <v/>
      </c>
      <c r="E193" s="8" t="str">
        <f t="shared" si="27"/>
        <v/>
      </c>
    </row>
    <row r="194" spans="3:5">
      <c r="C194" s="8" t="str">
        <f>IF(B194="","",COUNTIF(B$1:B193,B194)=0)</f>
        <v/>
      </c>
      <c r="D194" s="8" t="str">
        <f>IF(B194="","",IF(C194,COUNTIF(C$2:C194,TRUE),""))</f>
        <v/>
      </c>
      <c r="E194" s="8" t="str">
        <f t="shared" si="27"/>
        <v/>
      </c>
    </row>
    <row r="195" spans="3:5">
      <c r="C195" s="8" t="str">
        <f>IF(B195="","",COUNTIF(B$1:B194,B195)=0)</f>
        <v/>
      </c>
      <c r="D195" s="8" t="str">
        <f>IF(B195="","",IF(C195,COUNTIF(C$2:C195,TRUE),""))</f>
        <v/>
      </c>
      <c r="E195" s="8" t="str">
        <f t="shared" si="27"/>
        <v/>
      </c>
    </row>
    <row r="196" spans="3:5">
      <c r="C196" s="8" t="str">
        <f>IF(B196="","",COUNTIF(B$1:B195,B196)=0)</f>
        <v/>
      </c>
      <c r="D196" s="8" t="str">
        <f>IF(B196="","",IF(C196,COUNTIF(C$2:C196,TRUE),""))</f>
        <v/>
      </c>
      <c r="E196" s="8" t="str">
        <f t="shared" si="27"/>
        <v/>
      </c>
    </row>
    <row r="197" spans="3:5">
      <c r="C197" s="8" t="str">
        <f>IF(B197="","",COUNTIF(B$1:B196,B197)=0)</f>
        <v/>
      </c>
      <c r="D197" s="8" t="str">
        <f>IF(B197="","",IF(C197,COUNTIF(C$2:C197,TRUE),""))</f>
        <v/>
      </c>
      <c r="E197" s="8" t="str">
        <f t="shared" si="27"/>
        <v/>
      </c>
    </row>
    <row r="198" spans="3:5">
      <c r="C198" s="8" t="str">
        <f>IF(B198="","",COUNTIF(B$1:B197,B198)=0)</f>
        <v/>
      </c>
      <c r="D198" s="8" t="str">
        <f>IF(B198="","",IF(C198,COUNTIF(C$2:C198,TRUE),""))</f>
        <v/>
      </c>
      <c r="E198" s="8" t="str">
        <f t="shared" si="27"/>
        <v/>
      </c>
    </row>
    <row r="199" spans="3:5">
      <c r="C199" s="8" t="str">
        <f>IF(B199="","",COUNTIF(B$1:B198,B199)=0)</f>
        <v/>
      </c>
      <c r="D199" s="8" t="str">
        <f>IF(B199="","",IF(C199,COUNTIF(C$2:C199,TRUE),""))</f>
        <v/>
      </c>
      <c r="E199" s="8" t="str">
        <f t="shared" si="27"/>
        <v/>
      </c>
    </row>
    <row r="200" spans="3:5">
      <c r="C200" s="8" t="str">
        <f>IF(B200="","",COUNTIF(B$1:B199,B200)=0)</f>
        <v/>
      </c>
      <c r="D200" s="8" t="str">
        <f>IF(B200="","",IF(C200,COUNTIF(C$2:C200,TRUE),""))</f>
        <v/>
      </c>
      <c r="E200" s="8" t="str">
        <f t="shared" si="27"/>
        <v/>
      </c>
    </row>
    <row r="201" spans="3:5">
      <c r="C201" s="8" t="str">
        <f>IF(B201="","",COUNTIF(B$1:B200,B201)=0)</f>
        <v/>
      </c>
      <c r="D201" s="8" t="str">
        <f>IF(B201="","",IF(C201,COUNTIF(C$2:C201,TRUE),""))</f>
        <v/>
      </c>
      <c r="E201" s="8" t="str">
        <f t="shared" si="27"/>
        <v/>
      </c>
    </row>
    <row r="202" spans="3:5">
      <c r="C202" s="8" t="str">
        <f>IF(B202="","",COUNTIF(B$1:B201,B202)=0)</f>
        <v/>
      </c>
      <c r="D202" s="8" t="str">
        <f>IF(B202="","",IF(C202,COUNTIF(C$2:C202,TRUE),""))</f>
        <v/>
      </c>
      <c r="E202" s="8" t="str">
        <f t="shared" si="27"/>
        <v/>
      </c>
    </row>
    <row r="203" spans="3:5">
      <c r="C203" s="8" t="str">
        <f>IF(B203="","",COUNTIF(B$1:B202,B203)=0)</f>
        <v/>
      </c>
      <c r="D203" s="8" t="str">
        <f>IF(B203="","",IF(C203,COUNTIF(C$2:C203,TRUE),""))</f>
        <v/>
      </c>
      <c r="E203" s="8" t="str">
        <f t="shared" si="27"/>
        <v/>
      </c>
    </row>
    <row r="204" spans="3:5">
      <c r="C204" s="8" t="str">
        <f>IF(B204="","",COUNTIF(B$1:B203,B204)=0)</f>
        <v/>
      </c>
      <c r="D204" s="8" t="str">
        <f>IF(B204="","",IF(C204,COUNTIF(C$2:C204,TRUE),""))</f>
        <v/>
      </c>
      <c r="E204" s="8" t="str">
        <f t="shared" si="27"/>
        <v/>
      </c>
    </row>
    <row r="205" spans="3:5">
      <c r="C205" s="8" t="str">
        <f>IF(B205="","",COUNTIF(B$1:B204,B205)=0)</f>
        <v/>
      </c>
      <c r="D205" s="8" t="str">
        <f>IF(B205="","",IF(C205,COUNTIF(C$2:C205,TRUE),""))</f>
        <v/>
      </c>
      <c r="E205" s="8" t="str">
        <f t="shared" si="27"/>
        <v/>
      </c>
    </row>
    <row r="206" spans="3:5">
      <c r="C206" s="8" t="str">
        <f>IF(B206="","",COUNTIF(B$1:B205,B206)=0)</f>
        <v/>
      </c>
      <c r="D206" s="8" t="str">
        <f>IF(B206="","",IF(C206,COUNTIF(C$2:C206,TRUE),""))</f>
        <v/>
      </c>
      <c r="E206" s="8" t="str">
        <f t="shared" si="27"/>
        <v/>
      </c>
    </row>
    <row r="207" spans="3:5">
      <c r="C207" s="8" t="str">
        <f>IF(B207="","",COUNTIF(B$1:B206,B207)=0)</f>
        <v/>
      </c>
      <c r="D207" s="8" t="str">
        <f>IF(B207="","",IF(C207,COUNTIF(C$2:C207,TRUE),""))</f>
        <v/>
      </c>
      <c r="E207" s="8" t="str">
        <f t="shared" si="27"/>
        <v/>
      </c>
    </row>
    <row r="208" spans="3:5">
      <c r="C208" s="8" t="str">
        <f>IF(B208="","",COUNTIF(B$1:B207,B208)=0)</f>
        <v/>
      </c>
      <c r="D208" s="8" t="str">
        <f>IF(B208="","",IF(C208,COUNTIF(C$2:C208,TRUE),""))</f>
        <v/>
      </c>
      <c r="E208" s="8" t="str">
        <f t="shared" si="27"/>
        <v/>
      </c>
    </row>
    <row r="209" spans="3:5">
      <c r="C209" s="8" t="str">
        <f>IF(B209="","",COUNTIF(B$1:B208,B209)=0)</f>
        <v/>
      </c>
      <c r="D209" s="8" t="str">
        <f>IF(B209="","",IF(C209,COUNTIF(C$2:C209,TRUE),""))</f>
        <v/>
      </c>
      <c r="E209" s="8" t="str">
        <f t="shared" si="27"/>
        <v/>
      </c>
    </row>
    <row r="210" spans="3:5">
      <c r="C210" s="8" t="str">
        <f>IF(B210="","",COUNTIF(B$1:B209,B210)=0)</f>
        <v/>
      </c>
      <c r="D210" s="8" t="str">
        <f>IF(B210="","",IF(C210,COUNTIF(C$2:C210,TRUE),""))</f>
        <v/>
      </c>
      <c r="E210" s="8" t="str">
        <f t="shared" si="27"/>
        <v/>
      </c>
    </row>
    <row r="211" spans="3:5">
      <c r="C211" s="8" t="str">
        <f>IF(B211="","",COUNTIF(B$1:B210,B211)=0)</f>
        <v/>
      </c>
      <c r="D211" s="8" t="str">
        <f>IF(B211="","",IF(C211,COUNTIF(C$2:C211,TRUE),""))</f>
        <v/>
      </c>
      <c r="E211" s="8" t="str">
        <f t="shared" si="27"/>
        <v/>
      </c>
    </row>
    <row r="212" spans="3:5">
      <c r="C212" s="8" t="str">
        <f>IF(B212="","",COUNTIF(B$1:B211,B212)=0)</f>
        <v/>
      </c>
      <c r="D212" s="8" t="str">
        <f>IF(B212="","",IF(C212,COUNTIF(C$2:C212,TRUE),""))</f>
        <v/>
      </c>
      <c r="E212" s="8" t="str">
        <f t="shared" ref="E212:E256" si="28">IFERROR(LOOKUP(1,0/(D:D=ROW()-ROW(E$1)),B:B),"")</f>
        <v/>
      </c>
    </row>
    <row r="213" spans="3:5">
      <c r="C213" s="8" t="str">
        <f>IF(B213="","",COUNTIF(B$1:B212,B213)=0)</f>
        <v/>
      </c>
      <c r="D213" s="8" t="str">
        <f>IF(B213="","",IF(C213,COUNTIF(C$2:C213,TRUE),""))</f>
        <v/>
      </c>
      <c r="E213" s="8" t="str">
        <f t="shared" si="28"/>
        <v/>
      </c>
    </row>
    <row r="214" spans="3:5">
      <c r="C214" s="8" t="str">
        <f>IF(B214="","",COUNTIF(B$1:B213,B214)=0)</f>
        <v/>
      </c>
      <c r="D214" s="8" t="str">
        <f>IF(B214="","",IF(C214,COUNTIF(C$2:C214,TRUE),""))</f>
        <v/>
      </c>
      <c r="E214" s="8" t="str">
        <f t="shared" si="28"/>
        <v/>
      </c>
    </row>
    <row r="215" spans="3:5">
      <c r="C215" s="8" t="str">
        <f>IF(B215="","",COUNTIF(B$1:B214,B215)=0)</f>
        <v/>
      </c>
      <c r="D215" s="8" t="str">
        <f>IF(B215="","",IF(C215,COUNTIF(C$2:C215,TRUE),""))</f>
        <v/>
      </c>
      <c r="E215" s="8" t="str">
        <f t="shared" si="28"/>
        <v/>
      </c>
    </row>
    <row r="216" spans="3:5">
      <c r="C216" s="8" t="str">
        <f>IF(B216="","",COUNTIF(B$1:B215,B216)=0)</f>
        <v/>
      </c>
      <c r="D216" s="8" t="str">
        <f>IF(B216="","",IF(C216,COUNTIF(C$2:C216,TRUE),""))</f>
        <v/>
      </c>
      <c r="E216" s="8" t="str">
        <f t="shared" si="28"/>
        <v/>
      </c>
    </row>
    <row r="217" spans="3:5">
      <c r="C217" s="8" t="str">
        <f>IF(B217="","",COUNTIF(B$1:B216,B217)=0)</f>
        <v/>
      </c>
      <c r="D217" s="8" t="str">
        <f>IF(B217="","",IF(C217,COUNTIF(C$2:C217,TRUE),""))</f>
        <v/>
      </c>
      <c r="E217" s="8" t="str">
        <f t="shared" si="28"/>
        <v/>
      </c>
    </row>
    <row r="218" spans="3:5">
      <c r="C218" s="8" t="str">
        <f>IF(B218="","",COUNTIF(B$1:B217,B218)=0)</f>
        <v/>
      </c>
      <c r="D218" s="8" t="str">
        <f>IF(B218="","",IF(C218,COUNTIF(C$2:C218,TRUE),""))</f>
        <v/>
      </c>
      <c r="E218" s="8" t="str">
        <f t="shared" si="28"/>
        <v/>
      </c>
    </row>
    <row r="219" spans="3:5">
      <c r="C219" s="8" t="str">
        <f>IF(B219="","",COUNTIF(B$1:B218,B219)=0)</f>
        <v/>
      </c>
      <c r="D219" s="8" t="str">
        <f>IF(B219="","",IF(C219,COUNTIF(C$2:C219,TRUE),""))</f>
        <v/>
      </c>
      <c r="E219" s="8" t="str">
        <f t="shared" si="28"/>
        <v/>
      </c>
    </row>
    <row r="220" spans="3:5">
      <c r="C220" s="8" t="str">
        <f>IF(B220="","",COUNTIF(B$1:B219,B220)=0)</f>
        <v/>
      </c>
      <c r="D220" s="8" t="str">
        <f>IF(B220="","",IF(C220,COUNTIF(C$2:C220,TRUE),""))</f>
        <v/>
      </c>
      <c r="E220" s="8" t="str">
        <f t="shared" si="28"/>
        <v/>
      </c>
    </row>
    <row r="221" spans="3:5">
      <c r="C221" s="8" t="str">
        <f>IF(B221="","",COUNTIF(B$1:B220,B221)=0)</f>
        <v/>
      </c>
      <c r="D221" s="8" t="str">
        <f>IF(B221="","",IF(C221,COUNTIF(C$2:C221,TRUE),""))</f>
        <v/>
      </c>
      <c r="E221" s="8" t="str">
        <f t="shared" si="28"/>
        <v/>
      </c>
    </row>
    <row r="222" spans="3:5">
      <c r="C222" s="8" t="str">
        <f>IF(B222="","",COUNTIF(B$1:B221,B222)=0)</f>
        <v/>
      </c>
      <c r="D222" s="8" t="str">
        <f>IF(B222="","",IF(C222,COUNTIF(C$2:C222,TRUE),""))</f>
        <v/>
      </c>
      <c r="E222" s="8" t="str">
        <f t="shared" si="28"/>
        <v/>
      </c>
    </row>
    <row r="223" spans="3:5">
      <c r="C223" s="8" t="str">
        <f>IF(B223="","",COUNTIF(B$1:B222,B223)=0)</f>
        <v/>
      </c>
      <c r="D223" s="8" t="str">
        <f>IF(B223="","",IF(C223,COUNTIF(C$2:C223,TRUE),""))</f>
        <v/>
      </c>
      <c r="E223" s="8" t="str">
        <f t="shared" si="28"/>
        <v/>
      </c>
    </row>
    <row r="224" spans="3:5">
      <c r="C224" s="8" t="str">
        <f>IF(B224="","",COUNTIF(B$1:B223,B224)=0)</f>
        <v/>
      </c>
      <c r="D224" s="8" t="str">
        <f>IF(B224="","",IF(C224,COUNTIF(C$2:C224,TRUE),""))</f>
        <v/>
      </c>
      <c r="E224" s="8" t="str">
        <f t="shared" si="28"/>
        <v/>
      </c>
    </row>
    <row r="225" spans="3:5">
      <c r="C225" s="8" t="str">
        <f>IF(B225="","",COUNTIF(B$1:B224,B225)=0)</f>
        <v/>
      </c>
      <c r="D225" s="8" t="str">
        <f>IF(B225="","",IF(C225,COUNTIF(C$2:C225,TRUE),""))</f>
        <v/>
      </c>
      <c r="E225" s="8" t="str">
        <f t="shared" si="28"/>
        <v/>
      </c>
    </row>
    <row r="226" spans="3:5">
      <c r="C226" s="8" t="str">
        <f>IF(B226="","",COUNTIF(B$1:B225,B226)=0)</f>
        <v/>
      </c>
      <c r="D226" s="8" t="str">
        <f>IF(B226="","",IF(C226,COUNTIF(C$2:C226,TRUE),""))</f>
        <v/>
      </c>
      <c r="E226" s="8" t="str">
        <f t="shared" si="28"/>
        <v/>
      </c>
    </row>
    <row r="227" spans="3:5">
      <c r="C227" s="8" t="str">
        <f>IF(B227="","",COUNTIF(B$1:B226,B227)=0)</f>
        <v/>
      </c>
      <c r="D227" s="8" t="str">
        <f>IF(B227="","",IF(C227,COUNTIF(C$2:C227,TRUE),""))</f>
        <v/>
      </c>
      <c r="E227" s="8" t="str">
        <f t="shared" si="28"/>
        <v/>
      </c>
    </row>
    <row r="228" spans="3:5">
      <c r="C228" s="8" t="str">
        <f>IF(B228="","",COUNTIF(B$1:B227,B228)=0)</f>
        <v/>
      </c>
      <c r="D228" s="8" t="str">
        <f>IF(B228="","",IF(C228,COUNTIF(C$2:C228,TRUE),""))</f>
        <v/>
      </c>
      <c r="E228" s="8" t="str">
        <f t="shared" si="28"/>
        <v/>
      </c>
    </row>
    <row r="229" spans="3:5">
      <c r="C229" s="8" t="str">
        <f>IF(B229="","",COUNTIF(B$1:B228,B229)=0)</f>
        <v/>
      </c>
      <c r="D229" s="8" t="str">
        <f>IF(B229="","",IF(C229,COUNTIF(C$2:C229,TRUE),""))</f>
        <v/>
      </c>
      <c r="E229" s="8" t="str">
        <f t="shared" si="28"/>
        <v/>
      </c>
    </row>
    <row r="230" spans="3:5">
      <c r="C230" s="8" t="str">
        <f>IF(B230="","",COUNTIF(B$1:B229,B230)=0)</f>
        <v/>
      </c>
      <c r="D230" s="8" t="str">
        <f>IF(B230="","",IF(C230,COUNTIF(C$2:C230,TRUE),""))</f>
        <v/>
      </c>
      <c r="E230" s="8" t="str">
        <f t="shared" si="28"/>
        <v/>
      </c>
    </row>
    <row r="231" spans="3:5">
      <c r="C231" s="8" t="str">
        <f>IF(B231="","",COUNTIF(B$1:B230,B231)=0)</f>
        <v/>
      </c>
      <c r="D231" s="8" t="str">
        <f>IF(B231="","",IF(C231,COUNTIF(C$2:C231,TRUE),""))</f>
        <v/>
      </c>
      <c r="E231" s="8" t="str">
        <f t="shared" si="28"/>
        <v/>
      </c>
    </row>
    <row r="232" spans="3:5">
      <c r="C232" s="8" t="str">
        <f>IF(B232="","",COUNTIF(B$1:B231,B232)=0)</f>
        <v/>
      </c>
      <c r="D232" s="8" t="str">
        <f>IF(B232="","",IF(C232,COUNTIF(C$2:C232,TRUE),""))</f>
        <v/>
      </c>
      <c r="E232" s="8" t="str">
        <f t="shared" si="28"/>
        <v/>
      </c>
    </row>
    <row r="233" spans="3:5">
      <c r="C233" s="8" t="str">
        <f>IF(B233="","",COUNTIF(B$1:B232,B233)=0)</f>
        <v/>
      </c>
      <c r="D233" s="8" t="str">
        <f>IF(B233="","",IF(C233,COUNTIF(C$2:C233,TRUE),""))</f>
        <v/>
      </c>
      <c r="E233" s="8" t="str">
        <f t="shared" si="28"/>
        <v/>
      </c>
    </row>
    <row r="234" spans="3:5">
      <c r="C234" s="8" t="str">
        <f>IF(B234="","",COUNTIF(B$1:B233,B234)=0)</f>
        <v/>
      </c>
      <c r="D234" s="8" t="str">
        <f>IF(B234="","",IF(C234,COUNTIF(C$2:C234,TRUE),""))</f>
        <v/>
      </c>
      <c r="E234" s="8" t="str">
        <f t="shared" si="28"/>
        <v/>
      </c>
    </row>
    <row r="235" spans="3:5">
      <c r="C235" s="8" t="str">
        <f>IF(B235="","",COUNTIF(B$1:B234,B235)=0)</f>
        <v/>
      </c>
      <c r="D235" s="8" t="str">
        <f>IF(B235="","",IF(C235,COUNTIF(C$2:C235,TRUE),""))</f>
        <v/>
      </c>
      <c r="E235" s="8" t="str">
        <f t="shared" si="28"/>
        <v/>
      </c>
    </row>
    <row r="236" spans="3:5">
      <c r="C236" s="8" t="str">
        <f>IF(B236="","",COUNTIF(B$1:B235,B236)=0)</f>
        <v/>
      </c>
      <c r="D236" s="8" t="str">
        <f>IF(B236="","",IF(C236,COUNTIF(C$2:C236,TRUE),""))</f>
        <v/>
      </c>
      <c r="E236" s="8" t="str">
        <f t="shared" si="28"/>
        <v/>
      </c>
    </row>
    <row r="237" spans="3:5">
      <c r="C237" s="8" t="str">
        <f>IF(B237="","",COUNTIF(B$1:B236,B237)=0)</f>
        <v/>
      </c>
      <c r="D237" s="8" t="str">
        <f>IF(B237="","",IF(C237,COUNTIF(C$2:C237,TRUE),""))</f>
        <v/>
      </c>
      <c r="E237" s="8" t="str">
        <f t="shared" si="28"/>
        <v/>
      </c>
    </row>
    <row r="238" spans="3:5">
      <c r="C238" s="8" t="str">
        <f>IF(B238="","",COUNTIF(B$1:B237,B238)=0)</f>
        <v/>
      </c>
      <c r="D238" s="8" t="str">
        <f>IF(B238="","",IF(C238,COUNTIF(C$2:C238,TRUE),""))</f>
        <v/>
      </c>
      <c r="E238" s="8" t="str">
        <f t="shared" si="28"/>
        <v/>
      </c>
    </row>
    <row r="239" spans="3:5">
      <c r="C239" s="8" t="str">
        <f>IF(B239="","",COUNTIF(B$1:B238,B239)=0)</f>
        <v/>
      </c>
      <c r="D239" s="8" t="str">
        <f>IF(B239="","",IF(C239,COUNTIF(C$2:C239,TRUE),""))</f>
        <v/>
      </c>
      <c r="E239" s="8" t="str">
        <f t="shared" si="28"/>
        <v/>
      </c>
    </row>
    <row r="240" spans="3:5">
      <c r="C240" s="8" t="str">
        <f>IF(B240="","",COUNTIF(B$1:B239,B240)=0)</f>
        <v/>
      </c>
      <c r="D240" s="8" t="str">
        <f>IF(B240="","",IF(C240,COUNTIF(C$2:C240,TRUE),""))</f>
        <v/>
      </c>
      <c r="E240" s="8" t="str">
        <f t="shared" si="28"/>
        <v/>
      </c>
    </row>
    <row r="241" spans="3:5">
      <c r="C241" s="8" t="str">
        <f>IF(B241="","",COUNTIF(B$1:B240,B241)=0)</f>
        <v/>
      </c>
      <c r="D241" s="8" t="str">
        <f>IF(B241="","",IF(C241,COUNTIF(C$2:C241,TRUE),""))</f>
        <v/>
      </c>
      <c r="E241" s="8" t="str">
        <f t="shared" si="28"/>
        <v/>
      </c>
    </row>
    <row r="242" spans="3:5">
      <c r="C242" s="8" t="str">
        <f>IF(B242="","",COUNTIF(B$1:B241,B242)=0)</f>
        <v/>
      </c>
      <c r="D242" s="8" t="str">
        <f>IF(B242="","",IF(C242,COUNTIF(C$2:C242,TRUE),""))</f>
        <v/>
      </c>
      <c r="E242" s="8" t="str">
        <f t="shared" si="28"/>
        <v/>
      </c>
    </row>
    <row r="243" spans="3:5">
      <c r="C243" s="8" t="str">
        <f>IF(B243="","",COUNTIF(B$1:B242,B243)=0)</f>
        <v/>
      </c>
      <c r="D243" s="8" t="str">
        <f>IF(B243="","",IF(C243,COUNTIF(C$2:C243,TRUE),""))</f>
        <v/>
      </c>
      <c r="E243" s="8" t="str">
        <f t="shared" si="28"/>
        <v/>
      </c>
    </row>
    <row r="244" spans="3:5">
      <c r="C244" s="8" t="str">
        <f>IF(B244="","",COUNTIF(B$1:B243,B244)=0)</f>
        <v/>
      </c>
      <c r="D244" s="8" t="str">
        <f>IF(B244="","",IF(C244,COUNTIF(C$2:C244,TRUE),""))</f>
        <v/>
      </c>
      <c r="E244" s="8" t="str">
        <f t="shared" si="28"/>
        <v/>
      </c>
    </row>
    <row r="245" spans="3:5">
      <c r="C245" s="8" t="str">
        <f>IF(B245="","",COUNTIF(B$1:B244,B245)=0)</f>
        <v/>
      </c>
      <c r="D245" s="8" t="str">
        <f>IF(B245="","",IF(C245,COUNTIF(C$2:C245,TRUE),""))</f>
        <v/>
      </c>
      <c r="E245" s="8" t="str">
        <f t="shared" si="28"/>
        <v/>
      </c>
    </row>
    <row r="246" spans="3:5">
      <c r="C246" s="8" t="str">
        <f>IF(B246="","",COUNTIF(B$1:B245,B246)=0)</f>
        <v/>
      </c>
      <c r="D246" s="8" t="str">
        <f>IF(B246="","",IF(C246,COUNTIF(C$2:C246,TRUE),""))</f>
        <v/>
      </c>
      <c r="E246" s="8" t="str">
        <f t="shared" si="28"/>
        <v/>
      </c>
    </row>
    <row r="247" spans="3:5">
      <c r="C247" s="8" t="str">
        <f>IF(B247="","",COUNTIF(B$1:B246,B247)=0)</f>
        <v/>
      </c>
      <c r="D247" s="8" t="str">
        <f>IF(B247="","",IF(C247,COUNTIF(C$2:C247,TRUE),""))</f>
        <v/>
      </c>
      <c r="E247" s="8" t="str">
        <f t="shared" si="28"/>
        <v/>
      </c>
    </row>
    <row r="248" spans="3:5">
      <c r="C248" s="8" t="str">
        <f>IF(B248="","",COUNTIF(B$1:B247,B248)=0)</f>
        <v/>
      </c>
      <c r="D248" s="8" t="str">
        <f>IF(B248="","",IF(C248,COUNTIF(C$2:C248,TRUE),""))</f>
        <v/>
      </c>
      <c r="E248" s="8" t="str">
        <f t="shared" si="28"/>
        <v/>
      </c>
    </row>
    <row r="249" spans="3:5">
      <c r="C249" s="8" t="str">
        <f>IF(B249="","",COUNTIF(B$1:B248,B249)=0)</f>
        <v/>
      </c>
      <c r="D249" s="8" t="str">
        <f>IF(B249="","",IF(C249,COUNTIF(C$2:C249,TRUE),""))</f>
        <v/>
      </c>
      <c r="E249" s="8" t="str">
        <f t="shared" si="28"/>
        <v/>
      </c>
    </row>
    <row r="250" spans="3:5">
      <c r="C250" s="8" t="str">
        <f>IF(B250="","",COUNTIF(B$1:B249,B250)=0)</f>
        <v/>
      </c>
      <c r="D250" s="8" t="str">
        <f>IF(B250="","",IF(C250,COUNTIF(C$2:C250,TRUE),""))</f>
        <v/>
      </c>
      <c r="E250" s="8" t="str">
        <f t="shared" si="28"/>
        <v/>
      </c>
    </row>
    <row r="251" spans="3:5">
      <c r="C251" s="8" t="str">
        <f>IF(B251="","",COUNTIF(B$1:B250,B251)=0)</f>
        <v/>
      </c>
      <c r="D251" s="8" t="str">
        <f>IF(B251="","",IF(C251,COUNTIF(C$2:C251,TRUE),""))</f>
        <v/>
      </c>
      <c r="E251" s="8" t="str">
        <f t="shared" si="28"/>
        <v/>
      </c>
    </row>
    <row r="252" spans="3:5">
      <c r="C252" s="8" t="str">
        <f>IF(B252="","",COUNTIF(B$1:B251,B252)=0)</f>
        <v/>
      </c>
      <c r="D252" s="8" t="str">
        <f>IF(B252="","",IF(C252,COUNTIF(C$2:C252,TRUE),""))</f>
        <v/>
      </c>
      <c r="E252" s="8" t="str">
        <f t="shared" si="28"/>
        <v/>
      </c>
    </row>
    <row r="253" spans="3:5">
      <c r="C253" s="8" t="str">
        <f>IF(B253="","",COUNTIF(B$1:B252,B253)=0)</f>
        <v/>
      </c>
      <c r="D253" s="8" t="str">
        <f>IF(B253="","",IF(C253,COUNTIF(C$2:C253,TRUE),""))</f>
        <v/>
      </c>
      <c r="E253" s="8" t="str">
        <f t="shared" si="28"/>
        <v/>
      </c>
    </row>
    <row r="254" spans="3:5">
      <c r="C254" s="8" t="str">
        <f>IF(B254="","",COUNTIF(B$1:B253,B254)=0)</f>
        <v/>
      </c>
      <c r="D254" s="8" t="str">
        <f>IF(B254="","",IF(C254,COUNTIF(C$2:C254,TRUE),""))</f>
        <v/>
      </c>
      <c r="E254" s="8" t="str">
        <f t="shared" si="28"/>
        <v/>
      </c>
    </row>
    <row r="255" spans="3:5">
      <c r="C255" s="8" t="str">
        <f>IF(B255="","",COUNTIF(B$1:B254,B255)=0)</f>
        <v/>
      </c>
      <c r="D255" s="8" t="str">
        <f>IF(B255="","",IF(C255,COUNTIF(C$2:C255,TRUE),""))</f>
        <v/>
      </c>
      <c r="E255" s="8" t="str">
        <f t="shared" si="28"/>
        <v/>
      </c>
    </row>
    <row r="256" spans="3:5">
      <c r="C256" s="8" t="str">
        <f>IF(B256="","",COUNTIF(B$1:B255,B256)=0)</f>
        <v/>
      </c>
      <c r="D256" s="8" t="str">
        <f>IF(B256="","",IF(C256,COUNTIF(C$2:C256,TRUE),""))</f>
        <v/>
      </c>
      <c r="E256" s="8" t="str">
        <f t="shared" si="28"/>
        <v/>
      </c>
    </row>
  </sheetData>
  <phoneticPr fontId="6"/>
  <conditionalFormatting sqref="AE3">
    <cfRule type="expression" dxfId="27" priority="25">
      <formula>NOT(ISBLANK($AF3))</formula>
    </cfRule>
  </conditionalFormatting>
  <conditionalFormatting sqref="AE4">
    <cfRule type="expression" dxfId="26" priority="26">
      <formula>NOT(ISBLANK($AF4))</formula>
    </cfRule>
  </conditionalFormatting>
  <conditionalFormatting sqref="AE2">
    <cfRule type="expression" dxfId="25" priority="24">
      <formula>NOT(ISBLANK($AF2))</formula>
    </cfRule>
  </conditionalFormatting>
  <conditionalFormatting sqref="AE6">
    <cfRule type="expression" dxfId="24" priority="23">
      <formula>NOT(ISBLANK($AF6))</formula>
    </cfRule>
  </conditionalFormatting>
  <conditionalFormatting sqref="AE7">
    <cfRule type="expression" dxfId="23" priority="22">
      <formula>NOT(ISBLANK($AF7))</formula>
    </cfRule>
  </conditionalFormatting>
  <conditionalFormatting sqref="AE8">
    <cfRule type="expression" dxfId="22" priority="21">
      <formula>NOT(ISBLANK($AF8))</formula>
    </cfRule>
  </conditionalFormatting>
  <conditionalFormatting sqref="AE9">
    <cfRule type="expression" dxfId="21" priority="20">
      <formula>NOT(ISBLANK($AF9))</formula>
    </cfRule>
  </conditionalFormatting>
  <conditionalFormatting sqref="AE10">
    <cfRule type="expression" dxfId="20" priority="19">
      <formula>NOT(ISBLANK($AF10))</formula>
    </cfRule>
  </conditionalFormatting>
  <conditionalFormatting sqref="AE11">
    <cfRule type="expression" dxfId="19" priority="18">
      <formula>NOT(ISBLANK($AF11))</formula>
    </cfRule>
  </conditionalFormatting>
  <conditionalFormatting sqref="AE12">
    <cfRule type="expression" dxfId="18" priority="17">
      <formula>NOT(ISBLANK($AF12))</formula>
    </cfRule>
  </conditionalFormatting>
  <conditionalFormatting sqref="AE13">
    <cfRule type="expression" dxfId="17" priority="16">
      <formula>NOT(ISBLANK($AF13))</formula>
    </cfRule>
  </conditionalFormatting>
  <conditionalFormatting sqref="AE14">
    <cfRule type="expression" dxfId="16" priority="15">
      <formula>NOT(ISBLANK($AF14))</formula>
    </cfRule>
  </conditionalFormatting>
  <conditionalFormatting sqref="AE15">
    <cfRule type="expression" dxfId="15" priority="14">
      <formula>NOT(ISBLANK($AF15))</formula>
    </cfRule>
  </conditionalFormatting>
  <conditionalFormatting sqref="AE16">
    <cfRule type="expression" dxfId="14" priority="13">
      <formula>NOT(ISBLANK($AF16))</formula>
    </cfRule>
  </conditionalFormatting>
  <conditionalFormatting sqref="AE17">
    <cfRule type="expression" dxfId="13" priority="12">
      <formula>NOT(ISBLANK($AF17))</formula>
    </cfRule>
  </conditionalFormatting>
  <conditionalFormatting sqref="AE18">
    <cfRule type="expression" dxfId="12" priority="11">
      <formula>NOT(ISBLANK($AF18))</formula>
    </cfRule>
  </conditionalFormatting>
  <conditionalFormatting sqref="AE19">
    <cfRule type="expression" dxfId="11" priority="10">
      <formula>NOT(ISBLANK($AF19))</formula>
    </cfRule>
  </conditionalFormatting>
  <conditionalFormatting sqref="AE20">
    <cfRule type="expression" dxfId="10" priority="9">
      <formula>NOT(ISBLANK($AF20))</formula>
    </cfRule>
  </conditionalFormatting>
  <conditionalFormatting sqref="AE21">
    <cfRule type="expression" dxfId="9" priority="8">
      <formula>NOT(ISBLANK($AF21))</formula>
    </cfRule>
  </conditionalFormatting>
  <conditionalFormatting sqref="AE22">
    <cfRule type="expression" dxfId="8" priority="7">
      <formula>NOT(ISBLANK($AF22))</formula>
    </cfRule>
  </conditionalFormatting>
  <conditionalFormatting sqref="AE23">
    <cfRule type="expression" dxfId="7" priority="6">
      <formula>NOT(ISBLANK($AF23))</formula>
    </cfRule>
  </conditionalFormatting>
  <conditionalFormatting sqref="AE24">
    <cfRule type="expression" dxfId="6" priority="5">
      <formula>NOT(ISBLANK($AF24))</formula>
    </cfRule>
  </conditionalFormatting>
  <conditionalFormatting sqref="AE25">
    <cfRule type="expression" dxfId="5" priority="4">
      <formula>NOT(ISBLANK($AF25))</formula>
    </cfRule>
  </conditionalFormatting>
  <conditionalFormatting sqref="AE26">
    <cfRule type="expression" dxfId="4" priority="3">
      <formula>NOT(ISBLANK($AF26))</formula>
    </cfRule>
  </conditionalFormatting>
  <conditionalFormatting sqref="AE27:AE102">
    <cfRule type="expression" dxfId="3" priority="2">
      <formula>NOT(ISBLANK($AF27))</formula>
    </cfRule>
  </conditionalFormatting>
  <conditionalFormatting sqref="AE5">
    <cfRule type="expression" dxfId="2" priority="1">
      <formula>NOT(ISBLANK($AF5))</formula>
    </cfRule>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B27"/>
  <sheetViews>
    <sheetView workbookViewId="0">
      <selection activeCell="T199" sqref="T199"/>
    </sheetView>
  </sheetViews>
  <sheetFormatPr defaultRowHeight="18.75"/>
  <cols>
    <col min="1" max="1" width="19.25" bestFit="1" customWidth="1"/>
  </cols>
  <sheetData>
    <row r="1" spans="1:2">
      <c r="A1" t="s">
        <v>68</v>
      </c>
      <c r="B1" t="s">
        <v>715</v>
      </c>
    </row>
    <row r="2" spans="1:2">
      <c r="A2" t="s">
        <v>37</v>
      </c>
      <c r="B2" t="s">
        <v>733</v>
      </c>
    </row>
    <row r="3" spans="1:2">
      <c r="A3" t="s">
        <v>653</v>
      </c>
      <c r="B3" t="s">
        <v>242</v>
      </c>
    </row>
    <row r="4" spans="1:2">
      <c r="A4" t="s">
        <v>124</v>
      </c>
      <c r="B4" t="s">
        <v>925</v>
      </c>
    </row>
    <row r="5" spans="1:2">
      <c r="A5" t="s">
        <v>44</v>
      </c>
    </row>
    <row r="6" spans="1:2">
      <c r="A6" t="s">
        <v>525</v>
      </c>
    </row>
    <row r="7" spans="1:2">
      <c r="A7" t="s">
        <v>79</v>
      </c>
    </row>
    <row r="8" spans="1:2">
      <c r="A8" t="s">
        <v>83</v>
      </c>
    </row>
    <row r="9" spans="1:2">
      <c r="A9" t="s">
        <v>710</v>
      </c>
    </row>
    <row r="10" spans="1:2">
      <c r="A10" t="s">
        <v>454</v>
      </c>
    </row>
    <row r="11" spans="1:2">
      <c r="A11" t="s">
        <v>246</v>
      </c>
    </row>
    <row r="12" spans="1:2">
      <c r="A12" t="s">
        <v>773</v>
      </c>
    </row>
    <row r="13" spans="1:2">
      <c r="A13" t="s">
        <v>780</v>
      </c>
    </row>
    <row r="14" spans="1:2">
      <c r="A14" t="s">
        <v>59</v>
      </c>
    </row>
    <row r="15" spans="1:2">
      <c r="A15" t="s">
        <v>795</v>
      </c>
    </row>
    <row r="16" spans="1:2">
      <c r="A16" t="s">
        <v>532</v>
      </c>
    </row>
    <row r="17" spans="1:1">
      <c r="A17" t="s">
        <v>208</v>
      </c>
    </row>
    <row r="18" spans="1:1">
      <c r="A18" t="s">
        <v>826</v>
      </c>
    </row>
    <row r="19" spans="1:1">
      <c r="A19" t="s">
        <v>222</v>
      </c>
    </row>
    <row r="20" spans="1:1">
      <c r="A20" t="s">
        <v>105</v>
      </c>
    </row>
    <row r="21" spans="1:1">
      <c r="A21" t="s">
        <v>903</v>
      </c>
    </row>
    <row r="22" spans="1:1">
      <c r="A22" t="s">
        <v>911</v>
      </c>
    </row>
    <row r="23" spans="1:1">
      <c r="A23" t="s">
        <v>985</v>
      </c>
    </row>
    <row r="24" spans="1:1">
      <c r="A24" t="s">
        <v>477</v>
      </c>
    </row>
    <row r="25" spans="1:1">
      <c r="A25" t="s">
        <v>999</v>
      </c>
    </row>
    <row r="26" spans="1:1">
      <c r="A26" t="s">
        <v>639</v>
      </c>
    </row>
    <row r="27" spans="1:1">
      <c r="A27" t="s">
        <v>1037</v>
      </c>
    </row>
  </sheetData>
  <phoneticPr fontId="6"/>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7" t="s">
        <v>1192</v>
      </c>
      <c r="H1" s="37" t="s">
        <v>1193</v>
      </c>
      <c r="L1" s="37" t="s">
        <v>1192</v>
      </c>
      <c r="P1" t="s">
        <v>1194</v>
      </c>
    </row>
    <row r="2" spans="1:18" ht="19.5" thickTop="1">
      <c r="B2" s="38"/>
      <c r="C2" s="147" t="s">
        <v>1195</v>
      </c>
      <c r="D2" s="147"/>
      <c r="E2" s="39">
        <f>E8-E7</f>
        <v>18</v>
      </c>
      <c r="H2">
        <v>13</v>
      </c>
      <c r="M2" s="38"/>
      <c r="N2" s="147" t="s">
        <v>1195</v>
      </c>
      <c r="O2" s="147"/>
      <c r="P2" s="39">
        <f>P8-P7</f>
        <v>12</v>
      </c>
    </row>
    <row r="3" spans="1:18">
      <c r="B3" s="40"/>
      <c r="C3" s="41"/>
      <c r="D3" s="41" t="s">
        <v>1196</v>
      </c>
      <c r="E3" s="42">
        <v>0</v>
      </c>
      <c r="G3">
        <f>E3+P3</f>
        <v>0</v>
      </c>
      <c r="H3" s="37" t="s">
        <v>1197</v>
      </c>
      <c r="M3" s="40"/>
      <c r="N3" s="41"/>
      <c r="O3" s="41" t="s">
        <v>1196</v>
      </c>
      <c r="P3" s="42">
        <v>0</v>
      </c>
    </row>
    <row r="4" spans="1:18">
      <c r="B4" s="40"/>
      <c r="C4" s="41"/>
      <c r="D4" s="41" t="s">
        <v>1198</v>
      </c>
      <c r="E4" s="42">
        <v>10</v>
      </c>
      <c r="F4" t="s">
        <v>1199</v>
      </c>
      <c r="G4">
        <f>E4+P4</f>
        <v>21</v>
      </c>
      <c r="H4">
        <v>202</v>
      </c>
      <c r="M4" s="40"/>
      <c r="N4" s="41"/>
      <c r="O4" s="41" t="s">
        <v>1198</v>
      </c>
      <c r="P4" s="42">
        <f>8+3</f>
        <v>11</v>
      </c>
    </row>
    <row r="5" spans="1:18">
      <c r="B5" s="40"/>
      <c r="C5" s="41"/>
      <c r="D5" s="41" t="s">
        <v>1200</v>
      </c>
      <c r="E5" s="42">
        <v>10</v>
      </c>
      <c r="F5" t="s">
        <v>1199</v>
      </c>
      <c r="G5">
        <f t="shared" ref="G5:G11" si="0">E5+P5</f>
        <v>27</v>
      </c>
      <c r="M5" s="40"/>
      <c r="N5" s="41"/>
      <c r="O5" s="41" t="s">
        <v>1200</v>
      </c>
      <c r="P5" s="42">
        <f>3+14</f>
        <v>17</v>
      </c>
    </row>
    <row r="6" spans="1:18">
      <c r="B6" s="40"/>
      <c r="C6" s="41"/>
      <c r="D6" s="41" t="s">
        <v>1201</v>
      </c>
      <c r="E6" s="42">
        <v>1</v>
      </c>
      <c r="F6" t="s">
        <v>1199</v>
      </c>
      <c r="G6">
        <f t="shared" si="0"/>
        <v>13</v>
      </c>
      <c r="M6" s="40"/>
      <c r="N6" s="41"/>
      <c r="O6" s="41" t="s">
        <v>1201</v>
      </c>
      <c r="P6" s="42">
        <v>12</v>
      </c>
    </row>
    <row r="7" spans="1:18">
      <c r="B7" s="40"/>
      <c r="C7" s="148" t="s">
        <v>1202</v>
      </c>
      <c r="D7" s="149"/>
      <c r="E7" s="42">
        <v>87</v>
      </c>
      <c r="F7" t="s">
        <v>1063</v>
      </c>
      <c r="G7">
        <f t="shared" si="0"/>
        <v>180</v>
      </c>
      <c r="M7" s="40"/>
      <c r="N7" s="148" t="s">
        <v>1202</v>
      </c>
      <c r="O7" s="149"/>
      <c r="P7" s="42">
        <v>93</v>
      </c>
    </row>
    <row r="8" spans="1:18">
      <c r="B8" s="150" t="s">
        <v>1203</v>
      </c>
      <c r="C8" s="148"/>
      <c r="D8" s="149"/>
      <c r="E8" s="42">
        <v>105</v>
      </c>
      <c r="F8" t="s">
        <v>1199</v>
      </c>
      <c r="G8">
        <f t="shared" si="0"/>
        <v>210</v>
      </c>
      <c r="M8" s="150" t="s">
        <v>1203</v>
      </c>
      <c r="N8" s="148"/>
      <c r="O8" s="149"/>
      <c r="P8" s="42">
        <v>105</v>
      </c>
    </row>
    <row r="9" spans="1:18">
      <c r="B9" s="40"/>
      <c r="C9" s="41"/>
      <c r="D9" s="41"/>
      <c r="E9" s="43"/>
      <c r="G9">
        <f t="shared" si="0"/>
        <v>0</v>
      </c>
      <c r="M9" s="40"/>
      <c r="N9" s="41"/>
      <c r="O9" s="41"/>
      <c r="P9" s="43"/>
    </row>
    <row r="10" spans="1:18">
      <c r="B10" s="150" t="s">
        <v>1204</v>
      </c>
      <c r="C10" s="148"/>
      <c r="D10" s="148"/>
      <c r="E10" s="42">
        <v>1</v>
      </c>
      <c r="G10">
        <f t="shared" si="0"/>
        <v>81</v>
      </c>
      <c r="M10" s="150" t="s">
        <v>1204</v>
      </c>
      <c r="N10" s="148"/>
      <c r="O10" s="148"/>
      <c r="P10" s="42">
        <v>80</v>
      </c>
    </row>
    <row r="11" spans="1:18" ht="19.5" thickBot="1">
      <c r="B11" s="151" t="s">
        <v>1205</v>
      </c>
      <c r="C11" s="152"/>
      <c r="D11" s="152"/>
      <c r="E11" s="44">
        <f>G17</f>
        <v>279</v>
      </c>
      <c r="G11">
        <f t="shared" si="0"/>
        <v>542</v>
      </c>
      <c r="M11" s="151" t="s">
        <v>1205</v>
      </c>
      <c r="N11" s="152"/>
      <c r="O11" s="152"/>
      <c r="P11" s="44">
        <v>263</v>
      </c>
    </row>
    <row r="12" spans="1:18" ht="19.5" thickTop="1"/>
    <row r="13" spans="1:18">
      <c r="B13" s="150" t="s">
        <v>1206</v>
      </c>
      <c r="C13" s="148"/>
      <c r="D13" s="148"/>
      <c r="E13" s="42">
        <f>185+E8+E10</f>
        <v>291</v>
      </c>
      <c r="M13" s="150" t="s">
        <v>1206</v>
      </c>
      <c r="N13" s="148"/>
      <c r="O13" s="148"/>
      <c r="P13" s="42">
        <f>P8+P10</f>
        <v>185</v>
      </c>
    </row>
    <row r="14" spans="1:18" ht="19.5" thickBot="1">
      <c r="B14" s="151" t="s">
        <v>1207</v>
      </c>
      <c r="C14" s="152"/>
      <c r="D14" s="152"/>
      <c r="E14" s="44">
        <f>368+E11+E8</f>
        <v>752</v>
      </c>
      <c r="M14" s="151" t="s">
        <v>1207</v>
      </c>
      <c r="N14" s="152"/>
      <c r="O14" s="152"/>
      <c r="P14" s="44">
        <f>P11+P8</f>
        <v>368</v>
      </c>
    </row>
    <row r="15" spans="1:18" ht="19.5" thickTop="1"/>
    <row r="16" spans="1:18">
      <c r="B16" s="45" t="s">
        <v>139</v>
      </c>
      <c r="C16" s="46">
        <v>27</v>
      </c>
      <c r="D16" s="46">
        <v>74</v>
      </c>
      <c r="F16" s="47" t="s">
        <v>1208</v>
      </c>
      <c r="G16" s="48">
        <v>432721.90032620012</v>
      </c>
      <c r="M16" s="45" t="s">
        <v>139</v>
      </c>
      <c r="N16" s="46">
        <v>27</v>
      </c>
      <c r="O16" s="46">
        <v>74</v>
      </c>
      <c r="Q16" s="47" t="s">
        <v>1209</v>
      </c>
      <c r="R16" s="48">
        <v>7258265.1363499993</v>
      </c>
    </row>
    <row r="17" spans="2:18">
      <c r="B17" s="45" t="s">
        <v>47</v>
      </c>
      <c r="C17" s="41">
        <v>4</v>
      </c>
      <c r="D17" s="41"/>
      <c r="F17" s="47" t="s">
        <v>1210</v>
      </c>
      <c r="G17" s="49">
        <v>279</v>
      </c>
      <c r="M17" s="45" t="s">
        <v>47</v>
      </c>
      <c r="N17" s="41">
        <v>4</v>
      </c>
      <c r="O17" s="41"/>
      <c r="Q17" s="47" t="s">
        <v>1211</v>
      </c>
      <c r="R17" s="49">
        <v>263</v>
      </c>
    </row>
    <row r="18" spans="2:18">
      <c r="B18" s="45" t="s">
        <v>32</v>
      </c>
      <c r="C18" s="50">
        <v>43</v>
      </c>
      <c r="D18" s="50"/>
      <c r="F18" s="47" t="s">
        <v>1212</v>
      </c>
      <c r="G18" s="51">
        <v>38511.86</v>
      </c>
      <c r="M18" s="45" t="s">
        <v>32</v>
      </c>
      <c r="N18" s="50">
        <v>43</v>
      </c>
      <c r="O18" s="50"/>
      <c r="Q18" s="47" t="s">
        <v>1213</v>
      </c>
      <c r="R18" s="51">
        <v>47600.347999999998</v>
      </c>
    </row>
    <row r="19" spans="2:18">
      <c r="B19" s="45" t="s">
        <v>604</v>
      </c>
      <c r="C19" s="46">
        <v>1</v>
      </c>
      <c r="D19" s="46">
        <v>2</v>
      </c>
      <c r="F19" s="47" t="s">
        <v>1214</v>
      </c>
      <c r="G19" s="49">
        <v>64</v>
      </c>
      <c r="M19" s="45" t="s">
        <v>604</v>
      </c>
      <c r="N19" s="46">
        <v>1</v>
      </c>
      <c r="O19" s="46">
        <v>2</v>
      </c>
      <c r="Q19" s="47" t="s">
        <v>1215</v>
      </c>
      <c r="R19" s="49">
        <v>69</v>
      </c>
    </row>
    <row r="20" spans="2:18">
      <c r="B20" s="45" t="s">
        <v>408</v>
      </c>
      <c r="C20" s="50">
        <v>1</v>
      </c>
      <c r="D20" s="50"/>
      <c r="F20" s="52" t="s">
        <v>1216</v>
      </c>
      <c r="G20" s="53">
        <v>44013</v>
      </c>
      <c r="M20" s="45" t="s">
        <v>408</v>
      </c>
      <c r="N20" s="50">
        <v>1</v>
      </c>
      <c r="O20" s="50"/>
      <c r="Q20" s="52" t="s">
        <v>1217</v>
      </c>
      <c r="R20" s="53">
        <v>43922</v>
      </c>
    </row>
    <row r="21" spans="2:18">
      <c r="B21" s="45" t="s">
        <v>1218</v>
      </c>
      <c r="C21" s="54">
        <v>1</v>
      </c>
      <c r="D21" s="54">
        <v>1</v>
      </c>
      <c r="F21" s="52" t="s">
        <v>1219</v>
      </c>
      <c r="G21" s="55">
        <v>44104</v>
      </c>
      <c r="M21" s="45" t="s">
        <v>1218</v>
      </c>
      <c r="N21" s="54">
        <v>1</v>
      </c>
      <c r="O21" s="54">
        <v>1</v>
      </c>
      <c r="Q21" s="52" t="s">
        <v>1220</v>
      </c>
      <c r="R21" s="55">
        <v>44012</v>
      </c>
    </row>
    <row r="22" spans="2:18">
      <c r="B22" s="45" t="s">
        <v>191</v>
      </c>
      <c r="C22" s="54">
        <v>4</v>
      </c>
      <c r="D22" s="54">
        <v>4</v>
      </c>
      <c r="M22" s="45" t="s">
        <v>191</v>
      </c>
      <c r="N22" s="54">
        <v>3</v>
      </c>
      <c r="O22" s="54">
        <v>3</v>
      </c>
    </row>
    <row r="23" spans="2:18">
      <c r="D23">
        <f>SUM(D16:D22)</f>
        <v>81</v>
      </c>
      <c r="O23">
        <f>SUM(O16:O22)</f>
        <v>80</v>
      </c>
    </row>
  </sheetData>
  <mergeCells count="14">
    <mergeCell ref="B14:D14"/>
    <mergeCell ref="M14:O14"/>
    <mergeCell ref="B10:D10"/>
    <mergeCell ref="M10:O10"/>
    <mergeCell ref="B11:D11"/>
    <mergeCell ref="M11:O11"/>
    <mergeCell ref="B13:D13"/>
    <mergeCell ref="M13:O13"/>
    <mergeCell ref="C2:D2"/>
    <mergeCell ref="N2:O2"/>
    <mergeCell ref="C7:D7"/>
    <mergeCell ref="N7:O7"/>
    <mergeCell ref="B8:D8"/>
    <mergeCell ref="M8:O8"/>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C000"/>
  </sheetPr>
  <dimension ref="A1:K27"/>
  <sheetViews>
    <sheetView tabSelected="1" workbookViewId="0">
      <selection activeCell="B1" sqref="B1"/>
    </sheetView>
  </sheetViews>
  <sheetFormatPr defaultRowHeight="18.75"/>
  <cols>
    <col min="6" max="6" width="15.125" bestFit="1" customWidth="1"/>
    <col min="9" max="9" width="15.125" bestFit="1" customWidth="1"/>
    <col min="11" max="11" width="15.125" bestFit="1" customWidth="1"/>
  </cols>
  <sheetData>
    <row r="1" spans="1:11" ht="19.5" thickBot="1">
      <c r="B1" t="s">
        <v>1486</v>
      </c>
    </row>
    <row r="2" spans="1:11" ht="20.25" thickTop="1" thickBot="1">
      <c r="A2" s="37" t="s">
        <v>1221</v>
      </c>
      <c r="C2" t="s">
        <v>1070</v>
      </c>
      <c r="D2" t="s">
        <v>1071</v>
      </c>
      <c r="E2" s="37" t="s">
        <v>1222</v>
      </c>
      <c r="F2" s="38" t="s">
        <v>1223</v>
      </c>
      <c r="G2" s="39" t="s">
        <v>1224</v>
      </c>
      <c r="H2" s="37" t="s">
        <v>1225</v>
      </c>
      <c r="I2" s="56" t="s">
        <v>1226</v>
      </c>
      <c r="J2" s="56" t="s">
        <v>1224</v>
      </c>
      <c r="K2" s="37" t="s">
        <v>1227</v>
      </c>
    </row>
    <row r="3" spans="1:11" ht="19.5" thickTop="1">
      <c r="B3" s="38" t="str">
        <f ca="1">中間処理シート!O4</f>
        <v/>
      </c>
      <c r="C3" s="57" t="str">
        <f ca="1">中間処理シート!P4</f>
        <v/>
      </c>
      <c r="D3" s="39" t="str">
        <f ca="1">中間処理シート!Q4</f>
        <v/>
      </c>
      <c r="F3" s="40" t="str">
        <f>IF(OR(F2="計",F2=""),"",IF(中間処理シート!W2="",F$26,中間処理シート!W2))</f>
        <v>販売</v>
      </c>
      <c r="G3" s="43">
        <f>IF(OR(F2="計",F2=""),"",IF(中間処理シート!X2="",SUM(G2:G$3),中間処理シート!X2))</f>
        <v>52</v>
      </c>
      <c r="I3" s="38" t="str">
        <f>中間処理シート!AH3</f>
        <v>米国</v>
      </c>
      <c r="J3" s="39">
        <f>中間処理シート!AI3</f>
        <v>29</v>
      </c>
      <c r="K3" s="37" t="s">
        <v>1228</v>
      </c>
    </row>
    <row r="4" spans="1:11">
      <c r="B4" s="40" t="str">
        <f ca="1">中間処理シート!O5</f>
        <v/>
      </c>
      <c r="C4" s="41" t="str">
        <f ca="1">中間処理シート!P5</f>
        <v/>
      </c>
      <c r="D4" s="43" t="str">
        <f ca="1">中間処理シート!Q5</f>
        <v/>
      </c>
      <c r="F4" s="40" t="str">
        <f>IF(OR(F3="計",F3=""),"",IF(中間処理シート!W3="",F$26,中間処理シート!W3))</f>
        <v>無償提供</v>
      </c>
      <c r="G4" s="43">
        <f>IF(OR(F3="計",F3=""),"",IF(中間処理シート!X3="",SUM(G$3:G3),中間処理シート!X3))</f>
        <v>28</v>
      </c>
      <c r="I4" s="40" t="str">
        <f>中間処理シート!AH4</f>
        <v>中華人民共和国</v>
      </c>
      <c r="J4" s="43">
        <f>中間処理シート!AI4</f>
        <v>14</v>
      </c>
    </row>
    <row r="5" spans="1:11">
      <c r="B5" s="40" t="str">
        <f ca="1">中間処理シート!O6</f>
        <v/>
      </c>
      <c r="C5" s="41" t="str">
        <f ca="1">中間処理シート!P6</f>
        <v/>
      </c>
      <c r="D5" s="43" t="str">
        <f ca="1">中間処理シート!Q6</f>
        <v/>
      </c>
      <c r="F5" s="40" t="str">
        <f>IF(OR(F4="計",F4=""),"",IF(中間処理シート!W4="",F$26,中間処理シート!W4))</f>
        <v>展示・デモ</v>
      </c>
      <c r="G5" s="43">
        <f>IF(OR(F4="計",F4=""),"",IF(中間処理シート!X4="",SUM(G$3:G4),中間処理シート!X4))</f>
        <v>1</v>
      </c>
      <c r="I5" s="40" t="str">
        <f>中間処理シート!AH5</f>
        <v>台湾</v>
      </c>
      <c r="J5" s="43">
        <f>中間処理シート!AI5</f>
        <v>10</v>
      </c>
    </row>
    <row r="6" spans="1:11">
      <c r="B6" s="40" t="str">
        <f ca="1">中間処理シート!O7</f>
        <v/>
      </c>
      <c r="C6" s="41" t="str">
        <f ca="1">中間処理シート!P7</f>
        <v/>
      </c>
      <c r="D6" s="43" t="str">
        <f ca="1">中間処理シート!Q7</f>
        <v/>
      </c>
      <c r="F6" s="40" t="str">
        <f>IF(OR(F5="計",F5=""),"",IF(中間処理シート!W5="",F$26,中間処理シート!W5))</f>
        <v>貸出</v>
      </c>
      <c r="G6" s="43">
        <f>IF(OR(F5="計",F5=""),"",IF(中間処理シート!X5="",SUM(G$3:G5),中間処理シート!X5))</f>
        <v>2</v>
      </c>
      <c r="I6" s="40" t="str">
        <f>中間処理シート!AH6</f>
        <v>ドイツ</v>
      </c>
      <c r="J6" s="43">
        <f>中間処理シート!AI6</f>
        <v>7</v>
      </c>
    </row>
    <row r="7" spans="1:11">
      <c r="B7" s="40" t="str">
        <f ca="1">中間処理シート!O8</f>
        <v/>
      </c>
      <c r="C7" s="41" t="str">
        <f ca="1">中間処理シート!P8</f>
        <v/>
      </c>
      <c r="D7" s="43" t="str">
        <f ca="1">中間処理シート!Q8</f>
        <v/>
      </c>
      <c r="F7" s="40" t="str">
        <f>IF(OR(F6="計",F6=""),"",IF(中間処理シート!W6="",F$26,中間処理シート!W6))</f>
        <v>製造・評価</v>
      </c>
      <c r="G7" s="43">
        <f>IF(OR(F6="計",F6=""),"",IF(中間処理シート!X6="",SUM(G$3:G6),中間処理シート!X6))</f>
        <v>4</v>
      </c>
      <c r="I7" s="40" t="str">
        <f>中間処理シート!AH7</f>
        <v>シンガポール</v>
      </c>
      <c r="J7" s="43">
        <f>中間処理シート!AI7</f>
        <v>6</v>
      </c>
    </row>
    <row r="8" spans="1:11" ht="19.5" thickBot="1">
      <c r="B8" s="40" t="str">
        <f ca="1">中間処理シート!O9</f>
        <v/>
      </c>
      <c r="C8" s="41" t="str">
        <f ca="1">中間処理シート!P9</f>
        <v/>
      </c>
      <c r="D8" s="43" t="str">
        <f ca="1">中間処理シート!Q9</f>
        <v/>
      </c>
      <c r="F8" s="40" t="str">
        <f>IF(OR(F7="計",F7=""),"",IF(中間処理シート!W7="",F$26,中間処理シート!W7))</f>
        <v>修理・交換</v>
      </c>
      <c r="G8" s="43">
        <f>IF(OR(F7="計",F7=""),"",IF(中間処理シート!X7="",SUM(G$3:G7),中間処理シート!X7))</f>
        <v>4</v>
      </c>
      <c r="I8" s="58" t="str">
        <f>中間処理シート!AH8</f>
        <v>ロシア</v>
      </c>
      <c r="J8" s="59">
        <f>中間処理シート!AI8</f>
        <v>4</v>
      </c>
    </row>
    <row r="9" spans="1:11" ht="19.5" thickTop="1">
      <c r="B9" s="40" t="str">
        <f ca="1">中間処理シート!O10</f>
        <v/>
      </c>
      <c r="C9" s="41" t="str">
        <f ca="1">中間処理シート!P10</f>
        <v/>
      </c>
      <c r="D9" s="43" t="str">
        <f ca="1">中間処理シート!Q10</f>
        <v/>
      </c>
      <c r="F9" s="40" t="str">
        <f>IF(OR(F8="計",F8=""),"",IF(中間処理シート!W8="",F$26,中間処理シート!W8))</f>
        <v>返却</v>
      </c>
      <c r="G9" s="43">
        <f>IF(OR(F8="計",F8=""),"",IF(中間処理シート!X8="",SUM(G$3:G8),中間処理シート!X8))</f>
        <v>2</v>
      </c>
    </row>
    <row r="10" spans="1:11">
      <c r="B10" s="40" t="str">
        <f ca="1">中間処理シート!O11</f>
        <v/>
      </c>
      <c r="C10" s="41" t="str">
        <f ca="1">中間処理シート!P11</f>
        <v/>
      </c>
      <c r="D10" s="43" t="str">
        <f ca="1">中間処理シート!Q11</f>
        <v/>
      </c>
      <c r="F10" s="40" t="str">
        <f>IF(OR(F9="計",F9=""),"",IF(中間処理シート!W9="",F$26,中間処理シート!W9))</f>
        <v>プログラム提供</v>
      </c>
      <c r="G10" s="43">
        <f>IF(OR(F9="計",F9=""),"",IF(中間処理シート!X9="",SUM(G$3:G9),中間処理シート!X9))</f>
        <v>5</v>
      </c>
    </row>
    <row r="11" spans="1:11">
      <c r="B11" s="40" t="str">
        <f ca="1">中間処理シート!O12</f>
        <v/>
      </c>
      <c r="C11" s="41" t="str">
        <f ca="1">中間処理シート!P12</f>
        <v/>
      </c>
      <c r="D11" s="43" t="str">
        <f ca="1">中間処理シート!Q12</f>
        <v/>
      </c>
      <c r="F11" s="40" t="str">
        <f>IF(OR(F10="計",F10=""),"",IF(中間処理シート!W10="",F$26,中間処理シート!W10))</f>
        <v>技術提供</v>
      </c>
      <c r="G11" s="43">
        <f>IF(OR(F10="計",F10=""),"",IF(中間処理シート!X10="",SUM(G$3:G10),中間処理シート!X10))</f>
        <v>4</v>
      </c>
    </row>
    <row r="12" spans="1:11">
      <c r="B12" s="40" t="str">
        <f ca="1">中間処理シート!O13</f>
        <v/>
      </c>
      <c r="C12" s="41" t="str">
        <f ca="1">中間処理シート!P13</f>
        <v/>
      </c>
      <c r="D12" s="43" t="str">
        <f ca="1">中間処理シート!Q13</f>
        <v/>
      </c>
      <c r="F12" s="40" t="str">
        <f>IF(OR(F11="計",F11=""),"",IF(中間処理シート!W11="",F$26,中間処理シート!W11))</f>
        <v>その他の案件</v>
      </c>
      <c r="G12" s="43">
        <f>IF(OR(F11="計",F11=""),"",IF(中間処理シート!X11="",SUM(G$3:G11),中間処理シート!X11))</f>
        <v>3</v>
      </c>
    </row>
    <row r="13" spans="1:11">
      <c r="B13" s="40" t="str">
        <f ca="1">中間処理シート!O14</f>
        <v/>
      </c>
      <c r="C13" s="41" t="str">
        <f ca="1">中間処理シート!P14</f>
        <v/>
      </c>
      <c r="D13" s="43" t="str">
        <f ca="1">中間処理シート!Q14</f>
        <v/>
      </c>
      <c r="F13" s="40" t="str">
        <f>IF(OR(F12="計",F12=""),"",IF(中間処理シート!W12="",F$26,中間処理シート!W12))</f>
        <v>計</v>
      </c>
      <c r="G13" s="43">
        <f>IF(OR(F12="計",F12=""),"",IF(中間処理シート!X12="",SUM(G$3:G12),中間処理シート!X12))</f>
        <v>105</v>
      </c>
    </row>
    <row r="14" spans="1:11">
      <c r="B14" s="40" t="str">
        <f ca="1">中間処理シート!O15</f>
        <v/>
      </c>
      <c r="C14" s="41" t="str">
        <f ca="1">中間処理シート!P15</f>
        <v/>
      </c>
      <c r="D14" s="43" t="str">
        <f ca="1">中間処理シート!Q15</f>
        <v/>
      </c>
      <c r="F14" s="40" t="str">
        <f>IF(OR(F13="計",F13=""),"",IF(中間処理シート!W13="",F$26,中間処理シート!W13))</f>
        <v/>
      </c>
      <c r="G14" s="43" t="str">
        <f>IF(OR(F13="計",F13=""),"",IF(中間処理シート!X13="",SUM(G$3:G13),中間処理シート!X13))</f>
        <v/>
      </c>
    </row>
    <row r="15" spans="1:11">
      <c r="B15" s="40" t="str">
        <f ca="1">中間処理シート!O16</f>
        <v/>
      </c>
      <c r="C15" s="41" t="str">
        <f ca="1">中間処理シート!P16</f>
        <v/>
      </c>
      <c r="D15" s="43" t="str">
        <f ca="1">中間処理シート!Q16</f>
        <v/>
      </c>
      <c r="F15" s="40" t="str">
        <f>IF(OR(F14="計",F14=""),"",IF(中間処理シート!W14="",F$26,中間処理シート!W14))</f>
        <v/>
      </c>
      <c r="G15" s="43" t="str">
        <f>IF(OR(F14="計",F14=""),"",IF(中間処理シート!X14="",SUM(G$3:G14),中間処理シート!X14))</f>
        <v/>
      </c>
    </row>
    <row r="16" spans="1:11">
      <c r="B16" s="40" t="str">
        <f ca="1">中間処理シート!O17</f>
        <v/>
      </c>
      <c r="C16" s="41" t="str">
        <f ca="1">中間処理シート!P17</f>
        <v/>
      </c>
      <c r="D16" s="43" t="str">
        <f ca="1">中間処理シート!Q17</f>
        <v/>
      </c>
      <c r="F16" s="40" t="str">
        <f>IF(OR(F15="計",F15=""),"",IF(中間処理シート!W15="",F$26,中間処理シート!W15))</f>
        <v/>
      </c>
      <c r="G16" s="43" t="str">
        <f>IF(OR(F15="計",F15=""),"",IF(中間処理シート!X15="",SUM(G$3:G15),中間処理シート!X15))</f>
        <v/>
      </c>
    </row>
    <row r="17" spans="2:7">
      <c r="B17" s="40" t="str">
        <f ca="1">中間処理シート!O18</f>
        <v/>
      </c>
      <c r="C17" s="41" t="str">
        <f ca="1">中間処理シート!P18</f>
        <v/>
      </c>
      <c r="D17" s="43" t="str">
        <f ca="1">中間処理シート!Q18</f>
        <v/>
      </c>
      <c r="F17" s="40" t="str">
        <f>IF(OR(F16="計",F16=""),"",IF(中間処理シート!W16="",F$26,中間処理シート!W16))</f>
        <v/>
      </c>
      <c r="G17" s="43" t="str">
        <f>IF(OR(F16="計",F16=""),"",IF(中間処理シート!X16="",SUM(G$3:G16),中間処理シート!X16))</f>
        <v/>
      </c>
    </row>
    <row r="18" spans="2:7">
      <c r="B18" s="40" t="str">
        <f ca="1">中間処理シート!O19</f>
        <v/>
      </c>
      <c r="C18" s="41" t="str">
        <f ca="1">中間処理シート!P19</f>
        <v/>
      </c>
      <c r="D18" s="43" t="str">
        <f ca="1">中間処理シート!Q19</f>
        <v/>
      </c>
      <c r="F18" s="40" t="str">
        <f>IF(OR(F17="計",F17=""),"",IF(中間処理シート!W17="",F$26,中間処理シート!W17))</f>
        <v/>
      </c>
      <c r="G18" s="43" t="str">
        <f>IF(OR(F17="計",F17=""),"",IF(中間処理シート!X17="",SUM(G$3:G17),中間処理シート!X17))</f>
        <v/>
      </c>
    </row>
    <row r="19" spans="2:7">
      <c r="B19" s="40" t="str">
        <f ca="1">中間処理シート!O20</f>
        <v/>
      </c>
      <c r="C19" s="41" t="str">
        <f ca="1">中間処理シート!P20</f>
        <v/>
      </c>
      <c r="D19" s="43" t="str">
        <f ca="1">中間処理シート!Q20</f>
        <v/>
      </c>
      <c r="F19" s="40" t="str">
        <f>IF(OR(F18="計",F18=""),"",IF(中間処理シート!W18="",F$26,中間処理シート!W18))</f>
        <v/>
      </c>
      <c r="G19" s="43" t="str">
        <f>IF(OR(F18="計",F18=""),"",IF(中間処理シート!X18="",SUM(G$3:G18),中間処理シート!X18))</f>
        <v/>
      </c>
    </row>
    <row r="20" spans="2:7">
      <c r="B20" s="40" t="str">
        <f ca="1">中間処理シート!O21</f>
        <v/>
      </c>
      <c r="C20" s="41" t="str">
        <f ca="1">中間処理シート!P21</f>
        <v/>
      </c>
      <c r="D20" s="43" t="str">
        <f ca="1">中間処理シート!Q21</f>
        <v/>
      </c>
      <c r="F20" s="40" t="str">
        <f>IF(OR(F19="計",F19=""),"",IF(中間処理シート!W19="",F$26,中間処理シート!W19))</f>
        <v/>
      </c>
      <c r="G20" s="43" t="str">
        <f>IF(OR(F19="計",F19=""),"",IF(中間処理シート!X19="",SUM(G$3:G19),中間処理シート!X19))</f>
        <v/>
      </c>
    </row>
    <row r="21" spans="2:7">
      <c r="B21" s="40" t="str">
        <f ca="1">中間処理シート!O22</f>
        <v/>
      </c>
      <c r="C21" s="41" t="str">
        <f ca="1">中間処理シート!P22</f>
        <v/>
      </c>
      <c r="D21" s="43" t="str">
        <f ca="1">中間処理シート!Q22</f>
        <v/>
      </c>
      <c r="F21" s="40" t="str">
        <f>IF(OR(F20="計",F20=""),"",IF(中間処理シート!W20="",F$26,中間処理シート!W20))</f>
        <v/>
      </c>
      <c r="G21" s="43" t="str">
        <f>IF(OR(F20="計",F20=""),"",IF(中間処理シート!X20="",SUM(G$3:G20),中間処理シート!X20))</f>
        <v/>
      </c>
    </row>
    <row r="22" spans="2:7">
      <c r="B22" s="40" t="str">
        <f ca="1">中間処理シート!O23</f>
        <v/>
      </c>
      <c r="C22" s="41" t="str">
        <f ca="1">中間処理シート!P23</f>
        <v/>
      </c>
      <c r="D22" s="43" t="str">
        <f ca="1">中間処理シート!Q23</f>
        <v/>
      </c>
      <c r="F22" s="40" t="str">
        <f>IF(OR(F21="計",F21=""),"",IF(中間処理シート!W21="",F$26,中間処理シート!W21))</f>
        <v/>
      </c>
      <c r="G22" s="43" t="str">
        <f>IF(OR(F21="計",F21=""),"",IF(中間処理シート!X21="",SUM(G$3:G21),中間処理シート!X21))</f>
        <v/>
      </c>
    </row>
    <row r="23" spans="2:7">
      <c r="B23" t="str">
        <f ca="1">中間処理シート!O24</f>
        <v/>
      </c>
      <c r="C23" t="str">
        <f ca="1">中間処理シート!P24</f>
        <v/>
      </c>
      <c r="D23" t="str">
        <f ca="1">中間処理シート!Q24</f>
        <v/>
      </c>
      <c r="F23" s="40" t="str">
        <f>IF(OR(F22="計",F22=""),"",IF(中間処理シート!W22="",F$26,中間処理シート!W22))</f>
        <v/>
      </c>
      <c r="G23" s="43" t="str">
        <f>IF(OR(F22="計",F22=""),"",IF(中間処理シート!X22="",SUM(G$3:G22),中間処理シート!X22))</f>
        <v/>
      </c>
    </row>
    <row r="24" spans="2:7" ht="19.5" thickBot="1">
      <c r="B24" t="str">
        <f ca="1">中間処理シート!O25</f>
        <v/>
      </c>
      <c r="C24" t="str">
        <f ca="1">中間処理シート!P25</f>
        <v/>
      </c>
      <c r="D24" t="str">
        <f ca="1">中間処理シート!Q25</f>
        <v/>
      </c>
    </row>
    <row r="25" spans="2:7" ht="20.25" thickTop="1" thickBot="1">
      <c r="B25" s="60" t="s">
        <v>1229</v>
      </c>
      <c r="C25" s="61">
        <f ca="1">中間処理シート!P27</f>
        <v>0</v>
      </c>
      <c r="D25" s="62">
        <f ca="1">中間処理シート!Q27</f>
        <v>0</v>
      </c>
    </row>
    <row r="26" spans="2:7" ht="20.25" thickTop="1" thickBot="1">
      <c r="B26" s="60" t="s">
        <v>1229</v>
      </c>
      <c r="C26" s="61">
        <f ca="1">SUM(C3:C22)</f>
        <v>0</v>
      </c>
      <c r="D26" s="62">
        <f ca="1">SUM(D3:D22)</f>
        <v>0</v>
      </c>
      <c r="F26" s="60" t="s">
        <v>1229</v>
      </c>
      <c r="G26" s="63"/>
    </row>
    <row r="27" spans="2:7" ht="19.5" thickTop="1"/>
  </sheetData>
  <phoneticPr fontId="6"/>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121"/>
  <sheetViews>
    <sheetView showGridLines="0" view="pageBreakPreview" zoomScale="90" zoomScaleNormal="85" zoomScaleSheetLayoutView="90" workbookViewId="0">
      <selection activeCell="T199" sqref="T199"/>
    </sheetView>
  </sheetViews>
  <sheetFormatPr defaultRowHeight="13.5"/>
  <cols>
    <col min="1" max="1" width="5.625" style="64" customWidth="1"/>
    <col min="2" max="3" width="15.125" style="64" customWidth="1"/>
    <col min="4" max="4" width="43.125" style="64" customWidth="1"/>
    <col min="5" max="5" width="10.625" style="64" customWidth="1"/>
    <col min="6" max="6" width="82.625" style="64" bestFit="1" customWidth="1"/>
    <col min="7" max="7" width="7.375" style="66" customWidth="1"/>
    <col min="8" max="256" width="9" style="64"/>
    <col min="257" max="257" width="5.625" style="64" customWidth="1"/>
    <col min="258" max="259" width="15.125" style="64" customWidth="1"/>
    <col min="260" max="260" width="43.125" style="64" customWidth="1"/>
    <col min="261" max="261" width="10.625" style="64" customWidth="1"/>
    <col min="262" max="262" width="82.625" style="64" bestFit="1" customWidth="1"/>
    <col min="263" max="263" width="7.375" style="64" customWidth="1"/>
    <col min="264" max="512" width="9" style="64"/>
    <col min="513" max="513" width="5.625" style="64" customWidth="1"/>
    <col min="514" max="515" width="15.125" style="64" customWidth="1"/>
    <col min="516" max="516" width="43.125" style="64" customWidth="1"/>
    <col min="517" max="517" width="10.625" style="64" customWidth="1"/>
    <col min="518" max="518" width="82.625" style="64" bestFit="1" customWidth="1"/>
    <col min="519" max="519" width="7.375" style="64" customWidth="1"/>
    <col min="520" max="768" width="9" style="64"/>
    <col min="769" max="769" width="5.625" style="64" customWidth="1"/>
    <col min="770" max="771" width="15.125" style="64" customWidth="1"/>
    <col min="772" max="772" width="43.125" style="64" customWidth="1"/>
    <col min="773" max="773" width="10.625" style="64" customWidth="1"/>
    <col min="774" max="774" width="82.625" style="64" bestFit="1" customWidth="1"/>
    <col min="775" max="775" width="7.375" style="64" customWidth="1"/>
    <col min="776" max="1024" width="9" style="64"/>
    <col min="1025" max="1025" width="5.625" style="64" customWidth="1"/>
    <col min="1026" max="1027" width="15.125" style="64" customWidth="1"/>
    <col min="1028" max="1028" width="43.125" style="64" customWidth="1"/>
    <col min="1029" max="1029" width="10.625" style="64" customWidth="1"/>
    <col min="1030" max="1030" width="82.625" style="64" bestFit="1" customWidth="1"/>
    <col min="1031" max="1031" width="7.375" style="64" customWidth="1"/>
    <col min="1032" max="1280" width="9" style="64"/>
    <col min="1281" max="1281" width="5.625" style="64" customWidth="1"/>
    <col min="1282" max="1283" width="15.125" style="64" customWidth="1"/>
    <col min="1284" max="1284" width="43.125" style="64" customWidth="1"/>
    <col min="1285" max="1285" width="10.625" style="64" customWidth="1"/>
    <col min="1286" max="1286" width="82.625" style="64" bestFit="1" customWidth="1"/>
    <col min="1287" max="1287" width="7.375" style="64" customWidth="1"/>
    <col min="1288" max="1536" width="9" style="64"/>
    <col min="1537" max="1537" width="5.625" style="64" customWidth="1"/>
    <col min="1538" max="1539" width="15.125" style="64" customWidth="1"/>
    <col min="1540" max="1540" width="43.125" style="64" customWidth="1"/>
    <col min="1541" max="1541" width="10.625" style="64" customWidth="1"/>
    <col min="1542" max="1542" width="82.625" style="64" bestFit="1" customWidth="1"/>
    <col min="1543" max="1543" width="7.375" style="64" customWidth="1"/>
    <col min="1544" max="1792" width="9" style="64"/>
    <col min="1793" max="1793" width="5.625" style="64" customWidth="1"/>
    <col min="1794" max="1795" width="15.125" style="64" customWidth="1"/>
    <col min="1796" max="1796" width="43.125" style="64" customWidth="1"/>
    <col min="1797" max="1797" width="10.625" style="64" customWidth="1"/>
    <col min="1798" max="1798" width="82.625" style="64" bestFit="1" customWidth="1"/>
    <col min="1799" max="1799" width="7.375" style="64" customWidth="1"/>
    <col min="1800" max="2048" width="9" style="64"/>
    <col min="2049" max="2049" width="5.625" style="64" customWidth="1"/>
    <col min="2050" max="2051" width="15.125" style="64" customWidth="1"/>
    <col min="2052" max="2052" width="43.125" style="64" customWidth="1"/>
    <col min="2053" max="2053" width="10.625" style="64" customWidth="1"/>
    <col min="2054" max="2054" width="82.625" style="64" bestFit="1" customWidth="1"/>
    <col min="2055" max="2055" width="7.375" style="64" customWidth="1"/>
    <col min="2056" max="2304" width="9" style="64"/>
    <col min="2305" max="2305" width="5.625" style="64" customWidth="1"/>
    <col min="2306" max="2307" width="15.125" style="64" customWidth="1"/>
    <col min="2308" max="2308" width="43.125" style="64" customWidth="1"/>
    <col min="2309" max="2309" width="10.625" style="64" customWidth="1"/>
    <col min="2310" max="2310" width="82.625" style="64" bestFit="1" customWidth="1"/>
    <col min="2311" max="2311" width="7.375" style="64" customWidth="1"/>
    <col min="2312" max="2560" width="9" style="64"/>
    <col min="2561" max="2561" width="5.625" style="64" customWidth="1"/>
    <col min="2562" max="2563" width="15.125" style="64" customWidth="1"/>
    <col min="2564" max="2564" width="43.125" style="64" customWidth="1"/>
    <col min="2565" max="2565" width="10.625" style="64" customWidth="1"/>
    <col min="2566" max="2566" width="82.625" style="64" bestFit="1" customWidth="1"/>
    <col min="2567" max="2567" width="7.375" style="64" customWidth="1"/>
    <col min="2568" max="2816" width="9" style="64"/>
    <col min="2817" max="2817" width="5.625" style="64" customWidth="1"/>
    <col min="2818" max="2819" width="15.125" style="64" customWidth="1"/>
    <col min="2820" max="2820" width="43.125" style="64" customWidth="1"/>
    <col min="2821" max="2821" width="10.625" style="64" customWidth="1"/>
    <col min="2822" max="2822" width="82.625" style="64" bestFit="1" customWidth="1"/>
    <col min="2823" max="2823" width="7.375" style="64" customWidth="1"/>
    <col min="2824" max="3072" width="9" style="64"/>
    <col min="3073" max="3073" width="5.625" style="64" customWidth="1"/>
    <col min="3074" max="3075" width="15.125" style="64" customWidth="1"/>
    <col min="3076" max="3076" width="43.125" style="64" customWidth="1"/>
    <col min="3077" max="3077" width="10.625" style="64" customWidth="1"/>
    <col min="3078" max="3078" width="82.625" style="64" bestFit="1" customWidth="1"/>
    <col min="3079" max="3079" width="7.375" style="64" customWidth="1"/>
    <col min="3080" max="3328" width="9" style="64"/>
    <col min="3329" max="3329" width="5.625" style="64" customWidth="1"/>
    <col min="3330" max="3331" width="15.125" style="64" customWidth="1"/>
    <col min="3332" max="3332" width="43.125" style="64" customWidth="1"/>
    <col min="3333" max="3333" width="10.625" style="64" customWidth="1"/>
    <col min="3334" max="3334" width="82.625" style="64" bestFit="1" customWidth="1"/>
    <col min="3335" max="3335" width="7.375" style="64" customWidth="1"/>
    <col min="3336" max="3584" width="9" style="64"/>
    <col min="3585" max="3585" width="5.625" style="64" customWidth="1"/>
    <col min="3586" max="3587" width="15.125" style="64" customWidth="1"/>
    <col min="3588" max="3588" width="43.125" style="64" customWidth="1"/>
    <col min="3589" max="3589" width="10.625" style="64" customWidth="1"/>
    <col min="3590" max="3590" width="82.625" style="64" bestFit="1" customWidth="1"/>
    <col min="3591" max="3591" width="7.375" style="64" customWidth="1"/>
    <col min="3592" max="3840" width="9" style="64"/>
    <col min="3841" max="3841" width="5.625" style="64" customWidth="1"/>
    <col min="3842" max="3843" width="15.125" style="64" customWidth="1"/>
    <col min="3844" max="3844" width="43.125" style="64" customWidth="1"/>
    <col min="3845" max="3845" width="10.625" style="64" customWidth="1"/>
    <col min="3846" max="3846" width="82.625" style="64" bestFit="1" customWidth="1"/>
    <col min="3847" max="3847" width="7.375" style="64" customWidth="1"/>
    <col min="3848" max="4096" width="9" style="64"/>
    <col min="4097" max="4097" width="5.625" style="64" customWidth="1"/>
    <col min="4098" max="4099" width="15.125" style="64" customWidth="1"/>
    <col min="4100" max="4100" width="43.125" style="64" customWidth="1"/>
    <col min="4101" max="4101" width="10.625" style="64" customWidth="1"/>
    <col min="4102" max="4102" width="82.625" style="64" bestFit="1" customWidth="1"/>
    <col min="4103" max="4103" width="7.375" style="64" customWidth="1"/>
    <col min="4104" max="4352" width="9" style="64"/>
    <col min="4353" max="4353" width="5.625" style="64" customWidth="1"/>
    <col min="4354" max="4355" width="15.125" style="64" customWidth="1"/>
    <col min="4356" max="4356" width="43.125" style="64" customWidth="1"/>
    <col min="4357" max="4357" width="10.625" style="64" customWidth="1"/>
    <col min="4358" max="4358" width="82.625" style="64" bestFit="1" customWidth="1"/>
    <col min="4359" max="4359" width="7.375" style="64" customWidth="1"/>
    <col min="4360" max="4608" width="9" style="64"/>
    <col min="4609" max="4609" width="5.625" style="64" customWidth="1"/>
    <col min="4610" max="4611" width="15.125" style="64" customWidth="1"/>
    <col min="4612" max="4612" width="43.125" style="64" customWidth="1"/>
    <col min="4613" max="4613" width="10.625" style="64" customWidth="1"/>
    <col min="4614" max="4614" width="82.625" style="64" bestFit="1" customWidth="1"/>
    <col min="4615" max="4615" width="7.375" style="64" customWidth="1"/>
    <col min="4616" max="4864" width="9" style="64"/>
    <col min="4865" max="4865" width="5.625" style="64" customWidth="1"/>
    <col min="4866" max="4867" width="15.125" style="64" customWidth="1"/>
    <col min="4868" max="4868" width="43.125" style="64" customWidth="1"/>
    <col min="4869" max="4869" width="10.625" style="64" customWidth="1"/>
    <col min="4870" max="4870" width="82.625" style="64" bestFit="1" customWidth="1"/>
    <col min="4871" max="4871" width="7.375" style="64" customWidth="1"/>
    <col min="4872" max="5120" width="9" style="64"/>
    <col min="5121" max="5121" width="5.625" style="64" customWidth="1"/>
    <col min="5122" max="5123" width="15.125" style="64" customWidth="1"/>
    <col min="5124" max="5124" width="43.125" style="64" customWidth="1"/>
    <col min="5125" max="5125" width="10.625" style="64" customWidth="1"/>
    <col min="5126" max="5126" width="82.625" style="64" bestFit="1" customWidth="1"/>
    <col min="5127" max="5127" width="7.375" style="64" customWidth="1"/>
    <col min="5128" max="5376" width="9" style="64"/>
    <col min="5377" max="5377" width="5.625" style="64" customWidth="1"/>
    <col min="5378" max="5379" width="15.125" style="64" customWidth="1"/>
    <col min="5380" max="5380" width="43.125" style="64" customWidth="1"/>
    <col min="5381" max="5381" width="10.625" style="64" customWidth="1"/>
    <col min="5382" max="5382" width="82.625" style="64" bestFit="1" customWidth="1"/>
    <col min="5383" max="5383" width="7.375" style="64" customWidth="1"/>
    <col min="5384" max="5632" width="9" style="64"/>
    <col min="5633" max="5633" width="5.625" style="64" customWidth="1"/>
    <col min="5634" max="5635" width="15.125" style="64" customWidth="1"/>
    <col min="5636" max="5636" width="43.125" style="64" customWidth="1"/>
    <col min="5637" max="5637" width="10.625" style="64" customWidth="1"/>
    <col min="5638" max="5638" width="82.625" style="64" bestFit="1" customWidth="1"/>
    <col min="5639" max="5639" width="7.375" style="64" customWidth="1"/>
    <col min="5640" max="5888" width="9" style="64"/>
    <col min="5889" max="5889" width="5.625" style="64" customWidth="1"/>
    <col min="5890" max="5891" width="15.125" style="64" customWidth="1"/>
    <col min="5892" max="5892" width="43.125" style="64" customWidth="1"/>
    <col min="5893" max="5893" width="10.625" style="64" customWidth="1"/>
    <col min="5894" max="5894" width="82.625" style="64" bestFit="1" customWidth="1"/>
    <col min="5895" max="5895" width="7.375" style="64" customWidth="1"/>
    <col min="5896" max="6144" width="9" style="64"/>
    <col min="6145" max="6145" width="5.625" style="64" customWidth="1"/>
    <col min="6146" max="6147" width="15.125" style="64" customWidth="1"/>
    <col min="6148" max="6148" width="43.125" style="64" customWidth="1"/>
    <col min="6149" max="6149" width="10.625" style="64" customWidth="1"/>
    <col min="6150" max="6150" width="82.625" style="64" bestFit="1" customWidth="1"/>
    <col min="6151" max="6151" width="7.375" style="64" customWidth="1"/>
    <col min="6152" max="6400" width="9" style="64"/>
    <col min="6401" max="6401" width="5.625" style="64" customWidth="1"/>
    <col min="6402" max="6403" width="15.125" style="64" customWidth="1"/>
    <col min="6404" max="6404" width="43.125" style="64" customWidth="1"/>
    <col min="6405" max="6405" width="10.625" style="64" customWidth="1"/>
    <col min="6406" max="6406" width="82.625" style="64" bestFit="1" customWidth="1"/>
    <col min="6407" max="6407" width="7.375" style="64" customWidth="1"/>
    <col min="6408" max="6656" width="9" style="64"/>
    <col min="6657" max="6657" width="5.625" style="64" customWidth="1"/>
    <col min="6658" max="6659" width="15.125" style="64" customWidth="1"/>
    <col min="6660" max="6660" width="43.125" style="64" customWidth="1"/>
    <col min="6661" max="6661" width="10.625" style="64" customWidth="1"/>
    <col min="6662" max="6662" width="82.625" style="64" bestFit="1" customWidth="1"/>
    <col min="6663" max="6663" width="7.375" style="64" customWidth="1"/>
    <col min="6664" max="6912" width="9" style="64"/>
    <col min="6913" max="6913" width="5.625" style="64" customWidth="1"/>
    <col min="6914" max="6915" width="15.125" style="64" customWidth="1"/>
    <col min="6916" max="6916" width="43.125" style="64" customWidth="1"/>
    <col min="6917" max="6917" width="10.625" style="64" customWidth="1"/>
    <col min="6918" max="6918" width="82.625" style="64" bestFit="1" customWidth="1"/>
    <col min="6919" max="6919" width="7.375" style="64" customWidth="1"/>
    <col min="6920" max="7168" width="9" style="64"/>
    <col min="7169" max="7169" width="5.625" style="64" customWidth="1"/>
    <col min="7170" max="7171" width="15.125" style="64" customWidth="1"/>
    <col min="7172" max="7172" width="43.125" style="64" customWidth="1"/>
    <col min="7173" max="7173" width="10.625" style="64" customWidth="1"/>
    <col min="7174" max="7174" width="82.625" style="64" bestFit="1" customWidth="1"/>
    <col min="7175" max="7175" width="7.375" style="64" customWidth="1"/>
    <col min="7176" max="7424" width="9" style="64"/>
    <col min="7425" max="7425" width="5.625" style="64" customWidth="1"/>
    <col min="7426" max="7427" width="15.125" style="64" customWidth="1"/>
    <col min="7428" max="7428" width="43.125" style="64" customWidth="1"/>
    <col min="7429" max="7429" width="10.625" style="64" customWidth="1"/>
    <col min="7430" max="7430" width="82.625" style="64" bestFit="1" customWidth="1"/>
    <col min="7431" max="7431" width="7.375" style="64" customWidth="1"/>
    <col min="7432" max="7680" width="9" style="64"/>
    <col min="7681" max="7681" width="5.625" style="64" customWidth="1"/>
    <col min="7682" max="7683" width="15.125" style="64" customWidth="1"/>
    <col min="7684" max="7684" width="43.125" style="64" customWidth="1"/>
    <col min="7685" max="7685" width="10.625" style="64" customWidth="1"/>
    <col min="7686" max="7686" width="82.625" style="64" bestFit="1" customWidth="1"/>
    <col min="7687" max="7687" width="7.375" style="64" customWidth="1"/>
    <col min="7688" max="7936" width="9" style="64"/>
    <col min="7937" max="7937" width="5.625" style="64" customWidth="1"/>
    <col min="7938" max="7939" width="15.125" style="64" customWidth="1"/>
    <col min="7940" max="7940" width="43.125" style="64" customWidth="1"/>
    <col min="7941" max="7941" width="10.625" style="64" customWidth="1"/>
    <col min="7942" max="7942" width="82.625" style="64" bestFit="1" customWidth="1"/>
    <col min="7943" max="7943" width="7.375" style="64" customWidth="1"/>
    <col min="7944" max="8192" width="9" style="64"/>
    <col min="8193" max="8193" width="5.625" style="64" customWidth="1"/>
    <col min="8194" max="8195" width="15.125" style="64" customWidth="1"/>
    <col min="8196" max="8196" width="43.125" style="64" customWidth="1"/>
    <col min="8197" max="8197" width="10.625" style="64" customWidth="1"/>
    <col min="8198" max="8198" width="82.625" style="64" bestFit="1" customWidth="1"/>
    <col min="8199" max="8199" width="7.375" style="64" customWidth="1"/>
    <col min="8200" max="8448" width="9" style="64"/>
    <col min="8449" max="8449" width="5.625" style="64" customWidth="1"/>
    <col min="8450" max="8451" width="15.125" style="64" customWidth="1"/>
    <col min="8452" max="8452" width="43.125" style="64" customWidth="1"/>
    <col min="8453" max="8453" width="10.625" style="64" customWidth="1"/>
    <col min="8454" max="8454" width="82.625" style="64" bestFit="1" customWidth="1"/>
    <col min="8455" max="8455" width="7.375" style="64" customWidth="1"/>
    <col min="8456" max="8704" width="9" style="64"/>
    <col min="8705" max="8705" width="5.625" style="64" customWidth="1"/>
    <col min="8706" max="8707" width="15.125" style="64" customWidth="1"/>
    <col min="8708" max="8708" width="43.125" style="64" customWidth="1"/>
    <col min="8709" max="8709" width="10.625" style="64" customWidth="1"/>
    <col min="8710" max="8710" width="82.625" style="64" bestFit="1" customWidth="1"/>
    <col min="8711" max="8711" width="7.375" style="64" customWidth="1"/>
    <col min="8712" max="8960" width="9" style="64"/>
    <col min="8961" max="8961" width="5.625" style="64" customWidth="1"/>
    <col min="8962" max="8963" width="15.125" style="64" customWidth="1"/>
    <col min="8964" max="8964" width="43.125" style="64" customWidth="1"/>
    <col min="8965" max="8965" width="10.625" style="64" customWidth="1"/>
    <col min="8966" max="8966" width="82.625" style="64" bestFit="1" customWidth="1"/>
    <col min="8967" max="8967" width="7.375" style="64" customWidth="1"/>
    <col min="8968" max="9216" width="9" style="64"/>
    <col min="9217" max="9217" width="5.625" style="64" customWidth="1"/>
    <col min="9218" max="9219" width="15.125" style="64" customWidth="1"/>
    <col min="9220" max="9220" width="43.125" style="64" customWidth="1"/>
    <col min="9221" max="9221" width="10.625" style="64" customWidth="1"/>
    <col min="9222" max="9222" width="82.625" style="64" bestFit="1" customWidth="1"/>
    <col min="9223" max="9223" width="7.375" style="64" customWidth="1"/>
    <col min="9224" max="9472" width="9" style="64"/>
    <col min="9473" max="9473" width="5.625" style="64" customWidth="1"/>
    <col min="9474" max="9475" width="15.125" style="64" customWidth="1"/>
    <col min="9476" max="9476" width="43.125" style="64" customWidth="1"/>
    <col min="9477" max="9477" width="10.625" style="64" customWidth="1"/>
    <col min="9478" max="9478" width="82.625" style="64" bestFit="1" customWidth="1"/>
    <col min="9479" max="9479" width="7.375" style="64" customWidth="1"/>
    <col min="9480" max="9728" width="9" style="64"/>
    <col min="9729" max="9729" width="5.625" style="64" customWidth="1"/>
    <col min="9730" max="9731" width="15.125" style="64" customWidth="1"/>
    <col min="9732" max="9732" width="43.125" style="64" customWidth="1"/>
    <col min="9733" max="9733" width="10.625" style="64" customWidth="1"/>
    <col min="9734" max="9734" width="82.625" style="64" bestFit="1" customWidth="1"/>
    <col min="9735" max="9735" width="7.375" style="64" customWidth="1"/>
    <col min="9736" max="9984" width="9" style="64"/>
    <col min="9985" max="9985" width="5.625" style="64" customWidth="1"/>
    <col min="9986" max="9987" width="15.125" style="64" customWidth="1"/>
    <col min="9988" max="9988" width="43.125" style="64" customWidth="1"/>
    <col min="9989" max="9989" width="10.625" style="64" customWidth="1"/>
    <col min="9990" max="9990" width="82.625" style="64" bestFit="1" customWidth="1"/>
    <col min="9991" max="9991" width="7.375" style="64" customWidth="1"/>
    <col min="9992" max="10240" width="9" style="64"/>
    <col min="10241" max="10241" width="5.625" style="64" customWidth="1"/>
    <col min="10242" max="10243" width="15.125" style="64" customWidth="1"/>
    <col min="10244" max="10244" width="43.125" style="64" customWidth="1"/>
    <col min="10245" max="10245" width="10.625" style="64" customWidth="1"/>
    <col min="10246" max="10246" width="82.625" style="64" bestFit="1" customWidth="1"/>
    <col min="10247" max="10247" width="7.375" style="64" customWidth="1"/>
    <col min="10248" max="10496" width="9" style="64"/>
    <col min="10497" max="10497" width="5.625" style="64" customWidth="1"/>
    <col min="10498" max="10499" width="15.125" style="64" customWidth="1"/>
    <col min="10500" max="10500" width="43.125" style="64" customWidth="1"/>
    <col min="10501" max="10501" width="10.625" style="64" customWidth="1"/>
    <col min="10502" max="10502" width="82.625" style="64" bestFit="1" customWidth="1"/>
    <col min="10503" max="10503" width="7.375" style="64" customWidth="1"/>
    <col min="10504" max="10752" width="9" style="64"/>
    <col min="10753" max="10753" width="5.625" style="64" customWidth="1"/>
    <col min="10754" max="10755" width="15.125" style="64" customWidth="1"/>
    <col min="10756" max="10756" width="43.125" style="64" customWidth="1"/>
    <col min="10757" max="10757" width="10.625" style="64" customWidth="1"/>
    <col min="10758" max="10758" width="82.625" style="64" bestFit="1" customWidth="1"/>
    <col min="10759" max="10759" width="7.375" style="64" customWidth="1"/>
    <col min="10760" max="11008" width="9" style="64"/>
    <col min="11009" max="11009" width="5.625" style="64" customWidth="1"/>
    <col min="11010" max="11011" width="15.125" style="64" customWidth="1"/>
    <col min="11012" max="11012" width="43.125" style="64" customWidth="1"/>
    <col min="11013" max="11013" width="10.625" style="64" customWidth="1"/>
    <col min="11014" max="11014" width="82.625" style="64" bestFit="1" customWidth="1"/>
    <col min="11015" max="11015" width="7.375" style="64" customWidth="1"/>
    <col min="11016" max="11264" width="9" style="64"/>
    <col min="11265" max="11265" width="5.625" style="64" customWidth="1"/>
    <col min="11266" max="11267" width="15.125" style="64" customWidth="1"/>
    <col min="11268" max="11268" width="43.125" style="64" customWidth="1"/>
    <col min="11269" max="11269" width="10.625" style="64" customWidth="1"/>
    <col min="11270" max="11270" width="82.625" style="64" bestFit="1" customWidth="1"/>
    <col min="11271" max="11271" width="7.375" style="64" customWidth="1"/>
    <col min="11272" max="11520" width="9" style="64"/>
    <col min="11521" max="11521" width="5.625" style="64" customWidth="1"/>
    <col min="11522" max="11523" width="15.125" style="64" customWidth="1"/>
    <col min="11524" max="11524" width="43.125" style="64" customWidth="1"/>
    <col min="11525" max="11525" width="10.625" style="64" customWidth="1"/>
    <col min="11526" max="11526" width="82.625" style="64" bestFit="1" customWidth="1"/>
    <col min="11527" max="11527" width="7.375" style="64" customWidth="1"/>
    <col min="11528" max="11776" width="9" style="64"/>
    <col min="11777" max="11777" width="5.625" style="64" customWidth="1"/>
    <col min="11778" max="11779" width="15.125" style="64" customWidth="1"/>
    <col min="11780" max="11780" width="43.125" style="64" customWidth="1"/>
    <col min="11781" max="11781" width="10.625" style="64" customWidth="1"/>
    <col min="11782" max="11782" width="82.625" style="64" bestFit="1" customWidth="1"/>
    <col min="11783" max="11783" width="7.375" style="64" customWidth="1"/>
    <col min="11784" max="12032" width="9" style="64"/>
    <col min="12033" max="12033" width="5.625" style="64" customWidth="1"/>
    <col min="12034" max="12035" width="15.125" style="64" customWidth="1"/>
    <col min="12036" max="12036" width="43.125" style="64" customWidth="1"/>
    <col min="12037" max="12037" width="10.625" style="64" customWidth="1"/>
    <col min="12038" max="12038" width="82.625" style="64" bestFit="1" customWidth="1"/>
    <col min="12039" max="12039" width="7.375" style="64" customWidth="1"/>
    <col min="12040" max="12288" width="9" style="64"/>
    <col min="12289" max="12289" width="5.625" style="64" customWidth="1"/>
    <col min="12290" max="12291" width="15.125" style="64" customWidth="1"/>
    <col min="12292" max="12292" width="43.125" style="64" customWidth="1"/>
    <col min="12293" max="12293" width="10.625" style="64" customWidth="1"/>
    <col min="12294" max="12294" width="82.625" style="64" bestFit="1" customWidth="1"/>
    <col min="12295" max="12295" width="7.375" style="64" customWidth="1"/>
    <col min="12296" max="12544" width="9" style="64"/>
    <col min="12545" max="12545" width="5.625" style="64" customWidth="1"/>
    <col min="12546" max="12547" width="15.125" style="64" customWidth="1"/>
    <col min="12548" max="12548" width="43.125" style="64" customWidth="1"/>
    <col min="12549" max="12549" width="10.625" style="64" customWidth="1"/>
    <col min="12550" max="12550" width="82.625" style="64" bestFit="1" customWidth="1"/>
    <col min="12551" max="12551" width="7.375" style="64" customWidth="1"/>
    <col min="12552" max="12800" width="9" style="64"/>
    <col min="12801" max="12801" width="5.625" style="64" customWidth="1"/>
    <col min="12802" max="12803" width="15.125" style="64" customWidth="1"/>
    <col min="12804" max="12804" width="43.125" style="64" customWidth="1"/>
    <col min="12805" max="12805" width="10.625" style="64" customWidth="1"/>
    <col min="12806" max="12806" width="82.625" style="64" bestFit="1" customWidth="1"/>
    <col min="12807" max="12807" width="7.375" style="64" customWidth="1"/>
    <col min="12808" max="13056" width="9" style="64"/>
    <col min="13057" max="13057" width="5.625" style="64" customWidth="1"/>
    <col min="13058" max="13059" width="15.125" style="64" customWidth="1"/>
    <col min="13060" max="13060" width="43.125" style="64" customWidth="1"/>
    <col min="13061" max="13061" width="10.625" style="64" customWidth="1"/>
    <col min="13062" max="13062" width="82.625" style="64" bestFit="1" customWidth="1"/>
    <col min="13063" max="13063" width="7.375" style="64" customWidth="1"/>
    <col min="13064" max="13312" width="9" style="64"/>
    <col min="13313" max="13313" width="5.625" style="64" customWidth="1"/>
    <col min="13314" max="13315" width="15.125" style="64" customWidth="1"/>
    <col min="13316" max="13316" width="43.125" style="64" customWidth="1"/>
    <col min="13317" max="13317" width="10.625" style="64" customWidth="1"/>
    <col min="13318" max="13318" width="82.625" style="64" bestFit="1" customWidth="1"/>
    <col min="13319" max="13319" width="7.375" style="64" customWidth="1"/>
    <col min="13320" max="13568" width="9" style="64"/>
    <col min="13569" max="13569" width="5.625" style="64" customWidth="1"/>
    <col min="13570" max="13571" width="15.125" style="64" customWidth="1"/>
    <col min="13572" max="13572" width="43.125" style="64" customWidth="1"/>
    <col min="13573" max="13573" width="10.625" style="64" customWidth="1"/>
    <col min="13574" max="13574" width="82.625" style="64" bestFit="1" customWidth="1"/>
    <col min="13575" max="13575" width="7.375" style="64" customWidth="1"/>
    <col min="13576" max="13824" width="9" style="64"/>
    <col min="13825" max="13825" width="5.625" style="64" customWidth="1"/>
    <col min="13826" max="13827" width="15.125" style="64" customWidth="1"/>
    <col min="13828" max="13828" width="43.125" style="64" customWidth="1"/>
    <col min="13829" max="13829" width="10.625" style="64" customWidth="1"/>
    <col min="13830" max="13830" width="82.625" style="64" bestFit="1" customWidth="1"/>
    <col min="13831" max="13831" width="7.375" style="64" customWidth="1"/>
    <col min="13832" max="14080" width="9" style="64"/>
    <col min="14081" max="14081" width="5.625" style="64" customWidth="1"/>
    <col min="14082" max="14083" width="15.125" style="64" customWidth="1"/>
    <col min="14084" max="14084" width="43.125" style="64" customWidth="1"/>
    <col min="14085" max="14085" width="10.625" style="64" customWidth="1"/>
    <col min="14086" max="14086" width="82.625" style="64" bestFit="1" customWidth="1"/>
    <col min="14087" max="14087" width="7.375" style="64" customWidth="1"/>
    <col min="14088" max="14336" width="9" style="64"/>
    <col min="14337" max="14337" width="5.625" style="64" customWidth="1"/>
    <col min="14338" max="14339" width="15.125" style="64" customWidth="1"/>
    <col min="14340" max="14340" width="43.125" style="64" customWidth="1"/>
    <col min="14341" max="14341" width="10.625" style="64" customWidth="1"/>
    <col min="14342" max="14342" width="82.625" style="64" bestFit="1" customWidth="1"/>
    <col min="14343" max="14343" width="7.375" style="64" customWidth="1"/>
    <col min="14344" max="14592" width="9" style="64"/>
    <col min="14593" max="14593" width="5.625" style="64" customWidth="1"/>
    <col min="14594" max="14595" width="15.125" style="64" customWidth="1"/>
    <col min="14596" max="14596" width="43.125" style="64" customWidth="1"/>
    <col min="14597" max="14597" width="10.625" style="64" customWidth="1"/>
    <col min="14598" max="14598" width="82.625" style="64" bestFit="1" customWidth="1"/>
    <col min="14599" max="14599" width="7.375" style="64" customWidth="1"/>
    <col min="14600" max="14848" width="9" style="64"/>
    <col min="14849" max="14849" width="5.625" style="64" customWidth="1"/>
    <col min="14850" max="14851" width="15.125" style="64" customWidth="1"/>
    <col min="14852" max="14852" width="43.125" style="64" customWidth="1"/>
    <col min="14853" max="14853" width="10.625" style="64" customWidth="1"/>
    <col min="14854" max="14854" width="82.625" style="64" bestFit="1" customWidth="1"/>
    <col min="14855" max="14855" width="7.375" style="64" customWidth="1"/>
    <col min="14856" max="15104" width="9" style="64"/>
    <col min="15105" max="15105" width="5.625" style="64" customWidth="1"/>
    <col min="15106" max="15107" width="15.125" style="64" customWidth="1"/>
    <col min="15108" max="15108" width="43.125" style="64" customWidth="1"/>
    <col min="15109" max="15109" width="10.625" style="64" customWidth="1"/>
    <col min="15110" max="15110" width="82.625" style="64" bestFit="1" customWidth="1"/>
    <col min="15111" max="15111" width="7.375" style="64" customWidth="1"/>
    <col min="15112" max="15360" width="9" style="64"/>
    <col min="15361" max="15361" width="5.625" style="64" customWidth="1"/>
    <col min="15362" max="15363" width="15.125" style="64" customWidth="1"/>
    <col min="15364" max="15364" width="43.125" style="64" customWidth="1"/>
    <col min="15365" max="15365" width="10.625" style="64" customWidth="1"/>
    <col min="15366" max="15366" width="82.625" style="64" bestFit="1" customWidth="1"/>
    <col min="15367" max="15367" width="7.375" style="64" customWidth="1"/>
    <col min="15368" max="15616" width="9" style="64"/>
    <col min="15617" max="15617" width="5.625" style="64" customWidth="1"/>
    <col min="15618" max="15619" width="15.125" style="64" customWidth="1"/>
    <col min="15620" max="15620" width="43.125" style="64" customWidth="1"/>
    <col min="15621" max="15621" width="10.625" style="64" customWidth="1"/>
    <col min="15622" max="15622" width="82.625" style="64" bestFit="1" customWidth="1"/>
    <col min="15623" max="15623" width="7.375" style="64" customWidth="1"/>
    <col min="15624" max="15872" width="9" style="64"/>
    <col min="15873" max="15873" width="5.625" style="64" customWidth="1"/>
    <col min="15874" max="15875" width="15.125" style="64" customWidth="1"/>
    <col min="15876" max="15876" width="43.125" style="64" customWidth="1"/>
    <col min="15877" max="15877" width="10.625" style="64" customWidth="1"/>
    <col min="15878" max="15878" width="82.625" style="64" bestFit="1" customWidth="1"/>
    <col min="15879" max="15879" width="7.375" style="64" customWidth="1"/>
    <col min="15880" max="16128" width="9" style="64"/>
    <col min="16129" max="16129" width="5.625" style="64" customWidth="1"/>
    <col min="16130" max="16131" width="15.125" style="64" customWidth="1"/>
    <col min="16132" max="16132" width="43.125" style="64" customWidth="1"/>
    <col min="16133" max="16133" width="10.625" style="64" customWidth="1"/>
    <col min="16134" max="16134" width="82.625" style="64" bestFit="1" customWidth="1"/>
    <col min="16135" max="16135" width="7.375" style="64" customWidth="1"/>
    <col min="16136" max="16384" width="9" style="64"/>
  </cols>
  <sheetData>
    <row r="1" spans="2:7" ht="14.25">
      <c r="F1" s="65" t="s">
        <v>1230</v>
      </c>
    </row>
    <row r="2" spans="2:7" ht="17.25">
      <c r="B2" s="67" t="s">
        <v>1231</v>
      </c>
      <c r="E2" s="68"/>
      <c r="F2" s="69">
        <v>44013</v>
      </c>
    </row>
    <row r="3" spans="2:7" ht="14.25" thickBot="1">
      <c r="F3" s="70" t="s">
        <v>1232</v>
      </c>
    </row>
    <row r="4" spans="2:7" ht="13.5" customHeight="1">
      <c r="B4" s="153" t="s">
        <v>1233</v>
      </c>
      <c r="C4" s="154"/>
      <c r="D4" s="155"/>
      <c r="E4" s="159" t="s">
        <v>1234</v>
      </c>
      <c r="F4" s="159" t="s">
        <v>1235</v>
      </c>
    </row>
    <row r="5" spans="2:7" ht="14.25" thickBot="1">
      <c r="B5" s="156"/>
      <c r="C5" s="157"/>
      <c r="D5" s="158"/>
      <c r="E5" s="160"/>
      <c r="F5" s="160"/>
    </row>
    <row r="6" spans="2:7" s="74" customFormat="1" ht="14.25" customHeight="1" thickTop="1">
      <c r="B6" s="161" t="s">
        <v>1236</v>
      </c>
      <c r="C6" s="162"/>
      <c r="D6" s="71"/>
      <c r="E6" s="13" t="s">
        <v>1237</v>
      </c>
      <c r="F6" s="72" t="s">
        <v>1238</v>
      </c>
      <c r="G6" s="73"/>
    </row>
    <row r="7" spans="2:7" s="74" customFormat="1">
      <c r="B7" s="75"/>
      <c r="C7" s="76" t="s">
        <v>1239</v>
      </c>
      <c r="D7" s="77"/>
      <c r="E7" s="19" t="s">
        <v>1074</v>
      </c>
      <c r="F7" s="78" t="s">
        <v>1240</v>
      </c>
      <c r="G7" s="73"/>
    </row>
    <row r="8" spans="2:7" s="74" customFormat="1">
      <c r="B8" s="75"/>
      <c r="C8" s="76" t="s">
        <v>1241</v>
      </c>
      <c r="D8" s="77"/>
      <c r="E8" s="19" t="s">
        <v>1076</v>
      </c>
      <c r="F8" s="78" t="s">
        <v>1242</v>
      </c>
      <c r="G8" s="73"/>
    </row>
    <row r="9" spans="2:7" s="74" customFormat="1">
      <c r="B9" s="75"/>
      <c r="C9" s="76" t="s">
        <v>1243</v>
      </c>
      <c r="D9" s="77"/>
      <c r="E9" s="19" t="s">
        <v>1077</v>
      </c>
      <c r="F9" s="78" t="s">
        <v>1244</v>
      </c>
      <c r="G9" s="73"/>
    </row>
    <row r="10" spans="2:7" s="74" customFormat="1">
      <c r="B10" s="75"/>
      <c r="C10" s="76" t="s">
        <v>1245</v>
      </c>
      <c r="D10" s="77"/>
      <c r="E10" s="19" t="s">
        <v>1080</v>
      </c>
      <c r="F10" s="78" t="s">
        <v>1246</v>
      </c>
      <c r="G10" s="73"/>
    </row>
    <row r="11" spans="2:7" s="74" customFormat="1">
      <c r="B11" s="75"/>
      <c r="C11" s="79" t="s">
        <v>1247</v>
      </c>
      <c r="D11" s="77"/>
      <c r="E11" s="19" t="s">
        <v>1081</v>
      </c>
      <c r="F11" s="78" t="s">
        <v>1248</v>
      </c>
      <c r="G11" s="73"/>
    </row>
    <row r="12" spans="2:7" s="74" customFormat="1">
      <c r="B12" s="75"/>
      <c r="C12" s="80"/>
      <c r="D12" s="81" t="s">
        <v>1249</v>
      </c>
      <c r="E12" s="19" t="s">
        <v>1083</v>
      </c>
      <c r="F12" s="78" t="s">
        <v>1250</v>
      </c>
      <c r="G12" s="73"/>
    </row>
    <row r="13" spans="2:7" s="74" customFormat="1">
      <c r="B13" s="75"/>
      <c r="C13" s="82" t="s">
        <v>1251</v>
      </c>
      <c r="D13" s="77"/>
      <c r="E13" s="19" t="s">
        <v>1084</v>
      </c>
      <c r="F13" s="78" t="s">
        <v>1252</v>
      </c>
      <c r="G13" s="73"/>
    </row>
    <row r="14" spans="2:7" s="74" customFormat="1">
      <c r="B14" s="75"/>
      <c r="C14" s="76" t="s">
        <v>1253</v>
      </c>
      <c r="D14" s="77"/>
      <c r="E14" s="19" t="s">
        <v>886</v>
      </c>
      <c r="F14" s="78" t="s">
        <v>1254</v>
      </c>
      <c r="G14" s="73"/>
    </row>
    <row r="15" spans="2:7" s="74" customFormat="1">
      <c r="B15" s="75"/>
      <c r="C15" s="76" t="s">
        <v>1255</v>
      </c>
      <c r="D15" s="77"/>
      <c r="E15" s="19" t="s">
        <v>604</v>
      </c>
      <c r="F15" s="78" t="s">
        <v>1256</v>
      </c>
      <c r="G15" s="73"/>
    </row>
    <row r="16" spans="2:7" s="74" customFormat="1">
      <c r="B16" s="75"/>
      <c r="C16" s="76" t="s">
        <v>1257</v>
      </c>
      <c r="D16" s="77"/>
      <c r="E16" s="19" t="s">
        <v>408</v>
      </c>
      <c r="F16" s="78" t="s">
        <v>1258</v>
      </c>
      <c r="G16" s="73"/>
    </row>
    <row r="17" spans="2:7" s="74" customFormat="1">
      <c r="B17" s="75"/>
      <c r="C17" s="76" t="s">
        <v>1259</v>
      </c>
      <c r="D17" s="77"/>
      <c r="E17" s="19" t="s">
        <v>1088</v>
      </c>
      <c r="F17" s="78" t="s">
        <v>1260</v>
      </c>
      <c r="G17" s="73"/>
    </row>
    <row r="18" spans="2:7" s="74" customFormat="1">
      <c r="B18" s="75"/>
      <c r="C18" s="79" t="s">
        <v>1261</v>
      </c>
      <c r="D18" s="83"/>
      <c r="E18" s="23" t="s">
        <v>1089</v>
      </c>
      <c r="F18" s="84" t="s">
        <v>1262</v>
      </c>
      <c r="G18" s="73"/>
    </row>
    <row r="19" spans="2:7" s="74" customFormat="1" ht="14.25" thickBot="1">
      <c r="B19" s="75"/>
      <c r="C19" s="79" t="s">
        <v>1263</v>
      </c>
      <c r="D19" s="83"/>
      <c r="E19" s="23" t="s">
        <v>1091</v>
      </c>
      <c r="F19" s="84" t="s">
        <v>1264</v>
      </c>
      <c r="G19" s="73"/>
    </row>
    <row r="20" spans="2:7" s="74" customFormat="1">
      <c r="B20" s="85" t="s">
        <v>1265</v>
      </c>
      <c r="C20" s="86"/>
      <c r="D20" s="87"/>
      <c r="E20" s="24" t="s">
        <v>1266</v>
      </c>
      <c r="F20" s="88" t="s">
        <v>1267</v>
      </c>
      <c r="G20" s="73"/>
    </row>
    <row r="21" spans="2:7" s="74" customFormat="1">
      <c r="B21" s="75"/>
      <c r="C21" s="76" t="s">
        <v>1268</v>
      </c>
      <c r="D21" s="77"/>
      <c r="E21" s="19" t="s">
        <v>1093</v>
      </c>
      <c r="F21" s="78" t="s">
        <v>1269</v>
      </c>
      <c r="G21" s="73"/>
    </row>
    <row r="22" spans="2:7" s="74" customFormat="1">
      <c r="B22" s="75"/>
      <c r="C22" s="76" t="s">
        <v>1270</v>
      </c>
      <c r="D22" s="77"/>
      <c r="E22" s="19" t="s">
        <v>1095</v>
      </c>
      <c r="F22" s="78" t="s">
        <v>1271</v>
      </c>
      <c r="G22" s="73"/>
    </row>
    <row r="23" spans="2:7" s="74" customFormat="1">
      <c r="B23" s="75"/>
      <c r="C23" s="76" t="s">
        <v>1272</v>
      </c>
      <c r="D23" s="77"/>
      <c r="E23" s="19" t="s">
        <v>1096</v>
      </c>
      <c r="F23" s="78" t="s">
        <v>1273</v>
      </c>
      <c r="G23" s="73"/>
    </row>
    <row r="24" spans="2:7" s="74" customFormat="1" ht="13.5" customHeight="1">
      <c r="B24" s="75"/>
      <c r="C24" s="163" t="s">
        <v>1274</v>
      </c>
      <c r="D24" s="164"/>
      <c r="E24" s="25" t="s">
        <v>1097</v>
      </c>
      <c r="F24" s="78" t="s">
        <v>1275</v>
      </c>
      <c r="G24" s="73"/>
    </row>
    <row r="25" spans="2:7" s="74" customFormat="1">
      <c r="B25" s="75"/>
      <c r="C25" s="89" t="s">
        <v>1276</v>
      </c>
      <c r="D25" s="90"/>
      <c r="E25" s="25" t="s">
        <v>1099</v>
      </c>
      <c r="F25" s="91" t="s">
        <v>1277</v>
      </c>
      <c r="G25" s="73"/>
    </row>
    <row r="26" spans="2:7" s="74" customFormat="1">
      <c r="B26" s="75"/>
      <c r="C26" s="89" t="s">
        <v>1278</v>
      </c>
      <c r="D26" s="90"/>
      <c r="E26" s="25" t="s">
        <v>1100</v>
      </c>
      <c r="F26" s="91" t="s">
        <v>1279</v>
      </c>
      <c r="G26" s="73"/>
    </row>
    <row r="27" spans="2:7" s="74" customFormat="1">
      <c r="B27" s="75"/>
      <c r="C27" s="89" t="s">
        <v>1280</v>
      </c>
      <c r="D27" s="92"/>
      <c r="E27" s="26" t="s">
        <v>1101</v>
      </c>
      <c r="F27" s="93" t="s">
        <v>1281</v>
      </c>
      <c r="G27" s="73"/>
    </row>
    <row r="28" spans="2:7" s="74" customFormat="1" ht="14.25" thickBot="1">
      <c r="B28" s="75"/>
      <c r="C28" s="79" t="s">
        <v>1282</v>
      </c>
      <c r="D28" s="83"/>
      <c r="E28" s="23" t="s">
        <v>1102</v>
      </c>
      <c r="F28" s="84" t="s">
        <v>1264</v>
      </c>
      <c r="G28" s="73"/>
    </row>
    <row r="29" spans="2:7" s="74" customFormat="1">
      <c r="B29" s="85" t="s">
        <v>1283</v>
      </c>
      <c r="C29" s="86"/>
      <c r="D29" s="87"/>
      <c r="E29" s="24" t="s">
        <v>1284</v>
      </c>
      <c r="F29" s="88" t="s">
        <v>1285</v>
      </c>
      <c r="G29" s="73"/>
    </row>
    <row r="30" spans="2:7" s="74" customFormat="1">
      <c r="B30" s="75"/>
      <c r="C30" s="76" t="s">
        <v>1286</v>
      </c>
      <c r="D30" s="77"/>
      <c r="E30" s="19" t="s">
        <v>1105</v>
      </c>
      <c r="F30" s="78" t="s">
        <v>1287</v>
      </c>
      <c r="G30" s="73"/>
    </row>
    <row r="31" spans="2:7" s="74" customFormat="1" ht="13.5" customHeight="1">
      <c r="B31" s="75"/>
      <c r="C31" s="79" t="s">
        <v>1268</v>
      </c>
      <c r="D31" s="77"/>
      <c r="E31" s="19" t="s">
        <v>47</v>
      </c>
      <c r="F31" s="78" t="s">
        <v>1269</v>
      </c>
      <c r="G31" s="73"/>
    </row>
    <row r="32" spans="2:7" s="74" customFormat="1" ht="14.25">
      <c r="B32" s="75"/>
      <c r="C32" s="94"/>
      <c r="D32" s="95" t="s">
        <v>1288</v>
      </c>
      <c r="E32" s="19" t="s">
        <v>1106</v>
      </c>
      <c r="F32" s="78" t="s">
        <v>1289</v>
      </c>
      <c r="G32" s="73"/>
    </row>
    <row r="33" spans="2:7" s="74" customFormat="1" ht="14.25">
      <c r="B33" s="75"/>
      <c r="C33" s="80"/>
      <c r="D33" s="95" t="s">
        <v>1290</v>
      </c>
      <c r="E33" s="19" t="s">
        <v>1107</v>
      </c>
      <c r="F33" s="78" t="s">
        <v>1291</v>
      </c>
      <c r="G33" s="73"/>
    </row>
    <row r="34" spans="2:7" s="74" customFormat="1">
      <c r="B34" s="75"/>
      <c r="C34" s="76" t="s">
        <v>1292</v>
      </c>
      <c r="D34" s="77"/>
      <c r="E34" s="19" t="s">
        <v>1108</v>
      </c>
      <c r="F34" s="78" t="s">
        <v>1293</v>
      </c>
      <c r="G34" s="73"/>
    </row>
    <row r="35" spans="2:7" s="74" customFormat="1">
      <c r="B35" s="75"/>
      <c r="C35" s="76" t="s">
        <v>1294</v>
      </c>
      <c r="D35" s="77"/>
      <c r="E35" s="19" t="s">
        <v>101</v>
      </c>
      <c r="F35" s="78" t="s">
        <v>1295</v>
      </c>
      <c r="G35" s="73"/>
    </row>
    <row r="36" spans="2:7" s="74" customFormat="1">
      <c r="B36" s="75"/>
      <c r="C36" s="76" t="s">
        <v>1296</v>
      </c>
      <c r="D36" s="77"/>
      <c r="E36" s="19" t="s">
        <v>1109</v>
      </c>
      <c r="F36" s="78" t="s">
        <v>1297</v>
      </c>
      <c r="G36" s="73"/>
    </row>
    <row r="37" spans="2:7" s="74" customFormat="1">
      <c r="B37" s="75"/>
      <c r="C37" s="76" t="s">
        <v>1298</v>
      </c>
      <c r="D37" s="77"/>
      <c r="E37" s="19" t="s">
        <v>32</v>
      </c>
      <c r="F37" s="78" t="s">
        <v>1299</v>
      </c>
      <c r="G37" s="73"/>
    </row>
    <row r="38" spans="2:7" s="74" customFormat="1">
      <c r="B38" s="75"/>
      <c r="C38" s="76" t="s">
        <v>1300</v>
      </c>
      <c r="D38" s="77"/>
      <c r="E38" s="19" t="s">
        <v>128</v>
      </c>
      <c r="F38" s="78" t="s">
        <v>1301</v>
      </c>
      <c r="G38" s="73"/>
    </row>
    <row r="39" spans="2:7" s="74" customFormat="1">
      <c r="B39" s="75"/>
      <c r="C39" s="79" t="s">
        <v>1302</v>
      </c>
      <c r="D39" s="77"/>
      <c r="E39" s="19" t="s">
        <v>1110</v>
      </c>
      <c r="F39" s="78" t="s">
        <v>1303</v>
      </c>
      <c r="G39" s="73"/>
    </row>
    <row r="40" spans="2:7" s="74" customFormat="1" ht="14.25">
      <c r="B40" s="75"/>
      <c r="C40" s="80"/>
      <c r="D40" s="95" t="s">
        <v>1304</v>
      </c>
      <c r="E40" s="19" t="s">
        <v>1111</v>
      </c>
      <c r="F40" s="78" t="s">
        <v>1305</v>
      </c>
      <c r="G40" s="73"/>
    </row>
    <row r="41" spans="2:7" s="74" customFormat="1" ht="14.25">
      <c r="B41" s="75"/>
      <c r="C41" s="96" t="s">
        <v>1306</v>
      </c>
      <c r="D41" s="97"/>
      <c r="E41" s="19" t="s">
        <v>1112</v>
      </c>
      <c r="F41" s="78" t="s">
        <v>1307</v>
      </c>
      <c r="G41" s="73"/>
    </row>
    <row r="42" spans="2:7" s="74" customFormat="1">
      <c r="B42" s="75"/>
      <c r="C42" s="76" t="s">
        <v>1308</v>
      </c>
      <c r="D42" s="77"/>
      <c r="E42" s="19" t="s">
        <v>1113</v>
      </c>
      <c r="F42" s="78" t="s">
        <v>1309</v>
      </c>
      <c r="G42" s="73"/>
    </row>
    <row r="43" spans="2:7" s="74" customFormat="1" ht="14.25" thickBot="1">
      <c r="B43" s="98"/>
      <c r="C43" s="99" t="s">
        <v>1263</v>
      </c>
      <c r="D43" s="100"/>
      <c r="E43" s="30" t="s">
        <v>1114</v>
      </c>
      <c r="F43" s="101" t="s">
        <v>1264</v>
      </c>
      <c r="G43" s="73"/>
    </row>
    <row r="44" spans="2:7" s="74" customFormat="1">
      <c r="B44" s="102" t="s">
        <v>1310</v>
      </c>
      <c r="C44" s="103"/>
      <c r="D44" s="104"/>
      <c r="E44" s="31" t="s">
        <v>1311</v>
      </c>
      <c r="F44" s="105" t="s">
        <v>1312</v>
      </c>
      <c r="G44" s="73"/>
    </row>
    <row r="45" spans="2:7" s="74" customFormat="1">
      <c r="B45" s="75"/>
      <c r="C45" s="76" t="s">
        <v>1313</v>
      </c>
      <c r="D45" s="77"/>
      <c r="E45" s="25" t="s">
        <v>1116</v>
      </c>
      <c r="F45" s="78" t="s">
        <v>1314</v>
      </c>
      <c r="G45" s="73"/>
    </row>
    <row r="46" spans="2:7" s="74" customFormat="1">
      <c r="B46" s="75"/>
      <c r="C46" s="76" t="s">
        <v>1315</v>
      </c>
      <c r="D46" s="77"/>
      <c r="E46" s="19" t="s">
        <v>1117</v>
      </c>
      <c r="F46" s="106" t="s">
        <v>1316</v>
      </c>
      <c r="G46" s="73"/>
    </row>
    <row r="47" spans="2:7" s="74" customFormat="1">
      <c r="B47" s="75"/>
      <c r="C47" s="76" t="s">
        <v>1317</v>
      </c>
      <c r="D47" s="77"/>
      <c r="E47" s="19" t="s">
        <v>1118</v>
      </c>
      <c r="F47" s="78" t="s">
        <v>1318</v>
      </c>
      <c r="G47" s="73"/>
    </row>
    <row r="48" spans="2:7" s="74" customFormat="1" ht="14.25" thickBot="1">
      <c r="B48" s="75"/>
      <c r="C48" s="79" t="s">
        <v>1263</v>
      </c>
      <c r="D48" s="83"/>
      <c r="E48" s="23" t="s">
        <v>1119</v>
      </c>
      <c r="F48" s="101" t="s">
        <v>1264</v>
      </c>
      <c r="G48" s="73"/>
    </row>
    <row r="49" spans="2:7" s="74" customFormat="1">
      <c r="B49" s="85" t="s">
        <v>1319</v>
      </c>
      <c r="C49" s="86"/>
      <c r="D49" s="87"/>
      <c r="E49" s="24" t="s">
        <v>1320</v>
      </c>
      <c r="F49" s="88" t="s">
        <v>1321</v>
      </c>
      <c r="G49" s="73"/>
    </row>
    <row r="50" spans="2:7" s="74" customFormat="1">
      <c r="B50" s="75"/>
      <c r="C50" s="76" t="s">
        <v>1322</v>
      </c>
      <c r="D50" s="77"/>
      <c r="E50" s="25" t="s">
        <v>1121</v>
      </c>
      <c r="F50" s="78" t="s">
        <v>1323</v>
      </c>
      <c r="G50" s="73"/>
    </row>
    <row r="51" spans="2:7" s="74" customFormat="1">
      <c r="B51" s="75"/>
      <c r="C51" s="76" t="s">
        <v>1324</v>
      </c>
      <c r="D51" s="77"/>
      <c r="E51" s="19" t="s">
        <v>368</v>
      </c>
      <c r="F51" s="78" t="s">
        <v>1325</v>
      </c>
      <c r="G51" s="73"/>
    </row>
    <row r="52" spans="2:7" s="74" customFormat="1">
      <c r="B52" s="75"/>
      <c r="C52" s="76" t="s">
        <v>1326</v>
      </c>
      <c r="D52" s="77"/>
      <c r="E52" s="19" t="s">
        <v>1122</v>
      </c>
      <c r="F52" s="78" t="s">
        <v>1327</v>
      </c>
      <c r="G52" s="73"/>
    </row>
    <row r="53" spans="2:7" s="74" customFormat="1" ht="14.25" thickBot="1">
      <c r="B53" s="98"/>
      <c r="C53" s="99" t="s">
        <v>1263</v>
      </c>
      <c r="D53" s="100"/>
      <c r="E53" s="30" t="s">
        <v>1123</v>
      </c>
      <c r="F53" s="101" t="s">
        <v>1264</v>
      </c>
      <c r="G53" s="73"/>
    </row>
    <row r="54" spans="2:7" s="74" customFormat="1">
      <c r="B54" s="102" t="s">
        <v>1328</v>
      </c>
      <c r="C54" s="103"/>
      <c r="D54" s="104"/>
      <c r="E54" s="31" t="s">
        <v>1329</v>
      </c>
      <c r="F54" s="105" t="s">
        <v>1330</v>
      </c>
      <c r="G54" s="73"/>
    </row>
    <row r="55" spans="2:7" s="74" customFormat="1">
      <c r="B55" s="75"/>
      <c r="C55" s="76" t="s">
        <v>1331</v>
      </c>
      <c r="D55" s="77"/>
      <c r="E55" s="19" t="s">
        <v>1125</v>
      </c>
      <c r="F55" s="78" t="s">
        <v>1332</v>
      </c>
      <c r="G55" s="73"/>
    </row>
    <row r="56" spans="2:7" s="74" customFormat="1">
      <c r="B56" s="75"/>
      <c r="C56" s="76" t="s">
        <v>1333</v>
      </c>
      <c r="D56" s="77"/>
      <c r="E56" s="19" t="s">
        <v>1126</v>
      </c>
      <c r="F56" s="78" t="s">
        <v>1334</v>
      </c>
      <c r="G56" s="73"/>
    </row>
    <row r="57" spans="2:7" s="74" customFormat="1">
      <c r="B57" s="75"/>
      <c r="C57" s="107" t="s">
        <v>1335</v>
      </c>
      <c r="D57" s="90"/>
      <c r="E57" s="19" t="s">
        <v>1127</v>
      </c>
      <c r="F57" s="78" t="s">
        <v>1336</v>
      </c>
      <c r="G57" s="73"/>
    </row>
    <row r="58" spans="2:7" s="74" customFormat="1">
      <c r="B58" s="75"/>
      <c r="C58" s="76" t="s">
        <v>1337</v>
      </c>
      <c r="D58" s="77"/>
      <c r="E58" s="19" t="s">
        <v>1128</v>
      </c>
      <c r="F58" s="78" t="s">
        <v>1338</v>
      </c>
      <c r="G58" s="73"/>
    </row>
    <row r="59" spans="2:7" s="74" customFormat="1">
      <c r="B59" s="75"/>
      <c r="C59" s="76" t="s">
        <v>1339</v>
      </c>
      <c r="D59" s="77"/>
      <c r="E59" s="19" t="s">
        <v>1129</v>
      </c>
      <c r="F59" s="78" t="s">
        <v>1340</v>
      </c>
      <c r="G59" s="73"/>
    </row>
    <row r="60" spans="2:7" s="74" customFormat="1" ht="14.25" thickBot="1">
      <c r="B60" s="75"/>
      <c r="C60" s="108" t="s">
        <v>1282</v>
      </c>
      <c r="D60" s="109"/>
      <c r="E60" s="23" t="s">
        <v>1130</v>
      </c>
      <c r="F60" s="84" t="s">
        <v>1264</v>
      </c>
      <c r="G60" s="73"/>
    </row>
    <row r="61" spans="2:7" s="74" customFormat="1">
      <c r="B61" s="85" t="s">
        <v>1341</v>
      </c>
      <c r="C61" s="86"/>
      <c r="D61" s="87"/>
      <c r="E61" s="24" t="s">
        <v>1342</v>
      </c>
      <c r="F61" s="88" t="s">
        <v>1343</v>
      </c>
      <c r="G61" s="73"/>
    </row>
    <row r="62" spans="2:7" s="74" customFormat="1">
      <c r="B62" s="75"/>
      <c r="C62" s="110" t="s">
        <v>1344</v>
      </c>
      <c r="D62" s="111"/>
      <c r="E62" s="19" t="s">
        <v>1132</v>
      </c>
      <c r="F62" s="78" t="s">
        <v>1345</v>
      </c>
      <c r="G62" s="73"/>
    </row>
    <row r="63" spans="2:7" s="74" customFormat="1">
      <c r="B63" s="75"/>
      <c r="C63" s="76" t="s">
        <v>1346</v>
      </c>
      <c r="D63" s="77"/>
      <c r="E63" s="19" t="s">
        <v>1133</v>
      </c>
      <c r="F63" s="78" t="s">
        <v>1347</v>
      </c>
      <c r="G63" s="73"/>
    </row>
    <row r="64" spans="2:7" s="74" customFormat="1">
      <c r="B64" s="75"/>
      <c r="C64" s="76" t="s">
        <v>1348</v>
      </c>
      <c r="D64" s="77"/>
      <c r="E64" s="19" t="s">
        <v>1134</v>
      </c>
      <c r="F64" s="78" t="s">
        <v>1349</v>
      </c>
      <c r="G64" s="73"/>
    </row>
    <row r="65" spans="2:7" s="74" customFormat="1">
      <c r="B65" s="75"/>
      <c r="C65" s="89" t="s">
        <v>1350</v>
      </c>
      <c r="D65" s="92"/>
      <c r="E65" s="25" t="s">
        <v>1135</v>
      </c>
      <c r="F65" s="93" t="s">
        <v>1351</v>
      </c>
      <c r="G65" s="73"/>
    </row>
    <row r="66" spans="2:7" s="74" customFormat="1">
      <c r="B66" s="75"/>
      <c r="C66" s="108" t="s">
        <v>1352</v>
      </c>
      <c r="D66" s="109"/>
      <c r="E66" s="23" t="s">
        <v>1136</v>
      </c>
      <c r="F66" s="84" t="s">
        <v>1353</v>
      </c>
      <c r="G66" s="73"/>
    </row>
    <row r="67" spans="2:7" s="74" customFormat="1" ht="14.25" thickBot="1">
      <c r="B67" s="75"/>
      <c r="C67" s="108" t="s">
        <v>1282</v>
      </c>
      <c r="D67" s="109"/>
      <c r="E67" s="23" t="s">
        <v>1137</v>
      </c>
      <c r="F67" s="84" t="s">
        <v>1354</v>
      </c>
      <c r="G67" s="73"/>
    </row>
    <row r="68" spans="2:7" s="74" customFormat="1">
      <c r="B68" s="85" t="s">
        <v>1355</v>
      </c>
      <c r="C68" s="86"/>
      <c r="D68" s="87"/>
      <c r="E68" s="24" t="s">
        <v>1356</v>
      </c>
      <c r="F68" s="88" t="s">
        <v>1357</v>
      </c>
      <c r="G68" s="73"/>
    </row>
    <row r="69" spans="2:7" s="74" customFormat="1">
      <c r="B69" s="75"/>
      <c r="C69" s="76" t="s">
        <v>1358</v>
      </c>
      <c r="D69" s="77"/>
      <c r="E69" s="19" t="s">
        <v>1139</v>
      </c>
      <c r="F69" s="78" t="s">
        <v>1359</v>
      </c>
      <c r="G69" s="73"/>
    </row>
    <row r="70" spans="2:7" s="74" customFormat="1">
      <c r="B70" s="75"/>
      <c r="C70" s="76" t="s">
        <v>1360</v>
      </c>
      <c r="D70" s="77"/>
      <c r="E70" s="19" t="s">
        <v>1140</v>
      </c>
      <c r="F70" s="78" t="s">
        <v>1361</v>
      </c>
      <c r="G70" s="73"/>
    </row>
    <row r="71" spans="2:7" s="74" customFormat="1">
      <c r="B71" s="75"/>
      <c r="C71" s="76" t="s">
        <v>1362</v>
      </c>
      <c r="D71" s="77"/>
      <c r="E71" s="19" t="s">
        <v>1141</v>
      </c>
      <c r="F71" s="106" t="s">
        <v>1363</v>
      </c>
      <c r="G71" s="73"/>
    </row>
    <row r="72" spans="2:7" s="74" customFormat="1" ht="14.25" thickBot="1">
      <c r="B72" s="98"/>
      <c r="C72" s="112" t="s">
        <v>1282</v>
      </c>
      <c r="D72" s="113"/>
      <c r="E72" s="30" t="s">
        <v>1142</v>
      </c>
      <c r="F72" s="101" t="s">
        <v>1264</v>
      </c>
      <c r="G72" s="73"/>
    </row>
    <row r="73" spans="2:7" s="74" customFormat="1">
      <c r="B73" s="102" t="s">
        <v>1364</v>
      </c>
      <c r="C73" s="103"/>
      <c r="D73" s="104"/>
      <c r="E73" s="31" t="s">
        <v>1365</v>
      </c>
      <c r="F73" s="105" t="s">
        <v>1366</v>
      </c>
      <c r="G73" s="73"/>
    </row>
    <row r="74" spans="2:7" s="74" customFormat="1">
      <c r="B74" s="75"/>
      <c r="C74" s="110" t="s">
        <v>1367</v>
      </c>
      <c r="D74" s="111"/>
      <c r="E74" s="19" t="s">
        <v>1144</v>
      </c>
      <c r="F74" s="78" t="s">
        <v>1368</v>
      </c>
      <c r="G74" s="73"/>
    </row>
    <row r="75" spans="2:7" s="74" customFormat="1">
      <c r="B75" s="75"/>
      <c r="C75" s="76" t="s">
        <v>1369</v>
      </c>
      <c r="D75" s="77"/>
      <c r="E75" s="19" t="s">
        <v>1145</v>
      </c>
      <c r="F75" s="78" t="s">
        <v>1370</v>
      </c>
      <c r="G75" s="73"/>
    </row>
    <row r="76" spans="2:7" s="74" customFormat="1">
      <c r="B76" s="75"/>
      <c r="C76" s="76" t="s">
        <v>1371</v>
      </c>
      <c r="D76" s="77"/>
      <c r="E76" s="19" t="s">
        <v>1146</v>
      </c>
      <c r="F76" s="78" t="s">
        <v>1372</v>
      </c>
      <c r="G76" s="73"/>
    </row>
    <row r="77" spans="2:7" s="74" customFormat="1" ht="14.25" thickBot="1">
      <c r="B77" s="75"/>
      <c r="C77" s="108" t="s">
        <v>1282</v>
      </c>
      <c r="D77" s="109"/>
      <c r="E77" s="23" t="s">
        <v>1147</v>
      </c>
      <c r="F77" s="84" t="s">
        <v>1264</v>
      </c>
      <c r="G77" s="73"/>
    </row>
    <row r="78" spans="2:7" s="74" customFormat="1">
      <c r="B78" s="85" t="s">
        <v>1373</v>
      </c>
      <c r="C78" s="86"/>
      <c r="D78" s="87"/>
      <c r="E78" s="32" t="s">
        <v>1374</v>
      </c>
      <c r="F78" s="114" t="s">
        <v>1375</v>
      </c>
      <c r="G78" s="73"/>
    </row>
    <row r="79" spans="2:7" s="74" customFormat="1">
      <c r="B79" s="75"/>
      <c r="C79" s="110" t="s">
        <v>1376</v>
      </c>
      <c r="D79" s="111"/>
      <c r="E79" s="26" t="s">
        <v>1149</v>
      </c>
      <c r="F79" s="93" t="s">
        <v>1377</v>
      </c>
      <c r="G79" s="73"/>
    </row>
    <row r="80" spans="2:7" s="74" customFormat="1" ht="14.25" thickBot="1">
      <c r="B80" s="75"/>
      <c r="C80" s="110" t="s">
        <v>1378</v>
      </c>
      <c r="D80" s="111"/>
      <c r="E80" s="33" t="s">
        <v>1150</v>
      </c>
      <c r="F80" s="115" t="s">
        <v>1354</v>
      </c>
      <c r="G80" s="73"/>
    </row>
    <row r="81" spans="2:7" s="74" customFormat="1">
      <c r="B81" s="85" t="s">
        <v>1379</v>
      </c>
      <c r="C81" s="86"/>
      <c r="D81" s="87"/>
      <c r="E81" s="24" t="s">
        <v>1380</v>
      </c>
      <c r="F81" s="88" t="s">
        <v>1381</v>
      </c>
      <c r="G81" s="73"/>
    </row>
    <row r="82" spans="2:7" s="74" customFormat="1">
      <c r="B82" s="75"/>
      <c r="C82" s="76" t="s">
        <v>1382</v>
      </c>
      <c r="D82" s="77"/>
      <c r="E82" s="19" t="s">
        <v>1152</v>
      </c>
      <c r="F82" s="78" t="s">
        <v>1383</v>
      </c>
      <c r="G82" s="73"/>
    </row>
    <row r="83" spans="2:7" s="74" customFormat="1">
      <c r="B83" s="75"/>
      <c r="C83" s="79" t="s">
        <v>1384</v>
      </c>
      <c r="D83" s="83"/>
      <c r="E83" s="23" t="s">
        <v>1153</v>
      </c>
      <c r="F83" s="93" t="s">
        <v>1385</v>
      </c>
      <c r="G83" s="73"/>
    </row>
    <row r="84" spans="2:7" s="74" customFormat="1">
      <c r="B84" s="75"/>
      <c r="C84" s="79" t="s">
        <v>1386</v>
      </c>
      <c r="D84" s="83"/>
      <c r="E84" s="23" t="s">
        <v>1154</v>
      </c>
      <c r="F84" s="93" t="s">
        <v>1387</v>
      </c>
      <c r="G84" s="73"/>
    </row>
    <row r="85" spans="2:7" s="74" customFormat="1">
      <c r="B85" s="75"/>
      <c r="C85" s="79" t="s">
        <v>1388</v>
      </c>
      <c r="D85" s="83"/>
      <c r="E85" s="23" t="s">
        <v>1155</v>
      </c>
      <c r="F85" s="93" t="s">
        <v>1389</v>
      </c>
      <c r="G85" s="73"/>
    </row>
    <row r="86" spans="2:7" s="74" customFormat="1" ht="14.25" thickBot="1">
      <c r="B86" s="98"/>
      <c r="C86" s="112" t="s">
        <v>1282</v>
      </c>
      <c r="D86" s="113"/>
      <c r="E86" s="30" t="s">
        <v>1156</v>
      </c>
      <c r="F86" s="101" t="s">
        <v>1264</v>
      </c>
      <c r="G86" s="73"/>
    </row>
    <row r="87" spans="2:7" s="74" customFormat="1" ht="14.25" thickBot="1">
      <c r="B87" s="116" t="s">
        <v>1390</v>
      </c>
      <c r="C87" s="117"/>
      <c r="D87" s="118"/>
      <c r="E87" s="34" t="s">
        <v>1391</v>
      </c>
      <c r="F87" s="119" t="s">
        <v>1392</v>
      </c>
      <c r="G87" s="73"/>
    </row>
    <row r="88" spans="2:7" s="74" customFormat="1">
      <c r="B88" s="85" t="s">
        <v>1393</v>
      </c>
      <c r="C88" s="86"/>
      <c r="D88" s="87"/>
      <c r="E88" s="32" t="s">
        <v>1394</v>
      </c>
      <c r="F88" s="114" t="s">
        <v>1395</v>
      </c>
      <c r="G88" s="73"/>
    </row>
    <row r="89" spans="2:7" s="74" customFormat="1">
      <c r="B89" s="75"/>
      <c r="C89" s="107" t="s">
        <v>1396</v>
      </c>
      <c r="D89" s="90"/>
      <c r="E89" s="26" t="s">
        <v>1159</v>
      </c>
      <c r="F89" s="93" t="s">
        <v>1345</v>
      </c>
      <c r="G89" s="73"/>
    </row>
    <row r="90" spans="2:7" s="74" customFormat="1">
      <c r="B90" s="75"/>
      <c r="C90" s="107" t="s">
        <v>1397</v>
      </c>
      <c r="D90" s="90"/>
      <c r="E90" s="26" t="s">
        <v>1160</v>
      </c>
      <c r="F90" s="93" t="s">
        <v>1287</v>
      </c>
      <c r="G90" s="73"/>
    </row>
    <row r="91" spans="2:7" s="74" customFormat="1" ht="14.25" thickBot="1">
      <c r="B91" s="75"/>
      <c r="C91" s="108" t="s">
        <v>1378</v>
      </c>
      <c r="D91" s="109"/>
      <c r="E91" s="26" t="s">
        <v>1161</v>
      </c>
      <c r="F91" s="115" t="s">
        <v>1354</v>
      </c>
      <c r="G91" s="73"/>
    </row>
    <row r="92" spans="2:7" s="74" customFormat="1">
      <c r="B92" s="85" t="s">
        <v>1398</v>
      </c>
      <c r="C92" s="120"/>
      <c r="D92" s="121"/>
      <c r="E92" s="32" t="s">
        <v>1399</v>
      </c>
      <c r="F92" s="122" t="s">
        <v>1400</v>
      </c>
      <c r="G92" s="73"/>
    </row>
    <row r="93" spans="2:7" s="74" customFormat="1">
      <c r="B93" s="75"/>
      <c r="C93" s="76" t="s">
        <v>1401</v>
      </c>
      <c r="D93" s="77"/>
      <c r="E93" s="19" t="s">
        <v>1163</v>
      </c>
      <c r="F93" s="78" t="s">
        <v>1402</v>
      </c>
      <c r="G93" s="73"/>
    </row>
    <row r="94" spans="2:7" s="74" customFormat="1">
      <c r="B94" s="75"/>
      <c r="C94" s="76" t="s">
        <v>1403</v>
      </c>
      <c r="D94" s="77"/>
      <c r="E94" s="19" t="s">
        <v>1164</v>
      </c>
      <c r="F94" s="78" t="s">
        <v>1404</v>
      </c>
      <c r="G94" s="73"/>
    </row>
    <row r="95" spans="2:7" s="74" customFormat="1">
      <c r="B95" s="75"/>
      <c r="C95" s="79" t="s">
        <v>1405</v>
      </c>
      <c r="D95" s="77"/>
      <c r="E95" s="19" t="s">
        <v>1165</v>
      </c>
      <c r="F95" s="78" t="s">
        <v>1406</v>
      </c>
      <c r="G95" s="73"/>
    </row>
    <row r="96" spans="2:7" s="74" customFormat="1" ht="14.25" thickBot="1">
      <c r="B96" s="98"/>
      <c r="C96" s="99" t="s">
        <v>1407</v>
      </c>
      <c r="D96" s="100"/>
      <c r="E96" s="30" t="s">
        <v>1166</v>
      </c>
      <c r="F96" s="101" t="s">
        <v>1264</v>
      </c>
      <c r="G96" s="73"/>
    </row>
    <row r="97" spans="2:9" s="74" customFormat="1" ht="14.25" thickBot="1">
      <c r="B97" s="102" t="s">
        <v>1408</v>
      </c>
      <c r="C97" s="123"/>
      <c r="D97" s="124"/>
      <c r="E97" s="35" t="s">
        <v>1409</v>
      </c>
      <c r="F97" s="122" t="s">
        <v>1410</v>
      </c>
      <c r="G97" s="73"/>
    </row>
    <row r="98" spans="2:9" s="74" customFormat="1">
      <c r="B98" s="85" t="s">
        <v>1411</v>
      </c>
      <c r="C98" s="86"/>
      <c r="D98" s="87"/>
      <c r="E98" s="24" t="s">
        <v>1412</v>
      </c>
      <c r="F98" s="88" t="s">
        <v>1413</v>
      </c>
      <c r="G98" s="73"/>
    </row>
    <row r="99" spans="2:9" s="74" customFormat="1">
      <c r="B99" s="75"/>
      <c r="C99" s="110" t="s">
        <v>1414</v>
      </c>
      <c r="D99" s="111"/>
      <c r="E99" s="19" t="s">
        <v>1169</v>
      </c>
      <c r="F99" s="78" t="s">
        <v>1415</v>
      </c>
      <c r="G99" s="73"/>
      <c r="I99" s="64"/>
    </row>
    <row r="100" spans="2:9" s="74" customFormat="1">
      <c r="B100" s="75"/>
      <c r="C100" s="110" t="s">
        <v>1416</v>
      </c>
      <c r="D100" s="111"/>
      <c r="E100" s="19" t="s">
        <v>1170</v>
      </c>
      <c r="F100" s="78" t="s">
        <v>1417</v>
      </c>
      <c r="G100" s="73"/>
    </row>
    <row r="101" spans="2:9" s="74" customFormat="1">
      <c r="B101" s="75"/>
      <c r="C101" s="108" t="s">
        <v>1418</v>
      </c>
      <c r="D101" s="109"/>
      <c r="E101" s="19" t="s">
        <v>1171</v>
      </c>
      <c r="F101" s="78" t="s">
        <v>1419</v>
      </c>
      <c r="G101" s="73"/>
    </row>
    <row r="102" spans="2:9" s="74" customFormat="1" ht="14.25" thickBot="1">
      <c r="B102" s="98"/>
      <c r="C102" s="112" t="s">
        <v>1420</v>
      </c>
      <c r="D102" s="113"/>
      <c r="E102" s="30" t="s">
        <v>1172</v>
      </c>
      <c r="F102" s="101" t="s">
        <v>1421</v>
      </c>
      <c r="G102" s="73"/>
    </row>
    <row r="103" spans="2:9" s="74" customFormat="1">
      <c r="B103" s="102" t="s">
        <v>1232</v>
      </c>
      <c r="C103" s="103"/>
      <c r="D103" s="104"/>
      <c r="E103" s="31" t="s">
        <v>1422</v>
      </c>
      <c r="F103" s="105" t="s">
        <v>1423</v>
      </c>
      <c r="G103" s="73"/>
    </row>
    <row r="104" spans="2:9" s="74" customFormat="1">
      <c r="B104" s="75"/>
      <c r="C104" s="110" t="s">
        <v>1424</v>
      </c>
      <c r="D104" s="111"/>
      <c r="E104" s="19" t="s">
        <v>1174</v>
      </c>
      <c r="F104" s="78" t="s">
        <v>1425</v>
      </c>
      <c r="G104" s="73"/>
    </row>
    <row r="105" spans="2:9" s="74" customFormat="1">
      <c r="B105" s="75"/>
      <c r="C105" s="107" t="s">
        <v>1426</v>
      </c>
      <c r="D105" s="90"/>
      <c r="E105" s="25" t="s">
        <v>1175</v>
      </c>
      <c r="F105" s="91" t="s">
        <v>1427</v>
      </c>
      <c r="G105" s="73"/>
    </row>
    <row r="106" spans="2:9" s="74" customFormat="1">
      <c r="B106" s="75"/>
      <c r="C106" s="107" t="s">
        <v>1428</v>
      </c>
      <c r="D106" s="90"/>
      <c r="E106" s="25" t="s">
        <v>1176</v>
      </c>
      <c r="F106" s="91" t="s">
        <v>1429</v>
      </c>
      <c r="G106" s="73"/>
    </row>
    <row r="107" spans="2:9" s="74" customFormat="1">
      <c r="B107" s="75"/>
      <c r="C107" s="107" t="s">
        <v>1430</v>
      </c>
      <c r="D107" s="90"/>
      <c r="E107" s="25" t="s">
        <v>1177</v>
      </c>
      <c r="F107" s="91" t="s">
        <v>1345</v>
      </c>
      <c r="G107" s="73"/>
    </row>
    <row r="108" spans="2:9" s="74" customFormat="1">
      <c r="B108" s="75"/>
      <c r="C108" s="110" t="s">
        <v>1431</v>
      </c>
      <c r="D108" s="111"/>
      <c r="E108" s="19" t="s">
        <v>1178</v>
      </c>
      <c r="F108" s="78" t="s">
        <v>1432</v>
      </c>
      <c r="G108" s="73"/>
    </row>
    <row r="109" spans="2:9" s="74" customFormat="1">
      <c r="B109" s="75"/>
      <c r="C109" s="76" t="s">
        <v>1433</v>
      </c>
      <c r="D109" s="77"/>
      <c r="E109" s="19" t="s">
        <v>1434</v>
      </c>
      <c r="F109" s="78" t="s">
        <v>1435</v>
      </c>
      <c r="G109" s="73"/>
    </row>
    <row r="110" spans="2:9" s="74" customFormat="1">
      <c r="B110" s="75"/>
      <c r="C110" s="76" t="s">
        <v>1436</v>
      </c>
      <c r="D110" s="77"/>
      <c r="E110" s="19" t="s">
        <v>1180</v>
      </c>
      <c r="F110" s="78" t="s">
        <v>1437</v>
      </c>
      <c r="G110" s="73"/>
    </row>
    <row r="111" spans="2:9" s="74" customFormat="1">
      <c r="B111" s="75"/>
      <c r="C111" s="79" t="s">
        <v>1438</v>
      </c>
      <c r="D111" s="83"/>
      <c r="E111" s="23" t="s">
        <v>1181</v>
      </c>
      <c r="F111" s="84" t="s">
        <v>1439</v>
      </c>
      <c r="G111" s="73"/>
    </row>
    <row r="112" spans="2:9" s="74" customFormat="1" ht="14.25" thickBot="1">
      <c r="B112" s="75"/>
      <c r="C112" s="79" t="s">
        <v>1440</v>
      </c>
      <c r="D112" s="83"/>
      <c r="E112" s="23" t="s">
        <v>1182</v>
      </c>
      <c r="F112" s="84" t="s">
        <v>1441</v>
      </c>
      <c r="G112" s="73"/>
    </row>
    <row r="113" spans="1:7" s="74" customFormat="1">
      <c r="B113" s="85" t="s">
        <v>1442</v>
      </c>
      <c r="C113" s="86"/>
      <c r="D113" s="87"/>
      <c r="E113" s="24" t="s">
        <v>1443</v>
      </c>
      <c r="F113" s="88" t="s">
        <v>1444</v>
      </c>
      <c r="G113" s="73"/>
    </row>
    <row r="114" spans="1:7">
      <c r="A114" s="74"/>
      <c r="B114" s="75"/>
      <c r="C114" s="76" t="s">
        <v>1445</v>
      </c>
      <c r="D114" s="77"/>
      <c r="E114" s="19" t="s">
        <v>1184</v>
      </c>
      <c r="F114" s="78" t="s">
        <v>1446</v>
      </c>
      <c r="G114" s="73"/>
    </row>
    <row r="115" spans="1:7">
      <c r="A115" s="74"/>
      <c r="B115" s="75"/>
      <c r="C115" s="76" t="s">
        <v>1447</v>
      </c>
      <c r="D115" s="77"/>
      <c r="E115" s="19" t="s">
        <v>1185</v>
      </c>
      <c r="F115" s="78" t="s">
        <v>1448</v>
      </c>
      <c r="G115" s="73"/>
    </row>
    <row r="116" spans="1:7">
      <c r="A116" s="74"/>
      <c r="B116" s="75"/>
      <c r="C116" s="76" t="s">
        <v>1449</v>
      </c>
      <c r="D116" s="77"/>
      <c r="E116" s="19" t="s">
        <v>1186</v>
      </c>
      <c r="F116" s="78" t="s">
        <v>1450</v>
      </c>
      <c r="G116" s="73"/>
    </row>
    <row r="117" spans="1:7" ht="14.25" thickBot="1">
      <c r="A117" s="74"/>
      <c r="B117" s="75"/>
      <c r="C117" s="79" t="s">
        <v>1451</v>
      </c>
      <c r="D117" s="83"/>
      <c r="E117" s="23" t="s">
        <v>1187</v>
      </c>
      <c r="F117" s="84" t="s">
        <v>1452</v>
      </c>
      <c r="G117" s="73"/>
    </row>
    <row r="118" spans="1:7">
      <c r="A118" s="74"/>
      <c r="B118" s="85" t="s">
        <v>1453</v>
      </c>
      <c r="C118" s="86"/>
      <c r="D118" s="87"/>
      <c r="E118" s="24" t="s">
        <v>545</v>
      </c>
      <c r="F118" s="88" t="s">
        <v>1454</v>
      </c>
      <c r="G118" s="73"/>
    </row>
    <row r="119" spans="1:7" ht="14.25" thickBot="1">
      <c r="A119" s="74"/>
      <c r="B119" s="98"/>
      <c r="C119" s="99" t="s">
        <v>1455</v>
      </c>
      <c r="D119" s="100"/>
      <c r="E119" s="30" t="s">
        <v>1189</v>
      </c>
      <c r="F119" s="101" t="s">
        <v>1456</v>
      </c>
      <c r="G119" s="73"/>
    </row>
    <row r="120" spans="1:7" ht="14.25" thickBot="1">
      <c r="A120" s="74"/>
      <c r="B120" s="102" t="s">
        <v>1457</v>
      </c>
      <c r="C120" s="123"/>
      <c r="D120" s="124"/>
      <c r="E120" s="35" t="s">
        <v>1458</v>
      </c>
      <c r="F120" s="122" t="s">
        <v>1459</v>
      </c>
      <c r="G120" s="73"/>
    </row>
    <row r="121" spans="1:7" ht="14.25" thickBot="1">
      <c r="A121" s="74"/>
      <c r="B121" s="116" t="s">
        <v>1460</v>
      </c>
      <c r="C121" s="117"/>
      <c r="D121" s="118"/>
      <c r="E121" s="34" t="s">
        <v>1461</v>
      </c>
      <c r="F121" s="119" t="s">
        <v>1462</v>
      </c>
      <c r="G121" s="73"/>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D15"/>
  <sheetViews>
    <sheetView workbookViewId="0">
      <selection activeCell="T199" sqref="T199"/>
    </sheetView>
  </sheetViews>
  <sheetFormatPr defaultRowHeight="18.75"/>
  <cols>
    <col min="2" max="2" width="12" customWidth="1"/>
    <col min="4" max="4" width="11.75" customWidth="1"/>
  </cols>
  <sheetData>
    <row r="1" spans="2:4" ht="19.5" thickBot="1"/>
    <row r="2" spans="2:4" ht="25.5" thickTop="1">
      <c r="B2" s="165" t="s">
        <v>1463</v>
      </c>
      <c r="C2" s="125" t="s">
        <v>1194</v>
      </c>
      <c r="D2" s="125" t="s">
        <v>1464</v>
      </c>
    </row>
    <row r="3" spans="2:4" ht="25.5" thickBot="1">
      <c r="B3" s="166"/>
      <c r="C3" s="126" t="s">
        <v>1465</v>
      </c>
      <c r="D3" s="127" t="s">
        <v>1466</v>
      </c>
    </row>
    <row r="4" spans="2:4" ht="19.5" thickTop="1">
      <c r="B4" s="128" t="str">
        <f ca="1">'別表１～３'!B3</f>
        <v/>
      </c>
      <c r="C4" s="129" t="str">
        <f ca="1">'別表１～３'!C3</f>
        <v/>
      </c>
      <c r="D4" s="130" t="str">
        <f ca="1">'別表１～３'!D3</f>
        <v/>
      </c>
    </row>
    <row r="5" spans="2:4">
      <c r="B5" s="131" t="str">
        <f ca="1">'別表１～３'!B4</f>
        <v/>
      </c>
      <c r="C5" s="132" t="str">
        <f ca="1">'別表１～３'!C4</f>
        <v/>
      </c>
      <c r="D5" s="132" t="str">
        <f ca="1">'別表１～３'!D4</f>
        <v/>
      </c>
    </row>
    <row r="6" spans="2:4">
      <c r="B6" s="131" t="str">
        <f ca="1">'別表１～３'!B5</f>
        <v/>
      </c>
      <c r="C6" s="132" t="str">
        <f ca="1">'別表１～３'!C5</f>
        <v/>
      </c>
      <c r="D6" s="132" t="str">
        <f ca="1">'別表１～３'!D5</f>
        <v/>
      </c>
    </row>
    <row r="7" spans="2:4">
      <c r="B7" s="131" t="str">
        <f ca="1">'別表１～３'!B6</f>
        <v/>
      </c>
      <c r="C7" s="132" t="str">
        <f ca="1">'別表１～３'!C6</f>
        <v/>
      </c>
      <c r="D7" s="132" t="str">
        <f ca="1">'別表１～３'!D6</f>
        <v/>
      </c>
    </row>
    <row r="8" spans="2:4">
      <c r="B8" s="131" t="str">
        <f ca="1">'別表１～３'!B7</f>
        <v/>
      </c>
      <c r="C8" s="132" t="str">
        <f ca="1">'別表１～３'!C7</f>
        <v/>
      </c>
      <c r="D8" s="132" t="str">
        <f ca="1">'別表１～３'!D7</f>
        <v/>
      </c>
    </row>
    <row r="9" spans="2:4">
      <c r="B9" s="131" t="str">
        <f ca="1">'別表１～３'!B8</f>
        <v/>
      </c>
      <c r="C9" s="132" t="str">
        <f ca="1">'別表１～３'!C8</f>
        <v/>
      </c>
      <c r="D9" s="132" t="str">
        <f ca="1">'別表１～３'!D8</f>
        <v/>
      </c>
    </row>
    <row r="10" spans="2:4">
      <c r="B10" s="131" t="str">
        <f ca="1">'別表１～３'!B9</f>
        <v/>
      </c>
      <c r="C10" s="132" t="str">
        <f ca="1">'別表１～３'!C9</f>
        <v/>
      </c>
      <c r="D10" s="132" t="str">
        <f ca="1">'別表１～３'!D9</f>
        <v/>
      </c>
    </row>
    <row r="11" spans="2:4">
      <c r="B11" s="131" t="str">
        <f ca="1">'別表１～３'!B10</f>
        <v/>
      </c>
      <c r="C11" s="132" t="str">
        <f ca="1">'別表１～３'!C10</f>
        <v/>
      </c>
      <c r="D11" s="132" t="str">
        <f ca="1">'別表１～３'!D10</f>
        <v/>
      </c>
    </row>
    <row r="12" spans="2:4">
      <c r="B12" s="131" t="str">
        <f ca="1">'別表１～３'!B11</f>
        <v/>
      </c>
      <c r="C12" s="132" t="str">
        <f ca="1">'別表１～３'!C11</f>
        <v/>
      </c>
      <c r="D12" s="132" t="str">
        <f ca="1">'別表１～３'!D11</f>
        <v/>
      </c>
    </row>
    <row r="13" spans="2:4">
      <c r="B13" s="131" t="str">
        <f ca="1">'別表１～３'!B12</f>
        <v/>
      </c>
      <c r="C13" s="132" t="str">
        <f ca="1">'別表１～３'!C12</f>
        <v/>
      </c>
      <c r="D13" s="132" t="str">
        <f ca="1">'別表１～３'!D12</f>
        <v/>
      </c>
    </row>
    <row r="14" spans="2:4" ht="25.5" thickBot="1">
      <c r="B14" s="133" t="s">
        <v>1467</v>
      </c>
      <c r="C14" s="133">
        <f ca="1">SUM(C4:C13)</f>
        <v>0</v>
      </c>
      <c r="D14" s="133">
        <f ca="1">SUM(D4:D13)</f>
        <v>0</v>
      </c>
    </row>
    <row r="15" spans="2:4" ht="19.5" thickTop="1"/>
  </sheetData>
  <mergeCells count="1">
    <mergeCell ref="B2:B3"/>
  </mergeCells>
  <phoneticPr fontId="6"/>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J33"/>
  <sheetViews>
    <sheetView topLeftCell="C1" workbookViewId="0">
      <selection activeCell="T199" sqref="T199"/>
    </sheetView>
  </sheetViews>
  <sheetFormatPr defaultRowHeight="18.75"/>
  <cols>
    <col min="1" max="1" width="9" style="134"/>
    <col min="2" max="2" width="18.75" style="134" bestFit="1" customWidth="1"/>
    <col min="3" max="3" width="79.25" style="134" bestFit="1" customWidth="1"/>
    <col min="4" max="4" width="7.375" style="134" bestFit="1" customWidth="1"/>
    <col min="5" max="5" width="46.375" style="134" bestFit="1" customWidth="1"/>
    <col min="6" max="6" width="30.75" style="134" bestFit="1" customWidth="1"/>
    <col min="7" max="7" width="9" style="134"/>
    <col min="8" max="8" width="13.125" style="134" bestFit="1" customWidth="1"/>
    <col min="9" max="9" width="9" style="134"/>
    <col min="10" max="10" width="13.125" style="134" bestFit="1" customWidth="1"/>
    <col min="11" max="16384" width="9" style="134"/>
  </cols>
  <sheetData>
    <row r="1" spans="1:10">
      <c r="B1" s="135" t="s">
        <v>1468</v>
      </c>
      <c r="C1" s="135" t="s">
        <v>1469</v>
      </c>
      <c r="D1" s="136" t="s">
        <v>1470</v>
      </c>
      <c r="E1" s="136" t="s">
        <v>1471</v>
      </c>
      <c r="F1" s="136" t="s">
        <v>1472</v>
      </c>
      <c r="G1" s="5" t="s">
        <v>1065</v>
      </c>
      <c r="I1" s="137" t="s">
        <v>1473</v>
      </c>
      <c r="J1" s="136" t="s">
        <v>1474</v>
      </c>
    </row>
    <row r="2" spans="1:10" s="138" customFormat="1">
      <c r="B2" s="134" t="s">
        <v>1475</v>
      </c>
      <c r="C2" s="139"/>
      <c r="D2" s="140"/>
      <c r="E2" s="140"/>
      <c r="F2" s="140"/>
      <c r="G2" s="141"/>
      <c r="I2" s="142"/>
      <c r="J2" s="140"/>
    </row>
    <row r="3" spans="1:10">
      <c r="A3" s="134" t="s">
        <v>1475</v>
      </c>
      <c r="B3" s="143"/>
      <c r="C3" s="143" t="s">
        <v>1476</v>
      </c>
      <c r="D3" s="143" t="s">
        <v>1470</v>
      </c>
      <c r="E3" s="143" t="s">
        <v>1477</v>
      </c>
      <c r="F3" s="143" t="s">
        <v>1478</v>
      </c>
      <c r="G3" s="143" t="s">
        <v>1479</v>
      </c>
      <c r="H3" s="143" t="s">
        <v>1480</v>
      </c>
      <c r="I3" s="143" t="s">
        <v>1481</v>
      </c>
      <c r="J3" s="143" t="s">
        <v>1482</v>
      </c>
    </row>
    <row r="4" spans="1:10">
      <c r="B4" t="s">
        <v>689</v>
      </c>
      <c r="C4" s="144" t="str">
        <f t="shared" ref="C4:F16" ca="1" si="0">INDEX(INDIRECT(C$1),MATCH($B4,管理番号,0))</f>
        <v>［販売］GaN/InAlN　layers on 6 inch Si substrate</v>
      </c>
      <c r="D4" s="144" t="str">
        <f t="shared" ca="1" si="0"/>
        <v>中国</v>
      </c>
      <c r="E4" s="144" t="str">
        <f ca="1">INDEX(INDIRECT(E$1),MATCH($B4,管理番号,0))</f>
        <v>W&amp;H Semiconductor Ltd.</v>
      </c>
      <c r="F4" s="144" t="str">
        <f t="shared" ca="1" si="0"/>
        <v>顧客に同じ</v>
      </c>
      <c r="G4" s="8" t="str">
        <f ca="1">IF(I4="","",IFERROR(LOOKUP(1,0/(中間処理シート!AK:AK=包括・特例!I4),中間処理シート!AP:AP),""))</f>
        <v/>
      </c>
      <c r="H4" s="145">
        <f ca="1">ROUND(J4/1000,0)</f>
        <v>1520</v>
      </c>
      <c r="I4" s="144" t="str">
        <f t="shared" ref="I4:J16" ca="1" si="1">INDEX(INDIRECT(I$1),MATCH($B4,管理番号,0))</f>
        <v>ＧＢ営</v>
      </c>
      <c r="J4" s="144">
        <f t="shared" ca="1" si="1"/>
        <v>1520000</v>
      </c>
    </row>
    <row r="5" spans="1:10">
      <c r="B5" t="s">
        <v>692</v>
      </c>
      <c r="C5" s="144" t="str">
        <f t="shared" ca="1" si="0"/>
        <v>［販売］窒化物エピウェハ（6インチ on Si)</v>
      </c>
      <c r="D5" s="144" t="str">
        <f t="shared" ca="1" si="0"/>
        <v>イギリス</v>
      </c>
      <c r="E5" s="144" t="str">
        <f ca="1">INDEX(INDIRECT(E$1),MATCH($B5,管理番号,0))</f>
        <v>University of Cambridge</v>
      </c>
      <c r="F5" s="144" t="str">
        <f t="shared" ca="1" si="0"/>
        <v>University of Sheffield</v>
      </c>
      <c r="G5" s="8" t="str">
        <f ca="1">IF(I5="","",IFERROR(LOOKUP(1,0/(中間処理シート!AK:AK=包括・特例!I5),中間処理シート!AP:AP),""))</f>
        <v/>
      </c>
      <c r="H5" s="145">
        <f t="shared" ref="H5:H31" ca="1" si="2">ROUND(J5/1000,0)</f>
        <v>720</v>
      </c>
      <c r="I5" s="144" t="str">
        <f t="shared" ca="1" si="1"/>
        <v>ＧＢ営</v>
      </c>
      <c r="J5" s="144">
        <f t="shared" ca="1" si="1"/>
        <v>720000</v>
      </c>
    </row>
    <row r="6" spans="1:10">
      <c r="B6" t="s">
        <v>829</v>
      </c>
      <c r="C6" s="144" t="str">
        <f t="shared" ca="1" si="0"/>
        <v>［無償提供］窒化物エピウェハ(6inch AlGaN/GaN HEMT on Si)</v>
      </c>
      <c r="D6" s="144" t="str">
        <f t="shared" ca="1" si="0"/>
        <v>台湾</v>
      </c>
      <c r="E6" s="144" t="str">
        <f t="shared" ca="1" si="0"/>
        <v>TSEL Technology Inc.</v>
      </c>
      <c r="F6" s="144" t="str">
        <f t="shared" ca="1" si="0"/>
        <v>WaveTek Microelectronics Corp.</v>
      </c>
      <c r="G6" s="8" t="str">
        <f ca="1">IF(I6="","",IFERROR(LOOKUP(1,0/(中間処理シート!AK:AK=包括・特例!I6),中間処理シート!AP:AP),""))</f>
        <v/>
      </c>
      <c r="H6" s="145">
        <f t="shared" ca="1" si="2"/>
        <v>648</v>
      </c>
      <c r="I6" s="144" t="str">
        <f t="shared" ca="1" si="1"/>
        <v>ＧＢ営</v>
      </c>
      <c r="J6" s="144">
        <f t="shared" ca="1" si="1"/>
        <v>648000</v>
      </c>
    </row>
    <row r="7" spans="1:10">
      <c r="B7" t="s">
        <v>876</v>
      </c>
      <c r="C7" s="144" t="str">
        <f t="shared" ca="1" si="0"/>
        <v>［販売］窒化物エピタキシャルウェハ(6inch on Si)</v>
      </c>
      <c r="D7" s="144" t="str">
        <f t="shared" ca="1" si="0"/>
        <v>台湾</v>
      </c>
      <c r="E7" s="144" t="str">
        <f t="shared" ca="1" si="0"/>
        <v>TSEL Technology Inc.</v>
      </c>
      <c r="F7" s="144" t="str">
        <f t="shared" ca="1" si="0"/>
        <v>GLC Semiconductor Group (TW) Co.</v>
      </c>
      <c r="G7" s="8" t="str">
        <f ca="1">IF(I7="","",IFERROR(LOOKUP(1,0/(中間処理シート!AK:AK=包括・特例!I7),中間処理シート!AP:AP),""))</f>
        <v/>
      </c>
      <c r="H7" s="145">
        <f t="shared" ca="1" si="2"/>
        <v>1200</v>
      </c>
      <c r="I7" s="144" t="str">
        <f t="shared" ca="1" si="1"/>
        <v>ＧＢ営</v>
      </c>
      <c r="J7" s="144">
        <f t="shared" ca="1" si="1"/>
        <v>1200000</v>
      </c>
    </row>
    <row r="8" spans="1:10">
      <c r="B8" t="s">
        <v>907</v>
      </c>
      <c r="C8" s="144" t="str">
        <f t="shared" ca="1" si="0"/>
        <v>［返却］SiC基板（顧客試料</v>
      </c>
      <c r="D8" s="144" t="str">
        <f t="shared" ca="1" si="0"/>
        <v>中国</v>
      </c>
      <c r="E8" s="144" t="str">
        <f t="shared" ca="1" si="0"/>
        <v>TanKeBlue Semiconductor Co.Ltd.</v>
      </c>
      <c r="F8" s="144" t="str">
        <f t="shared" ca="1" si="0"/>
        <v>顧客に同じ</v>
      </c>
      <c r="G8" s="8" t="str">
        <f ca="1">IF(I8="","",IFERROR(LOOKUP(1,0/(中間処理シート!AK:AK=包括・特例!I8),中間処理シート!AP:AP),""))</f>
        <v/>
      </c>
      <c r="H8" s="145">
        <f t="shared" ca="1" si="2"/>
        <v>0</v>
      </c>
      <c r="I8" s="144" t="str">
        <f t="shared" ca="1" si="1"/>
        <v>ＧＢ営</v>
      </c>
      <c r="J8" s="144">
        <f t="shared" ca="1" si="1"/>
        <v>400</v>
      </c>
    </row>
    <row r="9" spans="1:10">
      <c r="B9" t="s">
        <v>933</v>
      </c>
      <c r="C9" s="144" t="str">
        <f t="shared" ca="1" si="0"/>
        <v>［その他］窒化物エピタキシャルウェハ(6inch, 8inch)</v>
      </c>
      <c r="D9" s="144" t="str">
        <f t="shared" ca="1" si="0"/>
        <v>台湾</v>
      </c>
      <c r="E9" s="144" t="str">
        <f t="shared" ca="1" si="0"/>
        <v xml:space="preserve">GaN Power Technology Corporation </v>
      </c>
      <c r="F9" s="144" t="str">
        <f t="shared" ca="1" si="0"/>
        <v>顧客に同じ</v>
      </c>
      <c r="G9" s="8" t="str">
        <f ca="1">IF(I9="","",IFERROR(LOOKUP(1,0/(中間処理シート!AK:AK=包括・特例!I9),中間処理シート!AP:AP),""))</f>
        <v/>
      </c>
      <c r="H9" s="145">
        <f t="shared" ca="1" si="2"/>
        <v>0</v>
      </c>
      <c r="I9" s="144" t="str">
        <f t="shared" ca="1" si="1"/>
        <v>ＧＢ営</v>
      </c>
      <c r="J9" s="144">
        <f t="shared" ca="1" si="1"/>
        <v>0</v>
      </c>
    </row>
    <row r="10" spans="1:10">
      <c r="B10" t="s">
        <v>953</v>
      </c>
      <c r="C10" s="144" t="str">
        <f t="shared" ca="1" si="0"/>
        <v>［無償提供］窒化物エピタキシャルウェハ（6インチ）</v>
      </c>
      <c r="D10" s="144" t="str">
        <f t="shared" ca="1" si="0"/>
        <v>台湾</v>
      </c>
      <c r="E10" s="144" t="str">
        <f t="shared" ca="1" si="0"/>
        <v>Lextar Electronics Corporation</v>
      </c>
      <c r="F10" s="144" t="str">
        <f t="shared" ca="1" si="0"/>
        <v>顧客に同じ</v>
      </c>
      <c r="G10" s="8" t="str">
        <f ca="1">IF(I10="","",IFERROR(LOOKUP(1,0/(中間処理シート!AK:AK=包括・特例!I10),中間処理シート!AP:AP),""))</f>
        <v/>
      </c>
      <c r="H10" s="145">
        <f t="shared" ca="1" si="2"/>
        <v>0</v>
      </c>
      <c r="I10" s="144" t="str">
        <f t="shared" ca="1" si="1"/>
        <v>ＧＢ営</v>
      </c>
      <c r="J10" s="144">
        <f t="shared" ca="1" si="1"/>
        <v>0</v>
      </c>
    </row>
    <row r="11" spans="1:10">
      <c r="B11" t="s">
        <v>1001</v>
      </c>
      <c r="C11" s="144" t="str">
        <f t="shared" ca="1" si="0"/>
        <v>［無償提供］窒化物エピタキシャルウエハ</v>
      </c>
      <c r="D11" s="144" t="str">
        <f t="shared" ca="1" si="0"/>
        <v>台湾</v>
      </c>
      <c r="E11" s="144" t="str">
        <f t="shared" ca="1" si="0"/>
        <v>Wind semiconductor Ltd.</v>
      </c>
      <c r="F11" s="144" t="str">
        <f t="shared" ca="1" si="0"/>
        <v>National Taiwan University</v>
      </c>
      <c r="G11" s="8" t="str">
        <f ca="1">IF(I11="","",IFERROR(LOOKUP(1,0/(中間処理シート!AK:AK=包括・特例!I11),中間処理シート!AP:AP),""))</f>
        <v/>
      </c>
      <c r="H11" s="145">
        <f t="shared" ca="1" si="2"/>
        <v>0</v>
      </c>
      <c r="I11" s="144" t="str">
        <f t="shared" ca="1" si="1"/>
        <v>ＧＢ営</v>
      </c>
      <c r="J11" s="144">
        <f t="shared" ca="1" si="1"/>
        <v>0</v>
      </c>
    </row>
    <row r="12" spans="1:10">
      <c r="B12" t="s">
        <v>1004</v>
      </c>
      <c r="C12" s="144" t="str">
        <f t="shared" ca="1" si="0"/>
        <v>［販売］窒化物エピタキシャルウェハ</v>
      </c>
      <c r="D12" s="144" t="str">
        <f t="shared" ca="1" si="0"/>
        <v>ロシア</v>
      </c>
      <c r="E12" s="144" t="str">
        <f t="shared" ca="1" si="0"/>
        <v>Progress Research &amp; Production Ltd</v>
      </c>
      <c r="F12" s="144" t="str">
        <f t="shared" ca="1" si="0"/>
        <v xml:space="preserve">National Research University of </v>
      </c>
      <c r="G12" s="8" t="str">
        <f ca="1">IF(I12="","",IFERROR(LOOKUP(1,0/(中間処理シート!AK:AK=包括・特例!I12),中間処理シート!AP:AP),""))</f>
        <v/>
      </c>
      <c r="H12" s="145">
        <f t="shared" ca="1" si="2"/>
        <v>3130</v>
      </c>
      <c r="I12" s="144" t="str">
        <f t="shared" ca="1" si="1"/>
        <v>ＧＢ営</v>
      </c>
      <c r="J12" s="144">
        <f t="shared" ca="1" si="1"/>
        <v>3129750</v>
      </c>
    </row>
    <row r="13" spans="1:10">
      <c r="B13" t="s">
        <v>1006</v>
      </c>
      <c r="C13" s="144" t="str">
        <f t="shared" ca="1" si="0"/>
        <v>［販売］窒化物エピタキシャルウェハ（8インチ）</v>
      </c>
      <c r="D13" s="144" t="str">
        <f t="shared" ca="1" si="0"/>
        <v>ドイツ</v>
      </c>
      <c r="E13" s="144" t="str">
        <f t="shared" ca="1" si="0"/>
        <v>X-FAB Dresden GmbH &amp; Co., KG</v>
      </c>
      <c r="F13" s="144" t="str">
        <f t="shared" ca="1" si="0"/>
        <v>顧客に同じ</v>
      </c>
      <c r="G13" s="8" t="str">
        <f ca="1">IF(I13="","",IFERROR(LOOKUP(1,0/(中間処理シート!AK:AK=包括・特例!I13),中間処理シート!AP:AP),""))</f>
        <v/>
      </c>
      <c r="H13" s="145">
        <f t="shared" ca="1" si="2"/>
        <v>1070</v>
      </c>
      <c r="I13" s="144" t="str">
        <f t="shared" ca="1" si="1"/>
        <v>ＧＢ営</v>
      </c>
      <c r="J13" s="144">
        <f t="shared" ca="1" si="1"/>
        <v>1070000</v>
      </c>
    </row>
    <row r="14" spans="1:10">
      <c r="B14"/>
      <c r="C14" s="144" t="e">
        <f t="shared" ca="1" si="0"/>
        <v>#N/A</v>
      </c>
      <c r="D14" s="144" t="e">
        <f t="shared" ca="1" si="0"/>
        <v>#N/A</v>
      </c>
      <c r="E14" s="144" t="e">
        <f t="shared" ca="1" si="0"/>
        <v>#N/A</v>
      </c>
      <c r="F14" s="144" t="e">
        <f t="shared" ca="1" si="0"/>
        <v>#N/A</v>
      </c>
      <c r="G14" s="8" t="e">
        <f ca="1">IF(I14="","",IFERROR(LOOKUP(1,0/(中間処理シート!AK:AK=包括・特例!I14),中間処理シート!AP:AP),""))</f>
        <v>#N/A</v>
      </c>
      <c r="H14" s="145" t="e">
        <f t="shared" ca="1" si="2"/>
        <v>#N/A</v>
      </c>
      <c r="I14" s="144" t="e">
        <f t="shared" ca="1" si="1"/>
        <v>#N/A</v>
      </c>
      <c r="J14" s="144" t="e">
        <f t="shared" ca="1" si="1"/>
        <v>#N/A</v>
      </c>
    </row>
    <row r="15" spans="1:10">
      <c r="B15"/>
      <c r="C15" s="144" t="e">
        <f t="shared" ca="1" si="0"/>
        <v>#N/A</v>
      </c>
      <c r="D15" s="144" t="e">
        <f t="shared" ca="1" si="0"/>
        <v>#N/A</v>
      </c>
      <c r="E15" s="144" t="e">
        <f t="shared" ca="1" si="0"/>
        <v>#N/A</v>
      </c>
      <c r="F15" s="144" t="e">
        <f t="shared" ca="1" si="0"/>
        <v>#N/A</v>
      </c>
      <c r="G15" s="8" t="e">
        <f ca="1">IF(I15="","",IFERROR(LOOKUP(1,0/(中間処理シート!AK:AK=包括・特例!I15),中間処理シート!AP:AP),""))</f>
        <v>#N/A</v>
      </c>
      <c r="H15" s="145" t="e">
        <f t="shared" ca="1" si="2"/>
        <v>#N/A</v>
      </c>
      <c r="I15" s="144" t="e">
        <f t="shared" ca="1" si="1"/>
        <v>#N/A</v>
      </c>
      <c r="J15" s="144" t="e">
        <f t="shared" ca="1" si="1"/>
        <v>#N/A</v>
      </c>
    </row>
    <row r="16" spans="1:10">
      <c r="B16"/>
      <c r="C16" s="144" t="e">
        <f t="shared" ca="1" si="0"/>
        <v>#N/A</v>
      </c>
      <c r="D16" s="144" t="e">
        <f t="shared" ca="1" si="0"/>
        <v>#N/A</v>
      </c>
      <c r="E16" s="144" t="e">
        <f t="shared" ca="1" si="0"/>
        <v>#N/A</v>
      </c>
      <c r="F16" s="144" t="e">
        <f t="shared" ca="1" si="0"/>
        <v>#N/A</v>
      </c>
      <c r="G16" s="8" t="e">
        <f ca="1">IF(I16="","",IFERROR(LOOKUP(1,0/(中間処理シート!AK:AK=包括・特例!I16),中間処理シート!AP:AP),""))</f>
        <v>#N/A</v>
      </c>
      <c r="H16" s="145" t="e">
        <f t="shared" ca="1" si="2"/>
        <v>#N/A</v>
      </c>
      <c r="I16" s="144" t="e">
        <f t="shared" ca="1" si="1"/>
        <v>#N/A</v>
      </c>
      <c r="J16" s="144" t="e">
        <f t="shared" ca="1" si="1"/>
        <v>#N/A</v>
      </c>
    </row>
    <row r="17" spans="1:10">
      <c r="A17" s="134" t="s">
        <v>1483</v>
      </c>
      <c r="B17" s="134" t="s">
        <v>1483</v>
      </c>
      <c r="G17" s="8" t="str">
        <f>IF(I17="","",IFERROR(LOOKUP(1,0/(中間処理シート!AK:AK=包括・特例!I17),中間処理シート!AP:AP),""))</f>
        <v/>
      </c>
      <c r="J17" s="138"/>
    </row>
    <row r="18" spans="1:10">
      <c r="B18" s="134" t="s">
        <v>700</v>
      </c>
      <c r="C18" s="144" t="str">
        <f t="shared" ref="C18:F31" ca="1" si="3">INDEX(INDIRECT(C$1),MATCH($B18,管理番号,0))</f>
        <v>［販売］GaN wafer on Si with In-situ SiN cap</v>
      </c>
      <c r="D18" s="144" t="str">
        <f t="shared" ca="1" si="3"/>
        <v>韓国</v>
      </c>
      <c r="E18" s="144" t="str">
        <f t="shared" ca="1" si="3"/>
        <v>RFHIC Corporation</v>
      </c>
      <c r="F18" s="144" t="str">
        <f t="shared" ca="1" si="3"/>
        <v>顧客に同じ</v>
      </c>
      <c r="G18" s="8" t="str">
        <f ca="1">IF(I18="","",IFERROR(LOOKUP(1,0/(中間処理シート!AK:AK=包括・特例!I18),中間処理シート!AP:AP),""))</f>
        <v/>
      </c>
      <c r="H18" s="145">
        <f t="shared" ca="1" si="2"/>
        <v>754</v>
      </c>
      <c r="I18" s="144" t="str">
        <f t="shared" ref="I18:J31" ca="1" si="4">INDEX(INDIRECT(I$1),MATCH($B18,管理番号,0))</f>
        <v>ＧＢ営</v>
      </c>
      <c r="J18" s="144">
        <f t="shared" ca="1" si="4"/>
        <v>754180</v>
      </c>
    </row>
    <row r="19" spans="1:10">
      <c r="B19" s="134" t="s">
        <v>790</v>
      </c>
      <c r="C19" s="144" t="str">
        <f t="shared" ca="1" si="3"/>
        <v>［販売］窒化物エピタキシャルウェハ(6inc InAlN HEMT)</v>
      </c>
      <c r="D19" s="144" t="str">
        <f t="shared" ca="1" si="3"/>
        <v>中国</v>
      </c>
      <c r="E19" s="144" t="str">
        <f t="shared" ca="1" si="3"/>
        <v>Wuhan CC Power Technology Co., Ltd.</v>
      </c>
      <c r="F19" s="144" t="str">
        <f t="shared" ca="1" si="3"/>
        <v>Suzhou Nanowin Science and Techn</v>
      </c>
      <c r="G19" s="8" t="str">
        <f ca="1">IF(I19="","",IFERROR(LOOKUP(1,0/(中間処理シート!AK:AK=包括・特例!I19),中間処理シート!AP:AP),""))</f>
        <v/>
      </c>
      <c r="H19" s="145">
        <f t="shared" ca="1" si="2"/>
        <v>780</v>
      </c>
      <c r="I19" s="144" t="str">
        <f t="shared" ca="1" si="4"/>
        <v>ＧＢ営</v>
      </c>
      <c r="J19" s="144">
        <f t="shared" ca="1" si="4"/>
        <v>780000</v>
      </c>
    </row>
    <row r="20" spans="1:10">
      <c r="B20" s="134" t="s">
        <v>835</v>
      </c>
      <c r="C20" s="144" t="str">
        <f t="shared" ca="1" si="3"/>
        <v>［その他］2inch GaN wafer on Sapphire,6 inch GaN</v>
      </c>
      <c r="D20" s="144" t="str">
        <f t="shared" ca="1" si="3"/>
        <v>米国</v>
      </c>
      <c r="E20" s="144" t="str">
        <f t="shared" ca="1" si="3"/>
        <v>University of California Riverside</v>
      </c>
      <c r="F20" s="144" t="str">
        <f t="shared" ca="1" si="3"/>
        <v>顧客に同じ</v>
      </c>
      <c r="G20" s="8" t="str">
        <f ca="1">IF(I20="","",IFERROR(LOOKUP(1,0/(中間処理シート!AK:AK=包括・特例!I20),中間処理シート!AP:AP),""))</f>
        <v/>
      </c>
      <c r="H20" s="145">
        <f t="shared" ca="1" si="2"/>
        <v>106</v>
      </c>
      <c r="I20" s="144" t="str">
        <f t="shared" ca="1" si="4"/>
        <v>ＧＢ営</v>
      </c>
      <c r="J20" s="144">
        <f t="shared" ca="1" si="4"/>
        <v>106130</v>
      </c>
    </row>
    <row r="21" spans="1:10">
      <c r="B21" s="134" t="s">
        <v>840</v>
      </c>
      <c r="C21" s="144" t="str">
        <f t="shared" ca="1" si="3"/>
        <v>［販売］窒化物エピタキシャルウェハ</v>
      </c>
      <c r="D21" s="144" t="str">
        <f t="shared" ca="1" si="3"/>
        <v>オーストラリア</v>
      </c>
      <c r="E21" s="144" t="str">
        <f t="shared" ca="1" si="3"/>
        <v xml:space="preserve">Griffith University </v>
      </c>
      <c r="F21" s="144" t="str">
        <f t="shared" ca="1" si="3"/>
        <v>顧客に同じ</v>
      </c>
      <c r="G21" s="8" t="str">
        <f ca="1">IF(I21="","",IFERROR(LOOKUP(1,0/(中間処理シート!AK:AK=包括・特例!I21),中間処理シート!AP:AP),""))</f>
        <v/>
      </c>
      <c r="H21" s="145">
        <f t="shared" ca="1" si="2"/>
        <v>302</v>
      </c>
      <c r="I21" s="144" t="str">
        <f t="shared" ca="1" si="4"/>
        <v>ＧＢ営</v>
      </c>
      <c r="J21" s="144">
        <f t="shared" ca="1" si="4"/>
        <v>302400</v>
      </c>
    </row>
    <row r="22" spans="1:10">
      <c r="B22" s="134" t="s">
        <v>862</v>
      </c>
      <c r="C22" s="144" t="str">
        <f t="shared" ca="1" si="3"/>
        <v>［販売］窒化物エピタキシャルウェハ(InAlN/GaN HEMT on Si)</v>
      </c>
      <c r="D22" s="144" t="str">
        <f t="shared" ca="1" si="3"/>
        <v>中国</v>
      </c>
      <c r="E22" s="144" t="str">
        <f t="shared" ca="1" si="3"/>
        <v>Wuhan CC Power Technology Co., Ltd.</v>
      </c>
      <c r="F22" s="144" t="str">
        <f t="shared" ca="1" si="3"/>
        <v>Southern University of Science a</v>
      </c>
      <c r="G22" s="8" t="str">
        <f ca="1">IF(I22="","",IFERROR(LOOKUP(1,0/(中間処理シート!AK:AK=包括・特例!I22),中間処理シート!AP:AP),""))</f>
        <v/>
      </c>
      <c r="H22" s="145">
        <f t="shared" ca="1" si="2"/>
        <v>700</v>
      </c>
      <c r="I22" s="144" t="str">
        <f t="shared" ca="1" si="4"/>
        <v>ＧＢ営</v>
      </c>
      <c r="J22" s="144">
        <f t="shared" ca="1" si="4"/>
        <v>700000</v>
      </c>
    </row>
    <row r="23" spans="1:10">
      <c r="B23" s="134" t="s">
        <v>975</v>
      </c>
      <c r="C23" s="144" t="str">
        <f t="shared" ca="1" si="3"/>
        <v>［販売］窒化物エピタキシャルウェハ(4inch InAlN/GaN HEMT on Si</v>
      </c>
      <c r="D23" s="144" t="str">
        <f t="shared" ca="1" si="3"/>
        <v>シンガポール</v>
      </c>
      <c r="E23" s="144" t="str">
        <f t="shared" ca="1" si="3"/>
        <v>Nanyang Technological University</v>
      </c>
      <c r="F23" s="144" t="str">
        <f t="shared" ca="1" si="3"/>
        <v>顧客に同じ</v>
      </c>
      <c r="G23" s="8" t="str">
        <f ca="1">IF(I23="","",IFERROR(LOOKUP(1,0/(中間処理シート!AK:AK=包括・特例!I23),中間処理シート!AP:AP),""))</f>
        <v/>
      </c>
      <c r="H23" s="145">
        <f t="shared" ca="1" si="2"/>
        <v>410</v>
      </c>
      <c r="I23" s="144" t="str">
        <f t="shared" ca="1" si="4"/>
        <v>ＧＢ営</v>
      </c>
      <c r="J23" s="144">
        <f t="shared" ca="1" si="4"/>
        <v>410000</v>
      </c>
    </row>
    <row r="24" spans="1:10">
      <c r="B24" s="134" t="s">
        <v>1048</v>
      </c>
      <c r="C24" s="144" t="str">
        <f t="shared" ca="1" si="3"/>
        <v>［販売］窒化物エピタキシャルウェハ(3inch InAlN/GaN on SiC)</v>
      </c>
      <c r="D24" s="144" t="str">
        <f t="shared" ca="1" si="3"/>
        <v>台湾</v>
      </c>
      <c r="E24" s="144" t="str">
        <f t="shared" ca="1" si="3"/>
        <v>TSEL Technology Inc.</v>
      </c>
      <c r="F24" s="144" t="str">
        <f t="shared" ca="1" si="3"/>
        <v>成功大学</v>
      </c>
      <c r="G24" s="8" t="str">
        <f ca="1">IF(I24="","",IFERROR(LOOKUP(1,0/(中間処理シート!AK:AK=包括・特例!I24),中間処理シート!AP:AP),""))</f>
        <v/>
      </c>
      <c r="H24" s="145">
        <f t="shared" ca="1" si="2"/>
        <v>450</v>
      </c>
      <c r="I24" s="144" t="str">
        <f t="shared" ca="1" si="4"/>
        <v>ＧＢ営</v>
      </c>
      <c r="J24" s="144">
        <f t="shared" ca="1" si="4"/>
        <v>450000</v>
      </c>
    </row>
    <row r="25" spans="1:10">
      <c r="B25" s="134" t="s">
        <v>1484</v>
      </c>
      <c r="C25" s="144" t="e">
        <f t="shared" ca="1" si="3"/>
        <v>#N/A</v>
      </c>
      <c r="D25" s="144" t="e">
        <f t="shared" ca="1" si="3"/>
        <v>#N/A</v>
      </c>
      <c r="E25" s="144" t="e">
        <f t="shared" ca="1" si="3"/>
        <v>#N/A</v>
      </c>
      <c r="F25" s="144" t="e">
        <f t="shared" ca="1" si="3"/>
        <v>#N/A</v>
      </c>
      <c r="G25" s="8" t="e">
        <f ca="1">IF(I25="","",IFERROR(LOOKUP(1,0/(中間処理シート!AK:AK=包括・特例!I25),中間処理シート!AP:AP),""))</f>
        <v>#N/A</v>
      </c>
      <c r="H25" s="145" t="e">
        <f t="shared" ca="1" si="2"/>
        <v>#N/A</v>
      </c>
      <c r="I25" s="144" t="e">
        <f t="shared" ca="1" si="4"/>
        <v>#N/A</v>
      </c>
      <c r="J25" s="144" t="e">
        <f t="shared" ca="1" si="4"/>
        <v>#N/A</v>
      </c>
    </row>
    <row r="26" spans="1:10">
      <c r="B26" s="134" t="s">
        <v>713</v>
      </c>
      <c r="C26" s="144" t="str">
        <f t="shared" ref="C26:F28" ca="1" si="5">INDEX(INDIRECT(C$1),MATCH($B26,管理番号,0))</f>
        <v>［販売］特許調査報告書（検索式で抽出する公開特許一覧リスト）</v>
      </c>
      <c r="D26" s="144" t="str">
        <f t="shared" ca="1" si="5"/>
        <v>日本国内</v>
      </c>
      <c r="E26" s="144" t="str">
        <f t="shared" ca="1" si="5"/>
        <v>ファーウェイ技術日本株式会社</v>
      </c>
      <c r="F26" s="144" t="str">
        <f t="shared" ca="1" si="5"/>
        <v>ファーウェイ本社法人（中国）</v>
      </c>
      <c r="G26" s="8" t="str">
        <f ca="1">IF(I26="","",IFERROR(LOOKUP(1,0/(中間処理シート!AK:AK=包括・特例!I26),中間処理シート!AP:AP),""))</f>
        <v/>
      </c>
      <c r="H26" s="145">
        <f t="shared" ca="1" si="2"/>
        <v>200</v>
      </c>
      <c r="I26" s="144" t="str">
        <f t="shared" ref="I26:J28" ca="1" si="6">INDEX(INDIRECT(I$1),MATCH($B26,管理番号,0))</f>
        <v>ＩＰＲ</v>
      </c>
      <c r="J26" s="144">
        <f t="shared" ca="1" si="6"/>
        <v>200000</v>
      </c>
    </row>
    <row r="27" spans="1:10">
      <c r="B27" s="134" t="s">
        <v>922</v>
      </c>
      <c r="C27" s="144" t="str">
        <f t="shared" ca="1" si="5"/>
        <v>［その他］WinActor Cast on Call</v>
      </c>
      <c r="D27" s="144" t="str">
        <f t="shared" ca="1" si="5"/>
        <v>顧客審査票の通り</v>
      </c>
      <c r="E27" s="144" t="str">
        <f t="shared" ca="1" si="5"/>
        <v>顧客審査票の通り</v>
      </c>
      <c r="F27" s="144" t="str">
        <f t="shared" ca="1" si="5"/>
        <v>顧客審査票の通り</v>
      </c>
      <c r="G27" s="8" t="str">
        <f ca="1">IF(I27="","",IFERROR(LOOKUP(1,0/(中間処理シート!AK:AK=包括・特例!I27),中間処理シート!AP:AP),""))</f>
        <v/>
      </c>
      <c r="H27" s="145">
        <f t="shared" ca="1" si="2"/>
        <v>0</v>
      </c>
      <c r="I27" s="144" t="str">
        <f t="shared" ca="1" si="6"/>
        <v>ＡＩＤ</v>
      </c>
      <c r="J27" s="144">
        <f t="shared" ca="1" si="6"/>
        <v>0</v>
      </c>
    </row>
    <row r="28" spans="1:10">
      <c r="B28" s="134" t="s">
        <v>1039</v>
      </c>
      <c r="C28" s="144" t="str">
        <f t="shared" ca="1" si="5"/>
        <v>［技術提供］WinActor Cast on Call シナリオ（市販）</v>
      </c>
      <c r="D28" s="144" t="str">
        <f t="shared" ca="1" si="5"/>
        <v>顧客審査票の通り</v>
      </c>
      <c r="E28" s="144" t="str">
        <f t="shared" ca="1" si="5"/>
        <v>顧客審査票の通り</v>
      </c>
      <c r="F28" s="144" t="str">
        <f t="shared" ca="1" si="5"/>
        <v>顧客審査票の通り</v>
      </c>
      <c r="G28" s="8" t="str">
        <f ca="1">IF(I28="","",IFERROR(LOOKUP(1,0/(中間処理シート!AK:AK=包括・特例!I28),中間処理シート!AP:AP),""))</f>
        <v/>
      </c>
      <c r="H28" s="145">
        <f t="shared" ca="1" si="2"/>
        <v>0</v>
      </c>
      <c r="I28" s="144" t="str">
        <f t="shared" ca="1" si="6"/>
        <v>ＡＩＤ</v>
      </c>
      <c r="J28" s="144">
        <f t="shared" ca="1" si="6"/>
        <v>0</v>
      </c>
    </row>
    <row r="29" spans="1:10">
      <c r="C29" s="144" t="e">
        <f t="shared" ca="1" si="3"/>
        <v>#N/A</v>
      </c>
      <c r="D29" s="144" t="e">
        <f t="shared" ca="1" si="3"/>
        <v>#N/A</v>
      </c>
      <c r="E29" s="144" t="e">
        <f t="shared" ca="1" si="3"/>
        <v>#N/A</v>
      </c>
      <c r="F29" s="144" t="e">
        <f t="shared" ca="1" si="3"/>
        <v>#N/A</v>
      </c>
      <c r="G29" s="8" t="e">
        <f ca="1">IF(I29="","",IFERROR(LOOKUP(1,0/(中間処理シート!AK:AK=包括・特例!I29),中間処理シート!AP:AP),""))</f>
        <v>#N/A</v>
      </c>
      <c r="H29" s="145" t="e">
        <f t="shared" ca="1" si="2"/>
        <v>#N/A</v>
      </c>
      <c r="I29" s="144" t="e">
        <f t="shared" ca="1" si="4"/>
        <v>#N/A</v>
      </c>
      <c r="J29" s="144" t="e">
        <f t="shared" ca="1" si="4"/>
        <v>#N/A</v>
      </c>
    </row>
    <row r="30" spans="1:10">
      <c r="C30" s="144" t="e">
        <f t="shared" ca="1" si="3"/>
        <v>#N/A</v>
      </c>
      <c r="D30" s="144" t="e">
        <f t="shared" ca="1" si="3"/>
        <v>#N/A</v>
      </c>
      <c r="E30" s="144" t="e">
        <f t="shared" ca="1" si="3"/>
        <v>#N/A</v>
      </c>
      <c r="F30" s="144" t="e">
        <f t="shared" ca="1" si="3"/>
        <v>#N/A</v>
      </c>
      <c r="G30" s="8" t="e">
        <f ca="1">IF(I30="","",IFERROR(LOOKUP(1,0/(中間処理シート!AK:AK=包括・特例!I30),中間処理シート!AP:AP),""))</f>
        <v>#N/A</v>
      </c>
      <c r="H30" s="145" t="e">
        <f t="shared" ca="1" si="2"/>
        <v>#N/A</v>
      </c>
      <c r="I30" s="144" t="e">
        <f t="shared" ca="1" si="4"/>
        <v>#N/A</v>
      </c>
      <c r="J30" s="144" t="e">
        <f t="shared" ca="1" si="4"/>
        <v>#N/A</v>
      </c>
    </row>
    <row r="31" spans="1:10">
      <c r="C31" s="144" t="e">
        <f t="shared" ca="1" si="3"/>
        <v>#N/A</v>
      </c>
      <c r="D31" s="144" t="e">
        <f t="shared" ca="1" si="3"/>
        <v>#N/A</v>
      </c>
      <c r="E31" s="144" t="e">
        <f t="shared" ca="1" si="3"/>
        <v>#N/A</v>
      </c>
      <c r="F31" s="144" t="e">
        <f t="shared" ca="1" si="3"/>
        <v>#N/A</v>
      </c>
      <c r="G31" s="8" t="e">
        <f ca="1">IF(I31="","",IFERROR(LOOKUP(1,0/(中間処理シート!AK:AK=包括・特例!I31),中間処理シート!AP:AP),""))</f>
        <v>#N/A</v>
      </c>
      <c r="H31" s="145" t="e">
        <f t="shared" ca="1" si="2"/>
        <v>#N/A</v>
      </c>
      <c r="I31" s="144" t="e">
        <f t="shared" ca="1" si="4"/>
        <v>#N/A</v>
      </c>
      <c r="J31" s="144" t="e">
        <f t="shared" ca="1" si="4"/>
        <v>#N/A</v>
      </c>
    </row>
    <row r="32" spans="1:10">
      <c r="A32" s="134" t="s">
        <v>1485</v>
      </c>
      <c r="G32" s="8" t="str">
        <f>IF(I32="","",IFERROR(LOOKUP(1,0/(中間処理シート!AK:AK=包括・特例!I32),中間処理シート!AP:AP),""))</f>
        <v/>
      </c>
    </row>
    <row r="33" spans="3:10">
      <c r="C33" s="144" t="e">
        <f ca="1">INDEX(INDIRECT(C$1),MATCH($B33,管理番号,0))</f>
        <v>#N/A</v>
      </c>
      <c r="D33" s="144" t="e">
        <f ca="1">INDEX(INDIRECT(D$1),MATCH($B33,管理番号,0))</f>
        <v>#N/A</v>
      </c>
      <c r="E33" s="144" t="e">
        <f ca="1">INDEX(INDIRECT(E$1),MATCH($B33,管理番号,0))</f>
        <v>#N/A</v>
      </c>
      <c r="F33" s="146" t="e">
        <f ca="1">INDEX(INDIRECT(F$1),MATCH($B33,管理番号,0))</f>
        <v>#N/A</v>
      </c>
      <c r="G33" s="8" t="e">
        <f ca="1">IF(I33="","",IFERROR(LOOKUP(1,0/(中間処理シート!AK:AK=包括・特例!I33),中間処理シート!AP:AP),""))</f>
        <v>#N/A</v>
      </c>
      <c r="H33" s="145" t="e">
        <f t="shared" ref="H33" ca="1" si="7">J33/1000</f>
        <v>#N/A</v>
      </c>
      <c r="I33" s="144" t="e">
        <f ca="1">INDEX(INDIRECT(I$1),MATCH($B33,管理番号,0))</f>
        <v>#N/A</v>
      </c>
      <c r="J33" s="144" t="e">
        <f ca="1">INDEX(INDIRECT(J$1),MATCH($B33,管理番号,0))</f>
        <v>#N/A</v>
      </c>
    </row>
  </sheetData>
  <phoneticPr fontId="6"/>
  <pageMargins left="0.7" right="0.7" top="0.75" bottom="0.75" header="0.3" footer="0.3"/>
  <pageSetup paperSize="9" orientation="portrait" horizontalDpi="300"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A1"/>
  <sheetViews>
    <sheetView workbookViewId="0"/>
  </sheetViews>
  <sheetFormatPr defaultRowHeight="18.75"/>
  <sheetData/>
  <phoneticPr fontId="6"/>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18</vt:i4>
      </vt:variant>
    </vt:vector>
  </HeadingPairs>
  <TitlesOfParts>
    <vt:vector size="27" baseType="lpstr">
      <vt:lpstr>yushutsu_kobetsu</vt:lpstr>
      <vt:lpstr>中間処理シート</vt:lpstr>
      <vt:lpstr>Sheet2</vt:lpstr>
      <vt:lpstr>審査件数</vt:lpstr>
      <vt:lpstr>別表１～３</vt:lpstr>
      <vt:lpstr>組織名称・略称・英文呼称</vt:lpstr>
      <vt:lpstr>Sheet3</vt:lpstr>
      <vt:lpstr>包括・特例</vt:lpstr>
      <vt:lpstr>Sheet1</vt:lpstr>
      <vt:lpstr>BU抽出</vt:lpstr>
      <vt:lpstr>組織名称・略称・英文呼称!Print_Area</vt:lpstr>
      <vt:lpstr>組織名称・略称・英文呼称!Print_Titles</vt:lpstr>
      <vt:lpstr>管理番号</vt:lpstr>
      <vt:lpstr>期間＿開始</vt:lpstr>
      <vt:lpstr>期間＿終了</vt:lpstr>
      <vt:lpstr>期間の審査数</vt:lpstr>
      <vt:lpstr>金額_円</vt:lpstr>
      <vt:lpstr>区分抽出</vt:lpstr>
      <vt:lpstr>件名</vt:lpstr>
      <vt:lpstr>顧客・契約先</vt:lpstr>
      <vt:lpstr>最終需要者</vt:lpstr>
      <vt:lpstr>仕向地</vt:lpstr>
      <vt:lpstr>仕向地抽出</vt:lpstr>
      <vt:lpstr>申請者所属</vt:lpstr>
      <vt:lpstr>特例抽出</vt:lpstr>
      <vt:lpstr>非許可特例抽出</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2020-10-20T15:54:43Z</dcterms:modified>
</cp:coreProperties>
</file>