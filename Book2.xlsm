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4B0E4E78-8C15-4891-B01F-760ABAF27B2E}" xr6:coauthVersionLast="45" xr6:coauthVersionMax="45" xr10:uidLastSave="{00000000-0000-0000-0000-000000000000}"/>
  <bookViews>
    <workbookView xWindow="1005" yWindow="90" windowWidth="23400" windowHeight="11250" activeTab="3" xr2:uid="{00000000-000D-0000-FFFF-FFFF00000000}"/>
  </bookViews>
  <sheets>
    <sheet name="yushutsu_kobetsu" sheetId="2" r:id="rId1"/>
    <sheet name="中間処理シート" sheetId="3" r:id="rId2"/>
    <sheet name="ダッシュボード" sheetId="11" r:id="rId3"/>
    <sheet name="仕向地" sheetId="10" r:id="rId4"/>
    <sheet name="組織略称" sheetId="12"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ダッシュボード!$B$23</definedName>
    <definedName name="管理番号">yushutsu_kobetsu!$A:$A</definedName>
    <definedName name="期間＿開始">中間処理シート!$A$3</definedName>
    <definedName name="期間＿終了">中間処理シート!$A$5</definedName>
    <definedName name="期間の審査件数">ダッシュボード!$B$19</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ダッシュボード!$B$22</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名と別名">仕向地!$D$2:$G$5</definedName>
    <definedName name="集計名例外解決">ダッシュボード!$B$18</definedName>
    <definedName name="少額特例適用件数">ダッシュボード!$B$21</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特例抽出">中間処理シート!$A$16</definedName>
    <definedName name="非許可特例抽出">中間処理シート!$A$19</definedName>
    <definedName name="包括許可適用件数">ダッシュボード!$B$20</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1" l="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81" i="3"/>
  <c r="AL85" i="3"/>
  <c r="AL34" i="3"/>
  <c r="AL95" i="3"/>
  <c r="AL76" i="3"/>
  <c r="AL118" i="3"/>
  <c r="AL79" i="3"/>
  <c r="AL78" i="3"/>
  <c r="AL109" i="3"/>
  <c r="AL90" i="3"/>
  <c r="AL80" i="3"/>
  <c r="AL102" i="3"/>
  <c r="AL89" i="3"/>
  <c r="AL72" i="3"/>
  <c r="AL33" i="3"/>
  <c r="AL103" i="3"/>
  <c r="AL29" i="3"/>
  <c r="AL133" i="3"/>
  <c r="AL39" i="3"/>
  <c r="AL53" i="3"/>
  <c r="AL87" i="3"/>
  <c r="AL27" i="3"/>
  <c r="AL64" i="3"/>
  <c r="AL60" i="3"/>
  <c r="AL9" i="3"/>
  <c r="AL48" i="3"/>
  <c r="AL16" i="3"/>
  <c r="AL50" i="3"/>
  <c r="AL130" i="3"/>
  <c r="AL43" i="3"/>
  <c r="AL122" i="3"/>
  <c r="AL58" i="3"/>
  <c r="AL112" i="3"/>
  <c r="AL105" i="3"/>
  <c r="AL71" i="3"/>
  <c r="AL37" i="3"/>
  <c r="AL97" i="3"/>
  <c r="AL66" i="3"/>
  <c r="AL115" i="3"/>
  <c r="AL52" i="3"/>
  <c r="AL40" i="3"/>
  <c r="AL46" i="3"/>
  <c r="AL54" i="3"/>
  <c r="AL98" i="3"/>
  <c r="AL17" i="3"/>
  <c r="AL82" i="3"/>
  <c r="AL14" i="3"/>
  <c r="AL57" i="3"/>
  <c r="AL83" i="3"/>
  <c r="AL47" i="3"/>
  <c r="AL125" i="3"/>
  <c r="AL28" i="3"/>
  <c r="AL20" i="3"/>
  <c r="AL23" i="3"/>
  <c r="AL25" i="3"/>
  <c r="AL36" i="3"/>
  <c r="AL18" i="3"/>
  <c r="AL129" i="3"/>
  <c r="AL70" i="3"/>
  <c r="AL132" i="3"/>
  <c r="AL92" i="3"/>
  <c r="AL42" i="3"/>
  <c r="AL55" i="3"/>
  <c r="AL127" i="3"/>
  <c r="AL63" i="3"/>
  <c r="AL10" i="3"/>
  <c r="AL110" i="3"/>
  <c r="AL117" i="3"/>
  <c r="AL113" i="3"/>
  <c r="AL116" i="3"/>
  <c r="AL12" i="3"/>
  <c r="AL96" i="3"/>
  <c r="AL59" i="3"/>
  <c r="AL41" i="3"/>
  <c r="AL107" i="3"/>
  <c r="AL51" i="3"/>
  <c r="AL108" i="3"/>
  <c r="AL94" i="3"/>
  <c r="AL135" i="3"/>
  <c r="AL11" i="3"/>
  <c r="AL19" i="3"/>
  <c r="AL8" i="3"/>
  <c r="AL88" i="3"/>
  <c r="AL7" i="3"/>
  <c r="AL91" i="3"/>
  <c r="AL124" i="3"/>
  <c r="AL45" i="3"/>
  <c r="AL123" i="3"/>
  <c r="AL6" i="3"/>
  <c r="AL35" i="3"/>
  <c r="AL15" i="3"/>
  <c r="AL65" i="3"/>
  <c r="AL84" i="3"/>
  <c r="AL24" i="3"/>
  <c r="AL104" i="3"/>
  <c r="AL128" i="3"/>
  <c r="AL101" i="3"/>
  <c r="AL68" i="3"/>
  <c r="AL31" i="3"/>
  <c r="AL93" i="3"/>
  <c r="AL134" i="3"/>
  <c r="AL99" i="3"/>
  <c r="AL75" i="3"/>
  <c r="AL30" i="3"/>
  <c r="AL131" i="3"/>
  <c r="AL13" i="3"/>
  <c r="AL114" i="3"/>
  <c r="AL126" i="3"/>
  <c r="AL61" i="3"/>
  <c r="AL22" i="3"/>
  <c r="AL49" i="3"/>
  <c r="AL69" i="3"/>
  <c r="AL74" i="3"/>
  <c r="AL86" i="3"/>
  <c r="AL121" i="3"/>
  <c r="AL67" i="3"/>
  <c r="AL73" i="3"/>
  <c r="AL26" i="3"/>
  <c r="AL111" i="3"/>
  <c r="AL106" i="3"/>
  <c r="AL44" i="3"/>
  <c r="AL77" i="3"/>
  <c r="AL32" i="3"/>
  <c r="AL62" i="3"/>
  <c r="AL119" i="3"/>
  <c r="AL120" i="3"/>
  <c r="AL56" i="3"/>
  <c r="AL38" i="3"/>
  <c r="AL100" i="3"/>
  <c r="AL21"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F5" i="9"/>
  <c r="D4" i="9"/>
  <c r="F7" i="9"/>
  <c r="C5" i="9"/>
  <c r="E12" i="9"/>
  <c r="F12" i="9"/>
  <c r="I30" i="9"/>
  <c r="E14" i="9"/>
  <c r="I4" i="9"/>
  <c r="D24" i="9"/>
  <c r="I13" i="9"/>
  <c r="F4" i="9"/>
  <c r="I29" i="9"/>
  <c r="D8" i="9"/>
  <c r="E25" i="9"/>
  <c r="J7" i="9"/>
  <c r="C25" i="9"/>
  <c r="E6" i="9"/>
  <c r="F14" i="9"/>
  <c r="I24" i="9"/>
  <c r="C10" i="9"/>
  <c r="E9" i="9"/>
  <c r="E29" i="9"/>
  <c r="C8" i="9"/>
  <c r="J25" i="9"/>
  <c r="J22" i="9"/>
  <c r="D33" i="9"/>
  <c r="C9" i="9"/>
  <c r="I25" i="9"/>
  <c r="D26" i="9"/>
  <c r="C7" i="9"/>
  <c r="D12" i="9"/>
  <c r="J8" i="9"/>
  <c r="C27" i="9"/>
  <c r="F20" i="9"/>
  <c r="D30" i="9"/>
  <c r="J12" i="9"/>
  <c r="J5" i="9"/>
  <c r="E31" i="9"/>
  <c r="I20" i="9"/>
  <c r="E22" i="9"/>
  <c r="F29" i="9"/>
  <c r="C33" i="9"/>
  <c r="I16" i="9"/>
  <c r="J24" i="9"/>
  <c r="J31" i="9"/>
  <c r="I27" i="9"/>
  <c r="C30" i="9"/>
  <c r="E7" i="9"/>
  <c r="J11" i="9"/>
  <c r="F9" i="9"/>
  <c r="J21" i="9"/>
  <c r="D29" i="9"/>
  <c r="J19" i="9"/>
  <c r="I12" i="9"/>
  <c r="D16" i="9"/>
  <c r="E16" i="9"/>
  <c r="J28" i="9"/>
  <c r="I15" i="9"/>
  <c r="D20" i="9"/>
  <c r="I31" i="9"/>
  <c r="J33" i="9"/>
  <c r="D13" i="9"/>
  <c r="D5" i="9"/>
  <c r="J14" i="9"/>
  <c r="J20" i="9"/>
  <c r="J29" i="9"/>
  <c r="J16" i="9"/>
  <c r="I21" i="9"/>
  <c r="F24" i="9"/>
  <c r="E10" i="9"/>
  <c r="I7" i="9"/>
  <c r="D10" i="9"/>
  <c r="J23" i="9"/>
  <c r="J30" i="9"/>
  <c r="F11" i="9"/>
  <c r="A14" i="3"/>
  <c r="I28" i="9"/>
  <c r="F18" i="9"/>
  <c r="D19" i="9"/>
  <c r="E8" i="9"/>
  <c r="F30" i="9"/>
  <c r="J10" i="9"/>
  <c r="D28" i="9"/>
  <c r="I14" i="9"/>
  <c r="E23" i="9"/>
  <c r="I5" i="9"/>
  <c r="C14" i="9"/>
  <c r="C19" i="9"/>
  <c r="E33" i="9"/>
  <c r="I18" i="9"/>
  <c r="F27" i="9"/>
  <c r="J18" i="9"/>
  <c r="F8" i="9"/>
  <c r="D15" i="9"/>
  <c r="F19" i="9"/>
  <c r="E4" i="9"/>
  <c r="F22" i="9"/>
  <c r="A20" i="3"/>
  <c r="E27" i="9"/>
  <c r="J4" i="9"/>
  <c r="E28" i="9"/>
  <c r="D21" i="9"/>
  <c r="E24" i="9"/>
  <c r="C6" i="9"/>
  <c r="E15" i="9"/>
  <c r="F33" i="9"/>
  <c r="C18" i="9"/>
  <c r="F28" i="9"/>
  <c r="F6" i="9"/>
  <c r="J9" i="9"/>
  <c r="F21" i="9"/>
  <c r="E18" i="9"/>
  <c r="I8" i="9"/>
  <c r="D7" i="9"/>
  <c r="C16" i="9"/>
  <c r="E21" i="9"/>
  <c r="D22" i="9"/>
  <c r="E13" i="9"/>
  <c r="J6" i="9"/>
  <c r="I26" i="9"/>
  <c r="C11" i="9"/>
  <c r="J13" i="9"/>
  <c r="C26" i="9"/>
  <c r="D23" i="9"/>
  <c r="C4" i="9"/>
  <c r="E26" i="9"/>
  <c r="D27" i="9"/>
  <c r="C15" i="9"/>
  <c r="C13" i="9"/>
  <c r="A17" i="3"/>
  <c r="I22" i="9"/>
  <c r="C20" i="9"/>
  <c r="F16" i="9"/>
  <c r="J26" i="9"/>
  <c r="D25" i="9"/>
  <c r="D14" i="9"/>
  <c r="F10" i="9"/>
  <c r="C23" i="9"/>
  <c r="D31" i="9"/>
  <c r="I23" i="9"/>
  <c r="J15" i="9"/>
  <c r="F13" i="9"/>
  <c r="C22" i="9"/>
  <c r="I11" i="9"/>
  <c r="D18" i="9"/>
  <c r="C12" i="9"/>
  <c r="J27" i="9"/>
  <c r="D9" i="9"/>
  <c r="C29" i="9"/>
  <c r="I33" i="9"/>
  <c r="F15" i="9"/>
  <c r="E11" i="9"/>
  <c r="F25" i="9"/>
  <c r="I9" i="9"/>
  <c r="I6" i="9"/>
  <c r="C28" i="9"/>
  <c r="D6" i="9"/>
  <c r="E19" i="9"/>
  <c r="D11" i="9"/>
  <c r="E20" i="9"/>
  <c r="E5" i="9"/>
  <c r="C21" i="9"/>
  <c r="C31" i="9"/>
  <c r="F26" i="9"/>
  <c r="E30" i="9"/>
  <c r="I19" i="9"/>
  <c r="F23" i="9"/>
  <c r="F31" i="9"/>
  <c r="C24" i="9"/>
  <c r="I10"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P17" i="3"/>
  <c r="Q24" i="3"/>
  <c r="G15" i="6"/>
  <c r="B3" i="6" l="1"/>
  <c r="Q15" i="3"/>
  <c r="P5" i="3"/>
  <c r="Q5" i="3"/>
  <c r="Q16" i="3"/>
  <c r="P8" i="3"/>
  <c r="P15" i="3"/>
  <c r="Q8" i="3"/>
  <c r="Q19" i="3"/>
  <c r="Q22" i="3"/>
  <c r="P12" i="3"/>
  <c r="Q6" i="3"/>
  <c r="Q21" i="3"/>
  <c r="P6" i="3"/>
  <c r="P21" i="3"/>
  <c r="Q11" i="3"/>
  <c r="Q12" i="3"/>
  <c r="P25" i="3"/>
  <c r="C24" i="6" s="1"/>
  <c r="B24" i="6"/>
  <c r="Q4" i="3"/>
  <c r="D3" i="6" s="1"/>
  <c r="Q18" i="3"/>
  <c r="P9" i="3"/>
  <c r="P14" i="3"/>
  <c r="P4" i="3"/>
  <c r="C3" i="6" s="1"/>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D10" i="6" l="1"/>
  <c r="C10" i="6"/>
  <c r="B10" i="6"/>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C26" i="6" s="1"/>
  <c r="B22" i="6"/>
  <c r="D22" i="6"/>
  <c r="D26" i="6" s="1"/>
  <c r="D23" i="6" l="1"/>
  <c r="C23" i="6"/>
  <c r="B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<sst xmlns="http://schemas.openxmlformats.org/spreadsheetml/2006/main" count="5347" uniqueCount="1526">
  <si>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</si>
  <si>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</si>
  <si>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</si>
  <si>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</si>
  <si>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</si>
  <si>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</si>
  <si>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</si>
  <si>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</si>
  <si>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</si>
  <si>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</si>
  <si>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</si>
  <si>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</si>
  <si>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</si>
  <si>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</si>
  <si>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</si>
  <si>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</si>
  <si>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</si>
  <si>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</si>
  <si>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</si>
  <si>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</si>
  <si>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</si>
  <si>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</si>
  <si>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</si>
  <si>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</si>
  <si>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</si>
  <si>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</si>
  <si>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</si>
  <si>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</si>
  <si>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</si>
  <si>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</si>
  <si>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</si>
  <si>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</si>
  <si>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</si>
  <si>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</si>
  <si>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</si>
  <si>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</si>
  <si>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</si>
  <si>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</si>
  <si>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</si>
  <si>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</si>
  <si>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</si>
  <si>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</si>
  <si>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</si>
  <si>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</si>
  <si>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</si>
  <si>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</si>
  <si>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</si>
  <si>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</si>
  <si>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</si>
  <si>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</si>
  <si>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</si>
  <si>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</si>
  <si>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</si>
  <si>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</si>
  <si>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</si>
  <si>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</si>
  <si>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</si>
  <si>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</si>
  <si>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</si>
  <si>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</si>
  <si>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</si>
  <si>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</si>
  <si>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</si>
  <si>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</si>
  <si>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</si>
  <si>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</si>
  <si>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</si>
  <si>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</si>
  <si>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</si>
  <si>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</si>
  <si>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</si>
  <si>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</si>
  <si>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</si>
  <si>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</si>
  <si>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</si>
  <si>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</si>
  <si>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</si>
  <si>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</si>
  <si>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</si>
  <si>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</si>
  <si>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</si>
  <si>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</si>
  <si>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</si>
  <si>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</si>
  <si>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</si>
  <si>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</si>
  <si>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</si>
  <si>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</si>
  <si>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</si>
  <si>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</si>
  <si>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</si>
  <si>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</si>
  <si>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</si>
  <si>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</si>
  <si>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</si>
  <si>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</si>
  <si>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</si>
  <si>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</si>
  <si>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</si>
  <si>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</si>
  <si>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</si>
  <si>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</si>
  <si>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</si>
  <si>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</si>
  <si>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</si>
  <si>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</si>
  <si>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</si>
  <si>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</si>
  <si>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</si>
  <si>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</si>
  <si>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</si>
  <si>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</si>
  <si>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</si>
  <si>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</si>
  <si>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</si>
  <si>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</si>
  <si>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</si>
  <si>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</si>
  <si>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</si>
  <si>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</si>
  <si>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</si>
  <si>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</si>
  <si>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</si>
  <si>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</si>
  <si>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</si>
  <si>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</si>
  <si>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</si>
  <si>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</si>
  <si>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</si>
  <si>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</si>
  <si>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</si>
  <si>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</si>
  <si>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</si>
  <si>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</si>
  <si>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</si>
  <si>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</si>
  <si>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</si>
  <si>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</si>
  <si>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</si>
  <si>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</si>
  <si>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</si>
  <si>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</si>
  <si>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</si>
  <si>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</si>
  <si>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</si>
  <si>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</si>
  <si>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</si>
  <si>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</si>
  <si>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</si>
  <si>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</si>
  <si>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</si>
  <si>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</si>
  <si>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</si>
  <si>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</si>
  <si>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</si>
  <si>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</si>
  <si>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</si>
  <si>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</si>
  <si>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</si>
  <si>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</si>
  <si>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</si>
  <si>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</si>
  <si>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</si>
  <si>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</si>
  <si>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</si>
  <si>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</si>
  <si>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</si>
  <si>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</si>
  <si>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</si>
  <si>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</si>
  <si>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</si>
  <si>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</si>
  <si>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</si>
  <si>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</si>
  <si>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</si>
  <si>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</si>
  <si>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</si>
  <si>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</si>
  <si>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</si>
  <si>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</si>
  <si>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</si>
  <si>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</si>
  <si>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</si>
  <si>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</si>
  <si>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</si>
  <si>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</si>
  <si>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</si>
  <si>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</si>
  <si>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</si>
  <si>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</si>
  <si>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</si>
  <si>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</si>
  <si>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</si>
  <si>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</si>
  <si>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</si>
  <si>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</si>
  <si>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</si>
  <si>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</si>
  <si>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</si>
  <si>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</si>
  <si>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</si>
  <si>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</si>
  <si>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</si>
  <si>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</si>
  <si>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</si>
  <si>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</si>
  <si>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</si>
  <si>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</si>
  <si>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</si>
  <si>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</si>
  <si>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</si>
  <si>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</si>
  <si>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</si>
  <si>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</si>
  <si>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</si>
  <si>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</si>
  <si>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</si>
  <si>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</si>
  <si>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</si>
  <si>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</si>
  <si>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</si>
  <si>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</si>
  <si>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</si>
  <si>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</si>
  <si>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</si>
  <si>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</si>
  <si>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</si>
  <si>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</si>
  <si>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</si>
  <si>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</si>
  <si>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</si>
  <si>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</si>
  <si>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</si>
  <si>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</si>
  <si>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</si>
  <si>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</si>
  <si>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</si>
  <si>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</si>
  <si>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</si>
  <si>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</si>
  <si>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</si>
  <si>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</si>
  <si>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</si>
  <si>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</si>
  <si>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</si>
  <si>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</si>
  <si>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</si>
  <si>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</si>
  <si>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</si>
  <si>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</si>
  <si>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</si>
  <si>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</si>
  <si>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</si>
  <si>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</si>
  <si>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</si>
  <si>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</si>
  <si>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</si>
  <si>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</si>
  <si>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</si>
  <si>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</si>
  <si>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</si>
  <si>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</si>
  <si>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</si>
  <si>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</si>
  <si>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</si>
  <si>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</si>
  <si>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</si>
  <si>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</si>
  <si>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</si>
  <si>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</si>
  <si>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</si>
  <si>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</si>
  <si>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</si>
  <si>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</si>
  <si>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</si>
  <si>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</si>
  <si>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</si>
  <si>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</si>
  <si>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</si>
  <si>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</si>
  <si>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</si>
  <si>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</si>
  <si>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</si>
  <si>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</si>
  <si>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</si>
  <si>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</si>
  <si>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</si>
  <si>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</si>
  <si>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</si>
  <si>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</si>
  <si>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</si>
  <si>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</si>
  <si>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</si>
  <si>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</si>
  <si>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</si>
  <si>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</si>
  <si>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</si>
  <si>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</si>
  <si>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</si>
  <si>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</si>
  <si>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</si>
  <si>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</si>
  <si>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</si>
  <si>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</si>
  <si>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</si>
  <si>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</si>
  <si>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</si>
  <si>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</si>
  <si>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</si>
  <si>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</si>
  <si>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</si>
  <si>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</si>
  <si>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</si>
  <si>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</si>
  <si>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</si>
  <si>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</si>
  <si>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</si>
  <si>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</si>
  <si>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</si>
  <si>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</si>
  <si>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</si>
  <si>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</si>
  <si>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</si>
  <si>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</si>
  <si>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</si>
  <si>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</si>
  <si>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</si>
  <si>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</si>
  <si>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</si>
  <si>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</si>
  <si>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</si>
  <si>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</si>
  <si>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</si>
  <si>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</si>
  <si>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</si>
  <si>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</si>
  <si>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</si>
  <si>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</si>
  <si>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</si>
  <si>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</si>
  <si>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</si>
  <si>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</si>
  <si>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</si>
  <si>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</si>
  <si>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</si>
  <si>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</si>
  <si>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</si>
  <si>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</si>
  <si>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</si>
  <si>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</si>
  <si>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</si>
  <si>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</si>
  <si>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</si>
  <si>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</si>
  <si>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</si>
  <si>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</si>
  <si>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</si>
  <si>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</si>
  <si>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</si>
  <si>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</si>
  <si>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</si>
  <si>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</si>
  <si>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</si>
  <si>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</si>
  <si>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</si>
  <si>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</si>
  <si>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</si>
  <si>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</si>
  <si>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</si>
  <si>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</si>
  <si>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</si>
  <si>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</si>
  <si>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</si>
  <si>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</si>
  <si>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</si>
  <si>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</si>
  <si>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</si>
  <si>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</si>
  <si>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</si>
  <si>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</si>
  <si>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</si>
  <si>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</si>
  <si>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</si>
  <si>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</si>
  <si>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</si>
  <si>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</si>
  <si>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</si>
  <si>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</si>
  <si>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</si>
  <si>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</si>
  <si>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</si>
  <si>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</si>
  <si>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</si>
  <si>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</si>
  <si>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</si>
  <si>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</si>
  <si>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</si>
  <si>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</si>
  <si>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</si>
  <si>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</si>
  <si>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</si>
  <si>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</si>
  <si>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</si>
  <si>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</si>
  <si>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</si>
  <si>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</si>
  <si>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</si>
  <si>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</si>
  <si>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</si>
  <si>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</si>
  <si>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</si>
  <si>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</si>
  <si>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</si>
  <si>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</si>
  <si>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</si>
  <si>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</si>
  <si>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</si>
  <si>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</si>
  <si>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</si>
  <si>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</si>
  <si>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</si>
  <si>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</si>
  <si>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</si>
  <si>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</si>
  <si>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</si>
  <si>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</si>
  <si>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</si>
  <si>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</si>
  <si>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</si>
  <si>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</si>
  <si>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</si>
  <si>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</si>
  <si>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</si>
  <si>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</si>
  <si>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</si>
  <si>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</si>
  <si>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</si>
  <si>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</si>
  <si>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</si>
  <si>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</si>
  <si>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</si>
  <si>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</si>
  <si>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</si>
  <si>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</si>
  <si>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</si>
  <si>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</si>
  <si>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</si>
  <si>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</si>
  <si>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</si>
  <si>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</si>
  <si>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</si>
  <si>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</si>
  <si>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</si>
  <si>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</si>
  <si>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</si>
  <si>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</si>
  <si>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</si>
  <si>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</si>
  <si>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</si>
  <si>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</si>
  <si>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</si>
  <si>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</si>
  <si>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</si>
  <si>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</si>
  <si>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</si>
  <si>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</si>
  <si>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</si>
  <si>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</si>
  <si>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</si>
  <si>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</si>
  <si>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</si>
  <si>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</si>
  <si>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</si>
  <si>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</si>
  <si>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</si>
  <si>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</si>
  <si>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</si>
  <si>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</si>
  <si>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</si>
  <si>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</si>
  <si>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</si>
  <si>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</si>
  <si>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</si>
  <si>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</si>
  <si>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</si>
  <si>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</si>
  <si>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</si>
  <si>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</si>
  <si>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</si>
  <si>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</si>
  <si>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</si>
  <si>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</si>
  <si>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</si>
  <si>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</si>
  <si>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</si>
  <si>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</si>
  <si>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</si>
  <si>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</si>
  <si>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</si>
  <si>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</si>
  <si>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</si>
  <si>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</si>
  <si>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</si>
  <si>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</si>
  <si>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</si>
  <si>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</si>
  <si>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</si>
  <si>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</si>
  <si>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</si>
  <si>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</si>
  <si>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</si>
  <si>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</si>
  <si>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</si>
  <si>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</si>
  <si>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</si>
  <si>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</si>
  <si>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</si>
  <si>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</si>
  <si>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</si>
  <si>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</si>
  <si>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</si>
  <si>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</si>
  <si>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</si>
  <si>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</si>
  <si>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</si>
  <si>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</si>
  <si>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</si>
  <si>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</si>
  <si>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</si>
  <si>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</si>
  <si>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</si>
  <si>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</si>
  <si>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</si>
  <si>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</si>
  <si>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</si>
  <si>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</si>
  <si>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</si>
  <si>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</si>
  <si>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</si>
  <si>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</si>
  <si>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</si>
  <si>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</si>
  <si>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</si>
  <si>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</si>
  <si>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</si>
  <si>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</si>
  <si>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</si>
  <si>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</si>
  <si>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</si>
  <si>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</si>
  <si>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</si>
  <si>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</si>
  <si>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</si>
  <si>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</si>
  <si>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</si>
  <si>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</si>
  <si>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</si>
  <si>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</si>
  <si>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</si>
  <si>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</si>
  <si>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</si>
  <si>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</si>
  <si>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</si>
  <si>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</si>
  <si>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</si>
  <si>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</si>
  <si>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</si>
  <si>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</si>
  <si>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</si>
  <si>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</si>
  <si>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</si>
  <si>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</si>
  <si>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</si>
  <si>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</si>
  <si>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</si>
  <si>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</si>
  <si>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</si>
  <si>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</si>
  <si>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</si>
  <si>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</si>
  <si>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</si>
  <si>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</si>
  <si>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</si>
  <si>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</si>
  <si>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</si>
  <si>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</si>
  <si>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</si>
  <si>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</si>
  <si>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</si>
  <si>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</si>
  <si>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</si>
  <si>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</si>
  <si>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</si>
  <si>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</si>
  <si>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</si>
  <si>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</si>
  <si>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</si>
  <si>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</si>
  <si>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</si>
  <si>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</si>
  <si>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</si>
  <si>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</si>
  <si>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</si>
  <si>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</si>
  <si>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</si>
  <si>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</si>
  <si>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</si>
  <si>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</si>
  <si>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</si>
  <si>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</si>
  <si>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</si>
  <si>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</si>
  <si>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</si>
  <si>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</si>
  <si>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</si>
  <si>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</si>
  <si>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</si>
  <si>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</si>
  <si>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</si>
  <si>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</si>
  <si>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</si>
  <si>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</si>
  <si>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</si>
  <si>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</si>
  <si>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</si>
  <si>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</si>
  <si>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</si>
  <si>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</si>
  <si>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</si>
  <si>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</si>
  <si>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</si>
  <si>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</si>
  <si>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</si>
  <si>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</si>
  <si>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</si>
  <si>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</si>
  <si>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</si>
  <si>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</si>
  <si>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</si>
  <si>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</si>
  <si>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</si>
  <si>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</si>
  <si>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</si>
  <si>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</si>
  <si>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</si>
  <si>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</si>
  <si>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</si>
  <si>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</si>
  <si>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</si>
  <si>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</si>
  <si>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</si>
  <si>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</si>
  <si>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</si>
  <si>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</si>
  <si>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</si>
  <si>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</si>
  <si>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</si>
  <si>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</si>
  <si>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</si>
  <si>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</si>
  <si>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</si>
  <si>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</si>
  <si>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</si>
  <si>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</si>
  <si>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</si>
  <si>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</si>
  <si>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</si>
  <si>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</si>
  <si>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</si>
  <si>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</si>
  <si>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</si>
  <si>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</si>
  <si>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</si>
  <si>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</si>
  <si>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</si>
  <si>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</si>
  <si>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</si>
  <si>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</si>
  <si>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</si>
  <si>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</si>
  <si>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</si>
  <si>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</si>
  <si>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</si>
  <si>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</si>
  <si>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</si>
  <si>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</si>
  <si>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</si>
  <si>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</si>
  <si>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</si>
  <si>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</si>
  <si>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</si>
  <si>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</si>
  <si>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</si>
  <si>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</si>
  <si>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</si>
  <si>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</si>
  <si>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</si>
  <si>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</si>
  <si>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</si>
  <si>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</si>
  <si>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</si>
  <si>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</si>
  <si>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</si>
  <si>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</si>
  <si>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</si>
  <si>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</si>
  <si>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</si>
  <si>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</si>
  <si>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</si>
  <si>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</si>
  <si>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</si>
  <si>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</si>
  <si>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</si>
  <si>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</si>
  <si>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</si>
  <si>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</si>
  <si>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</si>
  <si>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</si>
  <si>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</si>
  <si>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</si>
  <si>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</si>
  <si>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</si>
  <si>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</si>
  <si>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</si>
  <si>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</si>
  <si>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</si>
  <si>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</si>
  <si>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</si>
  <si>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</si>
  <si>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</si>
  <si>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</si>
  <si>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</si>
  <si>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</si>
  <si>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</si>
  <si>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</si>
  <si>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</si>
  <si>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</si>
  <si>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</si>
  <si>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</si>
  <si>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</si>
  <si>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</si>
  <si>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</si>
  <si>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</si>
  <si>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</si>
  <si>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</si>
  <si>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</si>
  <si>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</si>
  <si>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</si>
  <si>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</si>
  <si>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</si>
  <si>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</si>
  <si>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</si>
  <si>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</si>
  <si>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</si>
  <si>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</si>
  <si>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</si>
  <si>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</si>
  <si>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</si>
  <si>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</si>
  <si>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</si>
  <si>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</si>
  <si>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</si>
  <si>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</si>
  <si>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</si>
  <si>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</si>
  <si>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</si>
  <si>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</si>
  <si>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</si>
  <si>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</si>
  <si>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</si>
  <si>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</si>
  <si>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</si>
  <si>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</si>
  <si>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</si>
  <si>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</si>
  <si>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</si>
  <si>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</si>
  <si>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</si>
  <si>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</si>
  <si>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</si>
  <si>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</si>
  <si>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</si>
  <si>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</si>
  <si>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</si>
  <si>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</si>
  <si>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</si>
  <si>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</si>
  <si>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</si>
  <si>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</si>
  <si>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</si>
  <si>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</si>
  <si>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</si>
  <si>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</si>
  <si>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</si>
  <si>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</si>
  <si>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</si>
  <si>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</si>
  <si>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</si>
  <si>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</si>
  <si>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</si>
  <si>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</si>
  <si>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</si>
  <si>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</si>
  <si>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</si>
  <si>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</si>
  <si>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</si>
  <si>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</si>
  <si>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</si>
  <si>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</si>
  <si>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</si>
  <si>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</si>
  <si>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</si>
  <si>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</si>
  <si>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</si>
  <si>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</si>
  <si>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</si>
  <si>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</si>
  <si>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</si>
  <si>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</si>
  <si>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</si>
  <si>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</si>
  <si>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</si>
  <si>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</si>
  <si>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</si>
  <si>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</si>
  <si>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</si>
  <si>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</si>
  <si>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</si>
  <si>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</si>
  <si>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</si>
  <si>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</si>
  <si>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</si>
  <si>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</si>
  <si>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</si>
  <si>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</si>
  <si>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</si>
  <si>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</si>
  <si>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</si>
  <si>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</si>
  <si>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</si>
  <si>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</si>
  <si>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</si>
  <si>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</si>
  <si>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</si>
  <si>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</si>
  <si>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</si>
  <si>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</si>
  <si>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</si>
  <si>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</si>
  <si>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</si>
  <si>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</si>
  <si>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</si>
  <si>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</si>
  <si>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</si>
  <si>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</si>
  <si>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</si>
  <si>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</si>
  <si>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</si>
  <si>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</si>
  <si>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</si>
  <si>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</si>
  <si>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</si>
  <si>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</si>
  <si>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</si>
  <si>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</si>
  <si>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</si>
  <si>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</si>
  <si>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</si>
  <si>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</si>
  <si>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</si>
  <si>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</si>
  <si>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</si>
  <si>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</si>
  <si>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</si>
  <si>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</si>
  <si>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</si>
  <si>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</si>
  <si>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</si>
  <si>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</si>
  <si>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</si>
  <si>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</si>
  <si>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</si>
  <si>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</si>
  <si>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</si>
  <si>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</si>
  <si>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</si>
  <si>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</si>
  <si>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</si>
  <si>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</si>
  <si>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</si>
  <si>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</si>
  <si>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</si>
  <si>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</si>
  <si>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</si>
  <si>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</si>
  <si>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</si>
  <si>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</si>
  <si>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</si>
  <si>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</si>
  <si>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</si>
  <si>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</si>
  <si>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</si>
  <si>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</si>
  <si>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</si>
  <si>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</si>
  <si>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</si>
  <si>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</si>
  <si>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</si>
  <si>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</si>
  <si>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</si>
  <si>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</si>
  <si>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</si>
  <si>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</si>
  <si>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</si>
  <si>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</si>
  <si>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</si>
  <si>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</si>
  <si>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</si>
  <si>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</si>
  <si>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</si>
  <si>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</si>
  <si>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</si>
  <si>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</si>
  <si>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</si>
  <si>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</si>
  <si>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</si>
  <si>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</si>
  <si>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</si>
  <si>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</si>
  <si>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</si>
  <si>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</si>
  <si>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</si>
  <si>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</si>
  <si>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</si>
  <si>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</si>
  <si>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</si>
  <si>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</si>
  <si>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</si>
  <si>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</si>
  <si>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</si>
  <si>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</si>
  <si>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</si>
  <si>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</si>
  <si>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</si>
  <si>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</si>
  <si>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</si>
  <si>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</si>
  <si>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</si>
  <si>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</si>
  <si>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</si>
  <si>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</si>
  <si>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</si>
  <si>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</si>
  <si>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</si>
  <si>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</si>
  <si>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</si>
  <si>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</si>
  <si>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</si>
  <si>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</si>
  <si>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</si>
  <si>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</si>
  <si>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</si>
  <si>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</si>
  <si>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</si>
  <si>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</si>
  <si>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</si>
  <si>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</si>
  <si>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</si>
  <si>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</si>
  <si>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</si>
  <si>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</si>
  <si>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</si>
  <si>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</si>
  <si>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</si>
  <si>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</si>
  <si>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</si>
  <si>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</si>
  <si>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</si>
  <si>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</si>
  <si>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</si>
  <si>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</si>
  <si>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</si>
  <si>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</si>
  <si>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</si>
  <si>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</si>
  <si>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</si>
  <si>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</si>
  <si>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</si>
  <si>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</si>
  <si>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</si>
  <si>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</si>
  <si>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</si>
  <si>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</si>
  <si>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</si>
  <si>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</si>
  <si>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</si>
  <si>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</si>
  <si>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</si>
  <si>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</si>
  <si>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</si>
  <si>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</si>
  <si>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</si>
  <si>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</si>
  <si>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</si>
  <si>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</si>
  <si>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</si>
  <si>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</si>
  <si>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</si>
  <si>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</si>
  <si>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</si>
  <si>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</si>
  <si>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</si>
  <si>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</si>
  <si>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</si>
  <si>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</si>
  <si>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</si>
  <si>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</si>
  <si>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</si>
  <si>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</si>
  <si>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</si>
  <si>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</si>
  <si>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</si>
  <si>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</si>
  <si>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</si>
  <si>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</si>
  <si>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</si>
  <si>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</si>
  <si>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</si>
  <si>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</si>
  <si>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</si>
  <si>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</si>
  <si>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</si>
  <si>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</si>
  <si>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</si>
  <si>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</si>
  <si>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</si>
  <si>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</si>
  <si>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</si>
  <si>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</si>
  <si>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</si>
  <si>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</si>
  <si>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</si>
  <si>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</si>
  <si>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</si>
  <si>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</si>
  <si>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</si>
  <si>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</si>
  <si>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</si>
  <si>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</si>
  <si>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</si>
  <si>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</si>
  <si>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</si>
  <si>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</si>
  <si>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</si>
  <si>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</si>
  <si>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</si>
  <si>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</si>
  <si>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</si>
  <si>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</si>
  <si>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</si>
  <si>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</si>
  <si>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</si>
  <si>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</si>
  <si>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</si>
  <si>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</si>
  <si>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</si>
  <si>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</si>
  <si>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</si>
  <si>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</si>
  <si>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</si>
  <si>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</si>
  <si>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</si>
  <si>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</si>
  <si>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</si>
  <si>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</si>
  <si>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</si>
  <si>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</si>
  <si>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</si>
  <si>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</si>
  <si>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</si>
  <si>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</si>
  <si>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</si>
  <si>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</si>
  <si>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</si>
  <si>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</si>
  <si>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</si>
  <si>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</si>
  <si>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</si>
  <si>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</si>
  <si>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</si>
  <si>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</si>
  <si>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</si>
  <si>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</si>
  <si>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</si>
  <si>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</si>
  <si>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</si>
  <si>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</si>
  <si>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</si>
  <si>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</si>
  <si>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</si>
  <si>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</si>
  <si>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</si>
  <si>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</si>
  <si>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</si>
  <si>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</si>
  <si>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</si>
  <si>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</si>
  <si>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</si>
  <si>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</si>
  <si>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</si>
  <si>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</si>
  <si>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</si>
  <si>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</si>
  <si>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</si>
  <si>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</si>
  <si>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</si>
  <si>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</si>
  <si>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</si>
  <si>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</si>
  <si>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</si>
  <si>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</si>
  <si>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</si>
  <si>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</si>
  <si>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</si>
  <si>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</si>
  <si>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</si>
  <si>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</si>
  <si>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</si>
  <si>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</si>
  <si>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</si>
  <si>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</si>
  <si>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</si>
  <si>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</si>
  <si>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</si>
  <si>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</si>
  <si>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</si>
  <si>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</si>
  <si>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</si>
  <si>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</si>
  <si>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</si>
  <si>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</si>
  <si>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</si>
  <si>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</si>
  <si>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</si>
  <si>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</si>
  <si>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</si>
  <si>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</si>
  <si>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</si>
  <si>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</si>
  <si>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</si>
  <si>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</si>
  <si>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</si>
  <si>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</si>
  <si>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</si>
  <si>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</si>
  <si>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</si>
  <si>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</si>
  <si>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</si>
  <si>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</si>
  <si>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</si>
  <si>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</si>
  <si>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</si>
  <si>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</si>
  <si>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</si>
  <si>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</si>
  <si>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</si>
  <si>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</si>
  <si>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</si>
  <si>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</si>
  <si>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</si>
  <si>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</si>
  <si>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</si>
  <si>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</si>
  <si>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</si>
  <si>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</si>
  <si>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</si>
  <si>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</si>
  <si>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</si>
  <si>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</si>
  <si>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</si>
  <si>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</si>
  <si>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</si>
  <si>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</si>
  <si>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</si>
  <si>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</si>
  <si>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</si>
  <si>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</si>
  <si>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</si>
  <si>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</si>
  <si>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</si>
  <si>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</si>
  <si>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</si>
  <si>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</si>
  <si>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</si>
  <si>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</si>
  <si>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</si>
  <si>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</si>
  <si>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</si>
  <si>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</si>
  <si>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</si>
  <si>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</si>
  <si>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</si>
  <si>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</si>
  <si>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</si>
  <si>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</si>
  <si>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</si>
  <si>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</si>
  <si>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</si>
  <si>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</si>
  <si>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</si>
  <si>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</si>
  <si>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</si>
  <si>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</si>
  <si>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</si>
  <si>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</si>
  <si>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</si>
  <si>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</si>
  <si>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</si>
  <si>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</si>
  <si>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</si>
  <si>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</si>
  <si>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</si>
  <si>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</si>
  <si>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</si>
  <si>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</si>
  <si>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</si>
  <si>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</si>
  <si>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</si>
  <si>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</si>
  <si>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</si>
  <si>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</si>
  <si>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</si>
  <si>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</si>
  <si>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</si>
  <si>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</si>
  <si>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</si>
  <si>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</si>
  <si>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</si>
  <si>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</si>
  <si>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</si>
  <si>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</si>
  <si>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</si>
  <si>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</si>
  <si>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</si>
  <si>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</si>
  <si>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</si>
  <si>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</si>
  <si>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</si>
  <si>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</si>
  <si>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</si>
  <si>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</si>
  <si>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</si>
  <si>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</si>
  <si>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</si>
  <si>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</si>
  <si>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</si>
  <si>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</si>
  <si>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</si>
  <si>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</si>
  <si>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</si>
  <si>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</si>
  <si>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</si>
  <si>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</si>
  <si>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</si>
  <si>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</si>
  <si>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</si>
  <si>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</si>
  <si>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</si>
  <si>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</si>
  <si>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</si>
  <si>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</si>
  <si>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</si>
  <si>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</si>
  <si>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</si>
  <si>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</si>
  <si>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</si>
  <si>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</si>
  <si>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</si>
  <si>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</si>
  <si>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</si>
  <si>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</si>
  <si>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</si>
  <si>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</si>
  <si>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</si>
  <si>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</si>
  <si>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</si>
  <si>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</si>
  <si>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</si>
  <si>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</si>
  <si>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</si>
  <si>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</si>
  <si>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</si>
  <si>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</si>
  <si>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</si>
  <si>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</si>
  <si>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</si>
  <si>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</si>
  <si>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</si>
  <si>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</si>
  <si>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</si>
  <si>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</si>
  <si>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</si>
  <si>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</si>
  <si>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</si>
  <si>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</si>
  <si>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</si>
  <si>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</si>
  <si>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</si>
  <si>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</si>
  <si>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</si>
  <si>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</si>
  <si>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</si>
  <si>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</si>
  <si>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</si>
  <si>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</si>
  <si>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</si>
  <si>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</si>
  <si>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</si>
  <si>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</si>
  <si>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</si>
  <si>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</si>
  <si>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</si>
  <si>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</si>
  <si>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</si>
  <si>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</si>
  <si>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</si>
  <si>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</si>
  <si>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</si>
  <si>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</si>
  <si>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</si>
  <si>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</si>
  <si>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</si>
  <si>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</si>
  <si>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</si>
  <si>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</si>
  <si>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</si>
  <si>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</si>
  <si>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</si>
  <si>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</si>
  <si>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</si>
  <si>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</si>
  <si>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</si>
  <si>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</si>
  <si>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</si>
  <si>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</si>
  <si>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</si>
  <si>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</si>
  <si>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</si>
  <si>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</si>
  <si>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</si>
  <si>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</si>
  <si>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</si>
  <si>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</si>
  <si>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</si>
  <si>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</si>
  <si>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</si>
  <si>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</si>
  <si>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</si>
  <si>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</si>
  <si>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</si>
  <si>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</si>
  <si>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</si>
  <si>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</si>
  <si>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</si>
  <si>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</si>
  <si>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</si>
  <si>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</si>
  <si>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</si>
  <si>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</si>
  <si>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</si>
  <si>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</si>
  <si>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</si>
  <si>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</si>
  <si>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</si>
  <si>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</si>
  <si>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</si>
  <si>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</si>
  <si>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</si>
  <si>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</si>
  <si>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</si>
  <si>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</si>
  <si>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</si>
  <si>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</si>
  <si>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</si>
  <si>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</si>
  <si>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</si>
  <si>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</si>
  <si>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</si>
  <si>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</si>
  <si>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</si>
  <si>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</si>
  <si>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</si>
  <si>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</si>
  <si>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</si>
  <si>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</si>
  <si>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</si>
  <si>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</si>
  <si>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</si>
  <si>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</si>
  <si>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</si>
  <si>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</si>
  <si>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</si>
  <si>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</si>
  <si>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</si>
  <si>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</si>
  <si>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</si>
  <si>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</si>
  <si>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</si>
  <si>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</si>
  <si>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</si>
  <si>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</si>
  <si>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</si>
  <si>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</si>
  <si>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</si>
  <si>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</si>
  <si>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</si>
  <si>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</si>
  <si>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</si>
  <si>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</si>
  <si>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</si>
  <si>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</si>
  <si>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</si>
  <si>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</si>
  <si>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</si>
  <si>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</si>
  <si>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</si>
  <si>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</si>
  <si>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</si>
  <si>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</si>
  <si>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</si>
  <si>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</si>
  <si>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</si>
  <si>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</si>
  <si>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</si>
  <si>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</si>
  <si>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</si>
  <si>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</si>
  <si>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</si>
  <si>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</si>
  <si>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</si>
  <si>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</si>
  <si>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</si>
  <si>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</si>
  <si>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</si>
  <si>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</si>
  <si>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</si>
  <si>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</si>
  <si>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</si>
  <si>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</si>
  <si>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</si>
  <si>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</si>
  <si>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</si>
  <si>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</si>
  <si>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</si>
  <si>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</si>
  <si>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</si>
  <si>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</si>
  <si>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</si>
  <si>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</si>
  <si>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</si>
  <si>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</si>
  <si>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</si>
  <si>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</si>
  <si>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</si>
  <si>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</si>
  <si>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</si>
  <si>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</si>
  <si>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</si>
  <si>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</si>
  <si>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</si>
  <si>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</si>
  <si>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</si>
  <si>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</si>
  <si>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</si>
  <si>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</si>
  <si>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</si>
  <si>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</si>
  <si>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</si>
  <si>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</si>
  <si>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</si>
  <si>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</si>
  <si>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</si>
  <si>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</si>
  <si>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</si>
  <si>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</si>
  <si>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</si>
  <si>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</si>
  <si>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</si>
  <si>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</si>
  <si>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</si>
  <si>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</si>
  <si>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</si>
  <si>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</si>
  <si>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</si>
  <si>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</si>
  <si>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</si>
  <si>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</si>
  <si>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</si>
  <si>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</si>
  <si>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</si>
  <si>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</si>
  <si>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</si>
  <si>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</si>
  <si>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</si>
  <si>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</si>
  <si>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</si>
  <si>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</si>
  <si>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</si>
  <si>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</si>
  <si>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</si>
  <si>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</si>
  <si>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</si>
  <si>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</si>
  <si>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</si>
  <si>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</si>
  <si>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</si>
  <si>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</si>
  <si>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</si>
  <si>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</si>
  <si>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</si>
  <si>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集計名と別名</t>
    <rPh sb="0" eb="2">
      <t>シュウケイ</t>
    </rPh>
    <rPh sb="2" eb="3">
      <t>メイ</t>
    </rPh>
    <rPh sb="4" eb="6">
      <t>ベツメイ</t>
    </rPh>
    <phoneticPr fontId="6"/>
  </si>
  <si>
    <t>左上</t>
  </si>
  <si>
    <t>右下</t>
  </si>
  <si>
    <t>┏左上</t>
  </si>
  <si>
    <t>右下┛</t>
  </si>
  <si>
    <t>範囲外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</si>
</sst>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2</xdr:row>
          <xdr:rowOff>104775</xdr:rowOff>
        </xdr:from>
        <xdr:to>
          <xdr:col>2</xdr:col>
          <xdr:colOff>647700</xdr:colOff>
          <xdr:row>4</xdr:row>
          <xdr:rowOff>57150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104775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4"/>
  <sheetViews>
    <sheetView zoomScaleNormal="100" workbookViewId="0">
      <selection activeCell="A16" sqref="A1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9" t="s">
        <v>1498</v>
      </c>
      <c r="E1" s="160"/>
      <c r="F1" s="161"/>
      <c r="G1" s="159" t="s">
        <v>1517</v>
      </c>
      <c r="H1" s="160"/>
      <c r="I1" s="161"/>
      <c r="K1" s="159" t="s">
        <v>1507</v>
      </c>
      <c r="L1" s="160"/>
      <c r="M1" s="161"/>
      <c r="N1" s="159" t="s">
        <v>1517</v>
      </c>
      <c r="O1" s="160"/>
      <c r="P1" s="161"/>
      <c r="R1" s="159" t="s">
        <v>1508</v>
      </c>
      <c r="S1" s="160"/>
      <c r="T1" s="161"/>
      <c r="U1" s="159" t="s">
        <v>1510</v>
      </c>
      <c r="V1" s="160"/>
      <c r="W1" s="161"/>
      <c r="Y1" s="159" t="s">
        <v>1512</v>
      </c>
      <c r="Z1" s="160"/>
      <c r="AA1" s="160"/>
      <c r="AB1" s="161"/>
    </row>
    <row r="2" spans="1:28" ht="18.75" customHeight="1">
      <c r="A2" s="141">
        <v>43922</v>
      </c>
      <c r="C2" s="140" t="s">
        <v>1493</v>
      </c>
      <c r="D2" s="140" t="s">
        <v>1521</v>
      </c>
    </row>
    <row r="3" spans="1:28" ht="18.75" customHeight="1">
      <c r="A3" s="142">
        <v>44104</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c r="E4" s="145"/>
      <c r="F4" s="145" t="s">
        <v>1522</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F5" s="153"/>
      <c r="G5" s="154"/>
      <c r="K5" s="148" t="s">
        <v>1066</v>
      </c>
      <c r="M5" s="153"/>
      <c r="N5" s="154"/>
      <c r="T5" s="155"/>
      <c r="U5" s="156"/>
      <c r="Y5" s="158"/>
      <c r="Z5" s="158"/>
      <c r="AA5" s="158"/>
      <c r="AB5" s="158"/>
    </row>
    <row r="6" spans="1:28" ht="18.75" customHeight="1">
      <c r="A6" s="140" t="s">
        <v>1490</v>
      </c>
      <c r="B6" s="140" t="b">
        <f>ISREF(集計期間)</f>
        <v>1</v>
      </c>
      <c r="D6" s="152"/>
      <c r="E6" s="152"/>
      <c r="F6" s="152"/>
      <c r="G6" s="152"/>
      <c r="H6" s="152"/>
      <c r="I6" s="152"/>
      <c r="K6" s="149" t="s">
        <v>27</v>
      </c>
      <c r="L6" s="150"/>
      <c r="M6" s="150"/>
      <c r="N6" s="151"/>
      <c r="O6" s="152"/>
      <c r="P6" s="152"/>
      <c r="R6" s="152"/>
      <c r="S6" s="152"/>
      <c r="T6" s="152"/>
      <c r="U6" s="152"/>
      <c r="V6" s="152"/>
      <c r="W6" s="152"/>
    </row>
    <row r="7" spans="1:28" ht="18.75" customHeight="1">
      <c r="A7" s="140" t="s">
        <v>1492</v>
      </c>
      <c r="B7" s="140" t="b">
        <f>ISREF(組織)</f>
        <v>1</v>
      </c>
      <c r="K7" s="149" t="s">
        <v>54</v>
      </c>
      <c r="L7" s="150"/>
      <c r="M7" s="150"/>
    </row>
    <row r="8" spans="1:28" ht="18.75" customHeight="1">
      <c r="A8" s="140" t="s">
        <v>1495</v>
      </c>
      <c r="B8" s="140" t="b">
        <f>ISREF(承認記録)</f>
        <v>1</v>
      </c>
      <c r="K8" s="149" t="s">
        <v>779</v>
      </c>
      <c r="L8" s="150"/>
      <c r="M8" s="150"/>
    </row>
    <row r="9" spans="1:28" ht="18.75" customHeight="1">
      <c r="A9" s="140" t="s">
        <v>1496</v>
      </c>
      <c r="B9" s="140" t="b">
        <f>ISREF(取引区分)</f>
        <v>1</v>
      </c>
      <c r="K9" s="149" t="s">
        <v>166</v>
      </c>
      <c r="L9" s="150"/>
      <c r="M9" s="150"/>
    </row>
    <row r="10" spans="1:28" ht="18.75" customHeight="1">
      <c r="A10" s="140" t="s">
        <v>1516</v>
      </c>
      <c r="B10" s="140" t="b">
        <f ca="1">ISREF(取引区分(非ゼロ))</f>
        <v>0</v>
      </c>
      <c r="K10" s="149" t="s">
        <v>1077</v>
      </c>
      <c r="L10" s="150"/>
      <c r="M10" s="150"/>
    </row>
    <row r="11" spans="1:28" ht="18.75" customHeight="1">
      <c r="A11" s="140" t="s">
        <v>1498</v>
      </c>
      <c r="B11" s="140" t="b">
        <f>ISREF(組織集計)</f>
        <v>0</v>
      </c>
      <c r="K11" s="149" t="s">
        <v>87</v>
      </c>
      <c r="L11" s="150"/>
      <c r="M11" s="150"/>
    </row>
    <row r="12" spans="1:28" ht="18.75" customHeight="1">
      <c r="A12" s="140" t="s">
        <v>1517</v>
      </c>
      <c r="B12" s="140" t="b">
        <f ca="1">ISREF(組織集計(非ゼロ))</f>
        <v>0</v>
      </c>
      <c r="K12" s="149" t="s">
        <v>494</v>
      </c>
      <c r="L12" s="150"/>
      <c r="M12" s="150"/>
    </row>
    <row r="13" spans="1:28" ht="18.75" customHeight="1">
      <c r="A13" s="140" t="s">
        <v>1508</v>
      </c>
      <c r="B13" s="140" t="b">
        <f>ISREF(仕向地集計)</f>
        <v>0</v>
      </c>
      <c r="K13" s="149" t="s">
        <v>73</v>
      </c>
      <c r="L13" s="150"/>
      <c r="M13" s="150"/>
    </row>
    <row r="14" spans="1:28" ht="18.75" customHeight="1">
      <c r="A14" s="140" t="s">
        <v>1509</v>
      </c>
      <c r="B14" s="140" t="b">
        <f ca="1">ISREF(仕向地集計(トップ))</f>
        <v>0</v>
      </c>
      <c r="K14" s="149" t="s">
        <v>259</v>
      </c>
      <c r="L14" s="150"/>
      <c r="M14" s="150"/>
    </row>
    <row r="15" spans="1:28" ht="18.75" customHeight="1">
      <c r="A15" s="140" t="s">
        <v>1512</v>
      </c>
      <c r="B15" s="140" t="b">
        <f>ISREF(該当取引)</f>
        <v>0</v>
      </c>
      <c r="K15" s="149" t="s">
        <v>252</v>
      </c>
      <c r="L15" s="150"/>
      <c r="M15" s="150"/>
    </row>
    <row r="16" spans="1:28" ht="18.75" customHeight="1">
      <c r="A16" s="140" t="s">
        <v>1520</v>
      </c>
      <c r="K16" s="149" t="s">
        <v>1085</v>
      </c>
      <c r="L16" s="150"/>
      <c r="M16" s="150"/>
    </row>
    <row r="17" spans="1:13" ht="18.75" customHeight="1">
      <c r="K17" s="149" t="s">
        <v>116</v>
      </c>
      <c r="L17" s="150"/>
      <c r="M17" s="150"/>
    </row>
    <row r="18" spans="1:13" ht="18.75" customHeight="1">
      <c r="A18" s="143" t="s">
        <v>1499</v>
      </c>
    </row>
    <row r="19" spans="1:13" ht="18.75" customHeight="1">
      <c r="A19" s="140" t="s">
        <v>1500</v>
      </c>
      <c r="B19" s="157"/>
    </row>
    <row r="20" spans="1:13" ht="18.75" customHeight="1">
      <c r="A20" s="140" t="s">
        <v>1502</v>
      </c>
      <c r="B20" s="157"/>
    </row>
    <row r="21" spans="1:13" ht="18.75" customHeight="1">
      <c r="A21" s="140" t="s">
        <v>1503</v>
      </c>
      <c r="B21" s="157"/>
    </row>
    <row r="22" spans="1:13" ht="18.75" customHeight="1">
      <c r="A22" s="140" t="s">
        <v>1504</v>
      </c>
      <c r="B22" s="157"/>
    </row>
    <row r="23" spans="1:13" ht="18.75" customHeight="1">
      <c r="A23" s="140" t="s">
        <v>1505</v>
      </c>
      <c r="B23" s="157"/>
    </row>
    <row r="24" spans="1:13" ht="18.75" customHeight="1">
      <c r="A24" s="140" t="s">
        <v>1506</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2</xdr:col>
                    <xdr:colOff>228600</xdr:colOff>
                    <xdr:row>2</xdr:row>
                    <xdr:rowOff>104775</xdr:rowOff>
                  </from>
                  <to>
                    <xdr:col>2</xdr:col>
                    <xdr:colOff>647700</xdr:colOff>
                    <xdr:row>4</xdr:row>
                    <xdr:rowOff>57150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G5"/>
  <sheetViews>
    <sheetView tabSelected="1" workbookViewId="0">
      <selection activeCell="D6" sqref="D6"/>
    </sheetView>
  </sheetViews>
  <sheetFormatPr defaultRowHeight="13.5"/>
  <cols>
    <col min="1" max="16384" width="9" style="138"/>
  </cols>
  <sheetData>
    <row r="1" spans="1:7">
      <c r="A1" s="139" t="s">
        <v>1486</v>
      </c>
      <c r="B1" s="139" t="s">
        <v>1487</v>
      </c>
      <c r="D1" s="139" t="s">
        <v>1488</v>
      </c>
      <c r="E1" s="139" t="s">
        <v>1489</v>
      </c>
    </row>
    <row r="2" spans="1:7">
      <c r="D2" s="138" t="s">
        <v>1523</v>
      </c>
    </row>
    <row r="4" spans="1:7">
      <c r="F4" s="138" t="s">
        <v>1524</v>
      </c>
    </row>
    <row r="5" spans="1:7">
      <c r="G5" s="138" t="s">
        <v>1525</v>
      </c>
    </row>
  </sheetData>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eet1.テスト">
                <anchor moveWithCells="1" sizeWithCells="1">
                  <from>
                    <xdr:col>2</xdr:col>
                    <xdr:colOff>104775</xdr:colOff>
                    <xdr:row>0</xdr:row>
                    <xdr:rowOff>47625</xdr:rowOff>
                  </from>
                  <to>
                    <xdr:col>2</xdr:col>
                    <xdr:colOff>552450</xdr:colOff>
                    <xdr:row>1</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E1"/>
  <sheetViews>
    <sheetView workbookViewId="0">
      <selection activeCell="E2" sqref="E2"/>
    </sheetView>
  </sheetViews>
  <sheetFormatPr defaultRowHeight="18.75"/>
  <sheetData>
    <row r="1" spans="1:5">
      <c r="A1" s="139" t="s">
        <v>1486</v>
      </c>
      <c r="B1" s="139" t="s">
        <v>1487</v>
      </c>
      <c r="C1" s="138"/>
      <c r="D1" s="139" t="s">
        <v>1488</v>
      </c>
      <c r="E1" s="139" t="s">
        <v>1489</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2" t="s">
        <v>1210</v>
      </c>
      <c r="C4" s="163"/>
      <c r="D4" s="164"/>
      <c r="E4" s="168" t="s">
        <v>1211</v>
      </c>
      <c r="F4" s="168" t="s">
        <v>1212</v>
      </c>
    </row>
    <row r="5" spans="2:7" ht="14.25" thickBot="1">
      <c r="B5" s="165"/>
      <c r="C5" s="166"/>
      <c r="D5" s="167"/>
      <c r="E5" s="169"/>
      <c r="F5" s="169"/>
    </row>
    <row r="6" spans="2:7" s="72" customFormat="1" ht="14.25" customHeight="1" thickTop="1">
      <c r="B6" s="170" t="s">
        <v>1213</v>
      </c>
      <c r="C6" s="171"/>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2" t="s">
        <v>1250</v>
      </c>
      <c r="D24" s="173"/>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4" t="s">
        <v>1172</v>
      </c>
      <c r="D2" s="174"/>
      <c r="E2" s="37">
        <f>E8-E7</f>
        <v>18</v>
      </c>
      <c r="H2">
        <v>13</v>
      </c>
      <c r="M2" s="36"/>
      <c r="N2" s="174" t="s">
        <v>1172</v>
      </c>
      <c r="O2" s="174"/>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5" t="s">
        <v>1179</v>
      </c>
      <c r="D7" s="176"/>
      <c r="E7" s="40">
        <v>87</v>
      </c>
      <c r="F7" t="s">
        <v>1063</v>
      </c>
      <c r="G7">
        <f t="shared" si="0"/>
        <v>180</v>
      </c>
      <c r="M7" s="38"/>
      <c r="N7" s="175" t="s">
        <v>1179</v>
      </c>
      <c r="O7" s="176"/>
      <c r="P7" s="40">
        <v>93</v>
      </c>
    </row>
    <row r="8" spans="1:18">
      <c r="B8" s="177" t="s">
        <v>1180</v>
      </c>
      <c r="C8" s="175"/>
      <c r="D8" s="176"/>
      <c r="E8" s="40">
        <v>105</v>
      </c>
      <c r="F8" t="s">
        <v>1176</v>
      </c>
      <c r="G8">
        <f t="shared" si="0"/>
        <v>210</v>
      </c>
      <c r="M8" s="177" t="s">
        <v>1180</v>
      </c>
      <c r="N8" s="175"/>
      <c r="O8" s="176"/>
      <c r="P8" s="40">
        <v>105</v>
      </c>
    </row>
    <row r="9" spans="1:18">
      <c r="B9" s="38"/>
      <c r="C9" s="39"/>
      <c r="D9" s="39"/>
      <c r="E9" s="41"/>
      <c r="G9">
        <f t="shared" si="0"/>
        <v>0</v>
      </c>
      <c r="M9" s="38"/>
      <c r="N9" s="39"/>
      <c r="O9" s="39"/>
      <c r="P9" s="41"/>
    </row>
    <row r="10" spans="1:18">
      <c r="B10" s="177" t="s">
        <v>1181</v>
      </c>
      <c r="C10" s="175"/>
      <c r="D10" s="175"/>
      <c r="E10" s="40">
        <v>1</v>
      </c>
      <c r="G10">
        <f t="shared" si="0"/>
        <v>81</v>
      </c>
      <c r="M10" s="177" t="s">
        <v>1181</v>
      </c>
      <c r="N10" s="175"/>
      <c r="O10" s="175"/>
      <c r="P10" s="40">
        <v>80</v>
      </c>
    </row>
    <row r="11" spans="1:18" ht="19.5" thickBot="1">
      <c r="B11" s="178" t="s">
        <v>1182</v>
      </c>
      <c r="C11" s="179"/>
      <c r="D11" s="179"/>
      <c r="E11" s="42">
        <f>G17</f>
        <v>279</v>
      </c>
      <c r="G11">
        <f t="shared" si="0"/>
        <v>542</v>
      </c>
      <c r="M11" s="178" t="s">
        <v>1182</v>
      </c>
      <c r="N11" s="179"/>
      <c r="O11" s="179"/>
      <c r="P11" s="42">
        <v>263</v>
      </c>
    </row>
    <row r="12" spans="1:18" ht="19.5" thickTop="1"/>
    <row r="13" spans="1:18">
      <c r="B13" s="177" t="s">
        <v>1183</v>
      </c>
      <c r="C13" s="175"/>
      <c r="D13" s="175"/>
      <c r="E13" s="40">
        <f>185+E8+E10</f>
        <v>291</v>
      </c>
      <c r="M13" s="177" t="s">
        <v>1183</v>
      </c>
      <c r="N13" s="175"/>
      <c r="O13" s="175"/>
      <c r="P13" s="40">
        <f>P8+P10</f>
        <v>185</v>
      </c>
    </row>
    <row r="14" spans="1:18" ht="19.5" thickBot="1">
      <c r="B14" s="178" t="s">
        <v>1184</v>
      </c>
      <c r="C14" s="179"/>
      <c r="D14" s="179"/>
      <c r="E14" s="42">
        <f>368+E11+E8</f>
        <v>752</v>
      </c>
      <c r="M14" s="178" t="s">
        <v>1184</v>
      </c>
      <c r="N14" s="179"/>
      <c r="O14" s="179"/>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I15" sqref="I15"/>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29</vt:i4>
      </vt:variant>
    </vt:vector>
  </HeadingPairs>
  <TitlesOfParts>
    <vt:vector size="38" baseType="lpstr">
      <vt:lpstr>yushutsu_kobetsu</vt:lpstr>
      <vt:lpstr>中間処理シート</vt:lpstr>
      <vt:lpstr>ダッシュボード</vt:lpstr>
      <vt:lpstr>仕向地</vt:lpstr>
      <vt:lpstr>組織略称</vt:lpstr>
      <vt:lpstr>組織名称・略称・英文呼称</vt:lpstr>
      <vt:lpstr>審査件数</vt:lpstr>
      <vt:lpstr>別表１～３</vt:lpstr>
      <vt:lpstr>包括・特例</vt:lpstr>
      <vt:lpstr>BU抽出</vt:lpstr>
      <vt:lpstr>組織名称・略称・英文呼称!Print_Area</vt:lpstr>
      <vt:lpstr>組織名称・略称・英文呼称!Print_Titles</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集計名と別名</vt:lpstr>
      <vt:lpstr>集計名例外解決</vt:lpstr>
      <vt:lpstr>少額特例適用件数</vt:lpstr>
      <vt:lpstr>承認記録</vt:lpstr>
      <vt:lpstr>申請者所属</vt:lpstr>
      <vt:lpstr>組織</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2020-10-25T04:00:10Z</dcterms:modified>
</cp:coreProperties>
</file>