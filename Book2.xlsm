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D13003B1-DB12-4637-B039-EEAB1B50205B}" xr6:coauthVersionLast="45" xr6:coauthVersionMax="45" xr10:uidLastSave="{00000000-0000-0000-0000-000000000000}"/>
  <bookViews>
    <workbookView xWindow="1005" yWindow="90" windowWidth="23400" windowHeight="11250" activeTab="1" xr2:uid="{00000000-000D-0000-FFFF-FFFF00000000}"/>
  </bookViews>
  <sheets>
    <sheet name="yushutsu_kobetsu" sheetId="2" r:id="rId1"/>
    <sheet name="中間処理シート" sheetId="3" r:id="rId2"/>
    <sheet name="ダッシュボード" sheetId="11" r:id="rId3"/>
    <sheet name="仕向地" sheetId="10" r:id="rId4"/>
    <sheet name="組織略称" sheetId="12"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管理番号">yushutsu_kobetsu!$A:$A</definedName>
    <definedName name="期間＿開始">中間処理シート!$A$3</definedName>
    <definedName name="期間＿終了">中間処理シート!$A$5</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最終需要者">yushutsu_kobetsu!$N:$N</definedName>
    <definedName name="仕向地">yushutsu_kobetsu!$K:$K</definedName>
    <definedName name="仕向地抽出">中間処理シート!$A$11</definedName>
    <definedName name="集計期間">ダッシュボード!$A$2:$A$3</definedName>
    <definedName name="申請者所属">yushutsu_kobetsu!$O:$O</definedName>
    <definedName name="組織">組織名称・略称・英文呼称!$1:$1048576</definedName>
    <definedName name="特例抽出">中間処理シート!$A$16</definedName>
    <definedName name="非許可特例抽出">中間処理シート!$A$19</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4" i="11" l="1"/>
  <c r="B13" i="11"/>
  <c r="B12" i="11"/>
  <c r="B11" i="11"/>
  <c r="B10" i="11"/>
  <c r="B9" i="11"/>
  <c r="B8" i="11"/>
  <c r="B7" i="11"/>
  <c r="B6" i="11"/>
  <c r="F13" i="6" l="1"/>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AF19" i="3" l="1"/>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1" i="3" l="1"/>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E56" i="3" l="1"/>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F32" i="3" l="1"/>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9" i="3" l="1"/>
  <c r="G6" i="3"/>
  <c r="G5" i="6"/>
  <c r="G6" i="6" l="1"/>
  <c r="G7" i="6" l="1"/>
  <c r="G8" i="6" l="1"/>
  <c r="G9" i="6" l="1"/>
  <c r="AL25" i="3"/>
  <c r="AL126" i="3"/>
  <c r="AL131" i="3"/>
  <c r="AL17" i="3"/>
  <c r="AL101" i="3"/>
  <c r="AL88" i="3"/>
  <c r="AL98" i="3"/>
  <c r="AL45" i="3"/>
  <c r="AL32" i="3"/>
  <c r="AL27" i="3"/>
  <c r="AL20" i="3"/>
  <c r="AL106" i="3"/>
  <c r="AL80" i="3"/>
  <c r="AL110" i="3"/>
  <c r="AL8" i="3"/>
  <c r="AL81" i="3"/>
  <c r="AL36" i="3"/>
  <c r="AL61" i="3"/>
  <c r="AL43" i="3"/>
  <c r="AL82" i="3"/>
  <c r="AL68" i="3"/>
  <c r="AL56" i="3"/>
  <c r="AL107" i="3"/>
  <c r="AL123" i="3"/>
  <c r="AL66" i="3"/>
  <c r="AL64" i="3"/>
  <c r="AL39" i="3"/>
  <c r="AL105" i="3"/>
  <c r="AL102" i="3"/>
  <c r="AL117" i="3"/>
  <c r="AL127" i="3"/>
  <c r="AL85" i="3"/>
  <c r="AL18" i="3"/>
  <c r="AL22" i="3"/>
  <c r="AL73" i="3"/>
  <c r="AL14" i="3"/>
  <c r="AL31" i="3"/>
  <c r="AL46" i="3"/>
  <c r="AL104" i="3"/>
  <c r="AL6" i="3"/>
  <c r="AL11" i="3"/>
  <c r="AL60" i="3"/>
  <c r="AL13" i="3"/>
  <c r="AL108" i="3"/>
  <c r="AL89" i="3"/>
  <c r="AL113" i="3"/>
  <c r="AL124" i="3"/>
  <c r="AL34" i="3"/>
  <c r="AL129" i="3"/>
  <c r="AL49" i="3"/>
  <c r="AL135" i="3"/>
  <c r="AL57" i="3"/>
  <c r="AL93" i="3"/>
  <c r="AL7" i="3"/>
  <c r="AL122" i="3"/>
  <c r="AL35" i="3"/>
  <c r="AL62" i="3"/>
  <c r="AL9" i="3"/>
  <c r="AL120" i="3"/>
  <c r="AL44" i="3"/>
  <c r="AL72" i="3"/>
  <c r="AL116" i="3"/>
  <c r="AL109" i="3"/>
  <c r="AL95" i="3"/>
  <c r="AL70" i="3"/>
  <c r="AL69" i="3"/>
  <c r="AL53" i="3"/>
  <c r="AL83" i="3"/>
  <c r="AL134" i="3"/>
  <c r="AL38" i="3"/>
  <c r="AL112" i="3"/>
  <c r="AL15" i="3"/>
  <c r="AL115" i="3"/>
  <c r="AL48" i="3"/>
  <c r="AL23" i="3"/>
  <c r="AL71" i="3"/>
  <c r="AL33" i="3"/>
  <c r="AL12" i="3"/>
  <c r="AL63" i="3"/>
  <c r="AL76" i="3"/>
  <c r="AL132" i="3"/>
  <c r="AL74" i="3"/>
  <c r="AL26" i="3"/>
  <c r="AL47" i="3"/>
  <c r="AL99" i="3"/>
  <c r="AL54" i="3"/>
  <c r="AL128" i="3"/>
  <c r="AL65" i="3"/>
  <c r="AL19" i="3"/>
  <c r="AL16" i="3"/>
  <c r="AL114" i="3"/>
  <c r="AL94" i="3"/>
  <c r="AL103" i="3"/>
  <c r="AL96" i="3"/>
  <c r="AL21" i="3"/>
  <c r="AL118" i="3"/>
  <c r="AL92" i="3"/>
  <c r="AL86" i="3"/>
  <c r="AL58" i="3"/>
  <c r="AL125" i="3"/>
  <c r="AL75" i="3"/>
  <c r="AL91" i="3"/>
  <c r="AL40" i="3"/>
  <c r="AL84" i="3"/>
  <c r="AL119" i="3"/>
  <c r="AL50" i="3"/>
  <c r="AL97" i="3"/>
  <c r="AL37" i="3"/>
  <c r="AL29" i="3"/>
  <c r="AL59" i="3"/>
  <c r="AL87" i="3"/>
  <c r="AL79" i="3"/>
  <c r="AL42" i="3"/>
  <c r="AL121" i="3"/>
  <c r="AL51" i="3"/>
  <c r="AL28" i="3"/>
  <c r="AL30" i="3"/>
  <c r="AL100" i="3"/>
  <c r="AL90" i="3"/>
  <c r="AL24" i="3"/>
  <c r="AL52" i="3"/>
  <c r="AL130" i="3"/>
  <c r="AL10" i="3"/>
  <c r="AL77" i="3"/>
  <c r="AL133" i="3"/>
  <c r="AL41" i="3"/>
  <c r="AL111" i="3"/>
  <c r="AL78" i="3"/>
  <c r="AL55" i="3"/>
  <c r="AL67" i="3"/>
  <c r="AM21" i="3" l="1"/>
  <c r="AM82" i="3"/>
  <c r="AM32" i="3"/>
  <c r="AM70" i="3"/>
  <c r="AM109" i="3"/>
  <c r="AM30" i="3"/>
  <c r="AM50" i="3"/>
  <c r="AM29" i="3"/>
  <c r="AM117" i="3"/>
  <c r="AM47" i="3"/>
  <c r="AM115" i="3"/>
  <c r="AM122" i="3"/>
  <c r="AM111" i="3"/>
  <c r="AM57" i="3"/>
  <c r="AM11" i="3"/>
  <c r="AM18" i="3"/>
  <c r="AM96" i="3"/>
  <c r="AM43" i="3"/>
  <c r="AM45" i="3"/>
  <c r="AM71" i="3"/>
  <c r="AM116" i="3"/>
  <c r="AM28" i="3"/>
  <c r="AM119" i="3"/>
  <c r="AM56" i="3"/>
  <c r="AM102" i="3"/>
  <c r="AM26" i="3"/>
  <c r="AM15" i="3"/>
  <c r="AM108" i="3"/>
  <c r="AM41" i="3"/>
  <c r="AM135" i="3"/>
  <c r="AM6" i="3"/>
  <c r="AM67" i="3"/>
  <c r="AM103" i="3"/>
  <c r="AM61" i="3"/>
  <c r="AM98" i="3"/>
  <c r="AM90" i="3"/>
  <c r="AM72" i="3"/>
  <c r="AM51" i="3"/>
  <c r="AM84" i="3"/>
  <c r="AM20" i="3"/>
  <c r="AM105" i="3"/>
  <c r="AM74" i="3"/>
  <c r="AM112" i="3"/>
  <c r="AM92" i="3"/>
  <c r="AM133" i="3"/>
  <c r="AM49" i="3"/>
  <c r="AM104" i="3"/>
  <c r="AM54" i="3"/>
  <c r="AM94" i="3"/>
  <c r="AM36" i="3"/>
  <c r="AM88" i="3"/>
  <c r="AM37" i="3"/>
  <c r="AM44" i="3"/>
  <c r="AM121" i="3"/>
  <c r="AM40" i="3"/>
  <c r="AM86" i="3"/>
  <c r="AM39" i="3"/>
  <c r="AM132" i="3"/>
  <c r="AM38" i="3"/>
  <c r="AM7" i="3"/>
  <c r="AM77" i="3"/>
  <c r="AM129" i="3"/>
  <c r="AM46" i="3"/>
  <c r="AM23" i="3"/>
  <c r="AM114" i="3"/>
  <c r="AM81" i="3"/>
  <c r="AM101" i="3"/>
  <c r="AM85" i="3"/>
  <c r="AM120" i="3"/>
  <c r="AM42" i="3"/>
  <c r="AM91" i="3"/>
  <c r="AM68" i="3"/>
  <c r="AM64" i="3"/>
  <c r="AM76" i="3"/>
  <c r="AM134" i="3"/>
  <c r="AM13" i="3"/>
  <c r="AM10" i="3"/>
  <c r="AM34" i="3"/>
  <c r="AM31" i="3"/>
  <c r="AM55" i="3"/>
  <c r="AM16" i="3"/>
  <c r="AM8" i="3"/>
  <c r="AM17" i="3"/>
  <c r="AM100" i="3"/>
  <c r="AM9" i="3"/>
  <c r="AM79" i="3"/>
  <c r="AM75" i="3"/>
  <c r="AM27" i="3"/>
  <c r="AM66" i="3"/>
  <c r="AM63" i="3"/>
  <c r="AM83" i="3"/>
  <c r="AM118" i="3"/>
  <c r="AM130" i="3"/>
  <c r="AM124" i="3"/>
  <c r="AM14" i="3"/>
  <c r="AM99" i="3"/>
  <c r="AM19" i="3"/>
  <c r="AM110" i="3"/>
  <c r="AM131" i="3"/>
  <c r="AM97" i="3"/>
  <c r="AM62" i="3"/>
  <c r="AM87" i="3"/>
  <c r="AM125" i="3"/>
  <c r="AM95" i="3"/>
  <c r="AM123" i="3"/>
  <c r="AM12" i="3"/>
  <c r="AM53" i="3"/>
  <c r="AM48" i="3"/>
  <c r="AM52" i="3"/>
  <c r="AM113" i="3"/>
  <c r="AM73" i="3"/>
  <c r="AM127" i="3"/>
  <c r="AM65" i="3"/>
  <c r="AM80" i="3"/>
  <c r="AM126" i="3"/>
  <c r="AM93" i="3"/>
  <c r="AM35" i="3"/>
  <c r="AM59" i="3"/>
  <c r="AM58" i="3"/>
  <c r="AM78" i="3"/>
  <c r="AM107" i="3"/>
  <c r="AM33" i="3"/>
  <c r="AM69" i="3"/>
  <c r="AM60" i="3"/>
  <c r="AM24" i="3"/>
  <c r="AM89" i="3"/>
  <c r="AM22" i="3"/>
  <c r="AM25" i="3"/>
  <c r="AM128" i="3"/>
  <c r="AM106" i="3"/>
  <c r="G10" i="6"/>
  <c r="AP35" i="3" l="1"/>
  <c r="F5" i="3" s="1"/>
  <c r="AP109" i="3"/>
  <c r="AO32" i="3"/>
  <c r="AN32" i="3" s="1"/>
  <c r="J30" i="3" s="1"/>
  <c r="AP62" i="3"/>
  <c r="AP93" i="3"/>
  <c r="AP38" i="3"/>
  <c r="F9" i="3" s="1"/>
  <c r="AP12" i="3"/>
  <c r="AP45" i="3"/>
  <c r="AP46" i="3"/>
  <c r="F8" i="3" s="1"/>
  <c r="AP77" i="3"/>
  <c r="AP14" i="3"/>
  <c r="F12" i="3" s="1"/>
  <c r="AP40" i="3"/>
  <c r="F3" i="3" s="1"/>
  <c r="AP89" i="3"/>
  <c r="AP59" i="3"/>
  <c r="AP107" i="3"/>
  <c r="AP110" i="3"/>
  <c r="AP106" i="3"/>
  <c r="AP39" i="3"/>
  <c r="AO8" i="3"/>
  <c r="AN8" i="3" s="1"/>
  <c r="J6" i="3" s="1"/>
  <c r="AP86" i="3"/>
  <c r="AP90" i="3"/>
  <c r="AO20" i="3"/>
  <c r="AN20" i="3" s="1"/>
  <c r="J18" i="3" s="1"/>
  <c r="AP79" i="3"/>
  <c r="AP65" i="3"/>
  <c r="AP31" i="3"/>
  <c r="AP94" i="3"/>
  <c r="AP19" i="3"/>
  <c r="AO12" i="3"/>
  <c r="AN12" i="3" s="1"/>
  <c r="J10" i="3" s="1"/>
  <c r="AP49" i="3"/>
  <c r="AP101" i="3"/>
  <c r="AP27" i="3"/>
  <c r="AP10" i="3"/>
  <c r="AP99" i="3"/>
  <c r="AP121" i="3"/>
  <c r="AO21" i="3"/>
  <c r="AN21" i="3" s="1"/>
  <c r="J19" i="3" s="1"/>
  <c r="AO9" i="3"/>
  <c r="AN9" i="3" s="1"/>
  <c r="J7" i="3" s="1"/>
  <c r="AP120" i="3"/>
  <c r="AO43" i="3"/>
  <c r="AN43" i="3" s="1"/>
  <c r="J41" i="3" s="1"/>
  <c r="AP81" i="3"/>
  <c r="AP60" i="3"/>
  <c r="AP21" i="3"/>
  <c r="AP20" i="3"/>
  <c r="AO34" i="3"/>
  <c r="AN34" i="3" s="1"/>
  <c r="J32" i="3" s="1"/>
  <c r="AP24" i="3"/>
  <c r="AP22" i="3"/>
  <c r="AO22" i="3"/>
  <c r="AN22" i="3" s="1"/>
  <c r="J20" i="3" s="1"/>
  <c r="AP13" i="3"/>
  <c r="AP113" i="3"/>
  <c r="AO38" i="3"/>
  <c r="AN38" i="3" s="1"/>
  <c r="J36" i="3" s="1"/>
  <c r="AO35" i="3"/>
  <c r="AN35" i="3" s="1"/>
  <c r="J33" i="3" s="1"/>
  <c r="K33" i="3" s="1"/>
  <c r="AP105" i="3"/>
  <c r="AP34" i="3"/>
  <c r="AP70" i="3"/>
  <c r="AO36" i="3"/>
  <c r="AN36" i="3" s="1"/>
  <c r="J34" i="3" s="1"/>
  <c r="AP75" i="3"/>
  <c r="AP29" i="3"/>
  <c r="AP83" i="3"/>
  <c r="AP63" i="3"/>
  <c r="F10" i="3" s="1"/>
  <c r="AO37" i="3"/>
  <c r="AN37" i="3" s="1"/>
  <c r="J35" i="3" s="1"/>
  <c r="AP61" i="3"/>
  <c r="AP112" i="3"/>
  <c r="AP23" i="3"/>
  <c r="AP84" i="3"/>
  <c r="AP82" i="3"/>
  <c r="AP64" i="3"/>
  <c r="AP44" i="3"/>
  <c r="AO24" i="3"/>
  <c r="AN24" i="3" s="1"/>
  <c r="J22" i="3" s="1"/>
  <c r="AP119" i="3"/>
  <c r="AO44" i="3"/>
  <c r="AN44" i="3" s="1"/>
  <c r="J42" i="3" s="1"/>
  <c r="AP54" i="3"/>
  <c r="AP74" i="3"/>
  <c r="AP56" i="3"/>
  <c r="AP71" i="3"/>
  <c r="AP95" i="3"/>
  <c r="AO30" i="3"/>
  <c r="AN30" i="3" s="1"/>
  <c r="J28" i="3" s="1"/>
  <c r="M28" i="3" s="1"/>
  <c r="AO11" i="3"/>
  <c r="AN11" i="3" s="1"/>
  <c r="J9" i="3" s="1"/>
  <c r="AO41" i="3"/>
  <c r="AN41" i="3" s="1"/>
  <c r="J39" i="3" s="1"/>
  <c r="AP36" i="3"/>
  <c r="AO14" i="3"/>
  <c r="AN14" i="3" s="1"/>
  <c r="J12" i="3" s="1"/>
  <c r="AP88" i="3"/>
  <c r="AO26" i="3"/>
  <c r="AN26" i="3" s="1"/>
  <c r="J24" i="3" s="1"/>
  <c r="AP17" i="3"/>
  <c r="AO10" i="3"/>
  <c r="AN10" i="3" s="1"/>
  <c r="J8" i="3" s="1"/>
  <c r="AP104" i="3"/>
  <c r="AP73" i="3"/>
  <c r="AO33" i="3"/>
  <c r="AN33" i="3" s="1"/>
  <c r="J31" i="3" s="1"/>
  <c r="M31" i="3" s="1"/>
  <c r="AO7" i="3"/>
  <c r="AN7" i="3" s="1"/>
  <c r="J5" i="3" s="1"/>
  <c r="AP37" i="3"/>
  <c r="F2" i="3" s="1"/>
  <c r="AP114" i="3"/>
  <c r="AO25" i="3"/>
  <c r="AN25" i="3" s="1"/>
  <c r="J23" i="3" s="1"/>
  <c r="AP42" i="3"/>
  <c r="AP25" i="3"/>
  <c r="AO13" i="3"/>
  <c r="AN13" i="3" s="1"/>
  <c r="J11" i="3" s="1"/>
  <c r="AO31" i="3"/>
  <c r="AN31" i="3" s="1"/>
  <c r="J29" i="3" s="1"/>
  <c r="N33" i="3"/>
  <c r="AP80" i="3"/>
  <c r="AP69" i="3"/>
  <c r="AO15" i="3"/>
  <c r="AN15" i="3" s="1"/>
  <c r="J13" i="3" s="1"/>
  <c r="AP68" i="3"/>
  <c r="AP50" i="3"/>
  <c r="AP48" i="3"/>
  <c r="AO42" i="3"/>
  <c r="AN42" i="3" s="1"/>
  <c r="J40" i="3" s="1"/>
  <c r="AO16" i="3"/>
  <c r="AN16" i="3" s="1"/>
  <c r="J14" i="3" s="1"/>
  <c r="AP18" i="3"/>
  <c r="AP26" i="3"/>
  <c r="AP111" i="3"/>
  <c r="AP87" i="3"/>
  <c r="AP41" i="3"/>
  <c r="F14" i="3" s="1"/>
  <c r="AP7" i="3"/>
  <c r="AP118" i="3"/>
  <c r="F13" i="3" s="1"/>
  <c r="AP52" i="3"/>
  <c r="AO29" i="3"/>
  <c r="AN29" i="3" s="1"/>
  <c r="J27" i="3" s="1"/>
  <c r="AP32" i="3"/>
  <c r="AP108" i="3"/>
  <c r="AO39" i="3"/>
  <c r="AN39" i="3" s="1"/>
  <c r="J37" i="3" s="1"/>
  <c r="AO19" i="3"/>
  <c r="AN19" i="3" s="1"/>
  <c r="J17" i="3" s="1"/>
  <c r="AO23" i="3"/>
  <c r="AN23" i="3" s="1"/>
  <c r="J21" i="3" s="1"/>
  <c r="AP76" i="3"/>
  <c r="AP8" i="3"/>
  <c r="AP66" i="3"/>
  <c r="AP102" i="3"/>
  <c r="AP47" i="3"/>
  <c r="AO40" i="3"/>
  <c r="AN40" i="3" s="1"/>
  <c r="J38" i="3" s="1"/>
  <c r="AP28" i="3"/>
  <c r="AO17" i="3"/>
  <c r="AN17" i="3" s="1"/>
  <c r="J15" i="3" s="1"/>
  <c r="AP100" i="3"/>
  <c r="AP33" i="3"/>
  <c r="AP103" i="3"/>
  <c r="AP15" i="3"/>
  <c r="AP53" i="3"/>
  <c r="AO27" i="3"/>
  <c r="AN27" i="3" s="1"/>
  <c r="J25" i="3" s="1"/>
  <c r="AP98" i="3"/>
  <c r="AP55" i="3"/>
  <c r="AP72" i="3"/>
  <c r="AP58" i="3"/>
  <c r="AO28" i="3"/>
  <c r="AN28" i="3" s="1"/>
  <c r="J26" i="3" s="1"/>
  <c r="AP117" i="3"/>
  <c r="AO18" i="3"/>
  <c r="AN18" i="3" s="1"/>
  <c r="J16" i="3" s="1"/>
  <c r="AP91" i="3"/>
  <c r="AP9" i="3"/>
  <c r="AP115" i="3"/>
  <c r="AO6" i="3"/>
  <c r="AN6" i="3" s="1"/>
  <c r="J4" i="3" s="1"/>
  <c r="AP51" i="3"/>
  <c r="AP116" i="3"/>
  <c r="AP92" i="3"/>
  <c r="AP11" i="3"/>
  <c r="AP30" i="3"/>
  <c r="F7" i="3" s="1"/>
  <c r="AP6" i="3"/>
  <c r="AP67" i="3"/>
  <c r="AP97" i="3"/>
  <c r="AP96" i="3"/>
  <c r="AP57" i="3"/>
  <c r="AP43" i="3"/>
  <c r="AP16" i="3"/>
  <c r="F15" i="3" s="1"/>
  <c r="AP78" i="3"/>
  <c r="AP85" i="3"/>
  <c r="M33" i="3"/>
  <c r="F6" i="3"/>
  <c r="N31" i="3"/>
  <c r="N36" i="3"/>
  <c r="K36" i="3"/>
  <c r="M36" i="3"/>
  <c r="K32" i="3"/>
  <c r="N32" i="3"/>
  <c r="M32" i="3"/>
  <c r="N34" i="3"/>
  <c r="M34" i="3"/>
  <c r="K34" i="3"/>
  <c r="N35" i="3"/>
  <c r="K35" i="3"/>
  <c r="M35" i="3"/>
  <c r="N30" i="3"/>
  <c r="K30" i="3"/>
  <c r="M30" i="3"/>
  <c r="K28" i="3"/>
  <c r="N39" i="3"/>
  <c r="K39" i="3"/>
  <c r="M39" i="3"/>
  <c r="F4" i="3"/>
  <c r="G11" i="6"/>
  <c r="N28" i="3" l="1"/>
  <c r="K31" i="3"/>
  <c r="K38" i="3"/>
  <c r="M38" i="3"/>
  <c r="N38" i="3"/>
  <c r="K37" i="3"/>
  <c r="N37" i="3"/>
  <c r="M37" i="3"/>
  <c r="N26" i="3"/>
  <c r="K26" i="3"/>
  <c r="M26" i="3"/>
  <c r="F11" i="3"/>
  <c r="K6" i="3" s="1"/>
  <c r="M6" i="3" s="1"/>
  <c r="K27" i="3"/>
  <c r="N27" i="3"/>
  <c r="M27" i="3"/>
  <c r="M40" i="3"/>
  <c r="N40" i="3"/>
  <c r="K40" i="3"/>
  <c r="N29" i="3"/>
  <c r="M29" i="3"/>
  <c r="K29" i="3"/>
  <c r="G12" i="6"/>
  <c r="C7" i="9"/>
  <c r="E31" i="9"/>
  <c r="I12" i="9"/>
  <c r="I22" i="9"/>
  <c r="A17" i="3"/>
  <c r="I8" i="9"/>
  <c r="E8" i="9"/>
  <c r="E33" i="9"/>
  <c r="D31" i="9"/>
  <c r="I21" i="9"/>
  <c r="F5" i="9"/>
  <c r="F14" i="9"/>
  <c r="C31" i="9"/>
  <c r="F9" i="9"/>
  <c r="J4" i="9"/>
  <c r="E13" i="9"/>
  <c r="D12" i="9"/>
  <c r="C14" i="9"/>
  <c r="D16" i="9"/>
  <c r="D10" i="9"/>
  <c r="I16" i="9"/>
  <c r="F18" i="9"/>
  <c r="D9" i="9"/>
  <c r="D6" i="9"/>
  <c r="I23" i="9"/>
  <c r="E25" i="9"/>
  <c r="D4" i="9"/>
  <c r="I24" i="9"/>
  <c r="E4" i="9"/>
  <c r="F31" i="9"/>
  <c r="E28" i="9"/>
  <c r="J6" i="9"/>
  <c r="J8" i="9"/>
  <c r="D15" i="9"/>
  <c r="E16" i="9"/>
  <c r="J23" i="9"/>
  <c r="J24" i="9"/>
  <c r="D7" i="9"/>
  <c r="F30" i="9"/>
  <c r="I18" i="9"/>
  <c r="J15" i="9"/>
  <c r="I20" i="9"/>
  <c r="F7" i="9"/>
  <c r="C10" i="9"/>
  <c r="F26" i="9"/>
  <c r="F24" i="9"/>
  <c r="D21" i="9"/>
  <c r="I26" i="9"/>
  <c r="C27" i="9"/>
  <c r="J21" i="9"/>
  <c r="J28" i="9"/>
  <c r="C20" i="9"/>
  <c r="J31" i="9"/>
  <c r="I25" i="9"/>
  <c r="C29" i="9"/>
  <c r="E19" i="9"/>
  <c r="F13" i="9"/>
  <c r="C12" i="9"/>
  <c r="C5" i="9"/>
  <c r="E9" i="9"/>
  <c r="F22" i="9"/>
  <c r="I6" i="9"/>
  <c r="E24" i="9"/>
  <c r="C11" i="9"/>
  <c r="F20" i="9"/>
  <c r="C24" i="9"/>
  <c r="I15" i="9"/>
  <c r="J30" i="9"/>
  <c r="I27" i="9"/>
  <c r="C15" i="9"/>
  <c r="J10" i="9"/>
  <c r="F27" i="9"/>
  <c r="C22" i="9"/>
  <c r="J7" i="9"/>
  <c r="E12" i="9"/>
  <c r="E29" i="9"/>
  <c r="E30" i="9"/>
  <c r="E22" i="9"/>
  <c r="C6" i="9"/>
  <c r="J13" i="9"/>
  <c r="D30" i="9"/>
  <c r="C16" i="9"/>
  <c r="D20" i="9"/>
  <c r="F16" i="9"/>
  <c r="C30" i="9"/>
  <c r="F10" i="9"/>
  <c r="I33" i="9"/>
  <c r="D11" i="9"/>
  <c r="I11" i="9"/>
  <c r="D29" i="9"/>
  <c r="F12" i="9"/>
  <c r="C8" i="9"/>
  <c r="A20" i="3"/>
  <c r="E10" i="9"/>
  <c r="E15" i="9"/>
  <c r="C26" i="9"/>
  <c r="J12" i="9"/>
  <c r="C21" i="9"/>
  <c r="I31" i="9"/>
  <c r="F11" i="9"/>
  <c r="E7" i="9"/>
  <c r="C19" i="9"/>
  <c r="D28" i="9"/>
  <c r="J18" i="9"/>
  <c r="I28" i="9"/>
  <c r="D19" i="9"/>
  <c r="I30" i="9"/>
  <c r="J25" i="9"/>
  <c r="I5" i="9"/>
  <c r="D26" i="9"/>
  <c r="F33" i="9"/>
  <c r="D23" i="9"/>
  <c r="D25" i="9"/>
  <c r="I10" i="9"/>
  <c r="J33" i="9"/>
  <c r="J26" i="9"/>
  <c r="I19" i="9"/>
  <c r="C25" i="9"/>
  <c r="F15" i="9"/>
  <c r="E20" i="9"/>
  <c r="I29" i="9"/>
  <c r="F29" i="9"/>
  <c r="E14" i="9"/>
  <c r="J22" i="9"/>
  <c r="E5" i="9"/>
  <c r="C13" i="9"/>
  <c r="C18" i="9"/>
  <c r="C4" i="9"/>
  <c r="J5" i="9"/>
  <c r="E21" i="9"/>
  <c r="D13" i="9"/>
  <c r="A14" i="3"/>
  <c r="E18" i="9"/>
  <c r="J19" i="9"/>
  <c r="I14" i="9"/>
  <c r="F8" i="9"/>
  <c r="J11" i="9"/>
  <c r="I7" i="9"/>
  <c r="I4" i="9"/>
  <c r="J9" i="9"/>
  <c r="C9" i="9"/>
  <c r="C23" i="9"/>
  <c r="F28" i="9"/>
  <c r="J20" i="9"/>
  <c r="J16" i="9"/>
  <c r="J27" i="9"/>
  <c r="D5" i="9"/>
  <c r="D33" i="9"/>
  <c r="D18" i="9"/>
  <c r="C28" i="9"/>
  <c r="E11" i="9"/>
  <c r="F25" i="9"/>
  <c r="D27" i="9"/>
  <c r="E27" i="9"/>
  <c r="D24" i="9"/>
  <c r="F4" i="9"/>
  <c r="I9" i="9"/>
  <c r="E6" i="9"/>
  <c r="F6" i="9"/>
  <c r="E26" i="9"/>
  <c r="F23" i="9"/>
  <c r="F19" i="9"/>
  <c r="J14" i="9"/>
  <c r="F21" i="9"/>
  <c r="D8" i="9"/>
  <c r="D22" i="9"/>
  <c r="E23" i="9"/>
  <c r="J29" i="9"/>
  <c r="D14" i="9"/>
  <c r="C33" i="9"/>
  <c r="I13" i="9"/>
  <c r="K25" i="3" l="1"/>
  <c r="M25" i="3" s="1"/>
  <c r="H33" i="9"/>
  <c r="G31" i="9"/>
  <c r="G6" i="9"/>
  <c r="G21" i="9"/>
  <c r="G9" i="9"/>
  <c r="G10" i="9"/>
  <c r="G20" i="9"/>
  <c r="H13" i="9"/>
  <c r="H10" i="9"/>
  <c r="G23" i="9"/>
  <c r="H20" i="9"/>
  <c r="H9" i="9"/>
  <c r="H12" i="9"/>
  <c r="G33" i="9"/>
  <c r="G25" i="9"/>
  <c r="H18" i="9"/>
  <c r="H15" i="9"/>
  <c r="G4" i="9"/>
  <c r="G13" i="9"/>
  <c r="H8" i="9"/>
  <c r="G27" i="9"/>
  <c r="H31" i="9"/>
  <c r="H5" i="9"/>
  <c r="G29" i="9"/>
  <c r="G7" i="9"/>
  <c r="H4" i="9"/>
  <c r="G18" i="9"/>
  <c r="H6" i="9"/>
  <c r="H30" i="9"/>
  <c r="G8" i="9"/>
  <c r="H27" i="9"/>
  <c r="H14" i="9"/>
  <c r="H11" i="9"/>
  <c r="G15" i="9"/>
  <c r="H28" i="9"/>
  <c r="G16" i="9"/>
  <c r="G5" i="9"/>
  <c r="H21" i="9"/>
  <c r="G22" i="9"/>
  <c r="G14" i="9"/>
  <c r="H25" i="9"/>
  <c r="H16" i="9"/>
  <c r="G12" i="9"/>
  <c r="H19" i="9"/>
  <c r="G30" i="9"/>
  <c r="G26" i="9"/>
  <c r="H24" i="9"/>
  <c r="G19" i="9"/>
  <c r="H29" i="9"/>
  <c r="H7" i="9"/>
  <c r="G24" i="9"/>
  <c r="H23" i="9"/>
  <c r="H26" i="9"/>
  <c r="G28" i="9"/>
  <c r="G11" i="9"/>
  <c r="H22" i="9"/>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O7" i="3" l="1"/>
  <c r="O17" i="3"/>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O21" i="3"/>
  <c r="O18" i="3"/>
  <c r="O13" i="3"/>
  <c r="Q13" i="3" s="1"/>
  <c r="O8" i="3"/>
  <c r="P19" i="3"/>
  <c r="Q7" i="3"/>
  <c r="P7" i="3"/>
  <c r="Q26" i="3"/>
  <c r="P17" i="3"/>
  <c r="Q17" i="3"/>
  <c r="P16" i="3"/>
  <c r="Q24" i="3"/>
  <c r="G15" i="6"/>
  <c r="B3" i="6" l="1"/>
  <c r="Q15" i="3"/>
  <c r="P5" i="3"/>
  <c r="Q5" i="3"/>
  <c r="Q16" i="3"/>
  <c r="P8" i="3"/>
  <c r="P15" i="3"/>
  <c r="Q8" i="3"/>
  <c r="Q19" i="3"/>
  <c r="Q22" i="3"/>
  <c r="P12" i="3"/>
  <c r="Q6" i="3"/>
  <c r="Q21" i="3"/>
  <c r="P6" i="3"/>
  <c r="P21" i="3"/>
  <c r="Q11" i="3"/>
  <c r="Q12" i="3"/>
  <c r="P25" i="3"/>
  <c r="C24" i="6" s="1"/>
  <c r="B24" i="6"/>
  <c r="Q4" i="3"/>
  <c r="D3" i="6" s="1"/>
  <c r="Q18" i="3"/>
  <c r="P9" i="3"/>
  <c r="P14" i="3"/>
  <c r="P4" i="3"/>
  <c r="C3" i="6" s="1"/>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D10" i="6" l="1"/>
  <c r="C10" i="6"/>
  <c r="B10" i="6"/>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C26" i="6" s="1"/>
  <c r="B22" i="6"/>
  <c r="D22" i="6"/>
  <c r="D26" i="6" s="1"/>
  <c r="D23" i="6" l="1"/>
  <c r="C23" i="6"/>
  <c r="B2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83DDD5BD-9D0B-4F72-9BFA-DF3AA6A361F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84902C87-8498-48C3-9BD7-2A41E2FA989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組織名称のシート（全セル選択）</t>
        </r>
      </text>
    </comment>
    <comment ref="A8" authorId="0" shapeId="0" xr:uid="{09490BE7-14DE-47E5-9C12-D5605F08C933}">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51C5B0C-C642-4B38-A430-1398D1C017DC}">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xr:uid="{EA979A04-B6E2-42CD-BA9F-8E06FBA13F1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組織集計の表の値の領域（集計名と、年間登録の件数と、個別審査の件数：初期化で設定される）</t>
        </r>
      </text>
    </comment>
    <comment ref="A11" authorId="0" shapeId="0" xr:uid="{17532D9E-79E2-4D37-9C31-3B6F95BF109E}">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<sst xmlns="http://schemas.openxmlformats.org/spreadsheetml/2006/main" count="5324" uniqueCount="1519">
  <si>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</si>
  <si>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</si>
  <si>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</si>
  <si>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</si>
  <si>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</si>
  <si>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</si>
  <si>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</si>
  <si>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</si>
  <si>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</si>
  <si>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</si>
  <si>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</si>
  <si>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</si>
  <si>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</si>
  <si>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</si>
  <si>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</si>
  <si>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</si>
  <si>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</si>
  <si>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</si>
  <si>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</si>
  <si>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</si>
  <si>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</si>
  <si>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</si>
  <si>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</si>
  <si>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</si>
  <si>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</si>
  <si>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</si>
  <si>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</si>
  <si>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</si>
  <si>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</si>
  <si>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</si>
  <si>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</si>
  <si>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</si>
  <si>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</si>
  <si>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</si>
  <si>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</si>
  <si>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</si>
  <si>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</si>
  <si>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</si>
  <si>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</si>
  <si>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</si>
  <si>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</si>
  <si>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</si>
  <si>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</si>
  <si>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</si>
  <si>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</si>
  <si>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</si>
  <si>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</si>
  <si>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</si>
  <si>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</si>
  <si>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</si>
  <si>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</si>
  <si>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</si>
  <si>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</si>
  <si>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</si>
  <si>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</si>
  <si>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</si>
  <si>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</si>
  <si>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</si>
  <si>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</si>
  <si>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</si>
  <si>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</si>
  <si>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</si>
  <si>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</si>
  <si>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</si>
  <si>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</si>
  <si>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</si>
  <si>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</si>
  <si>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</si>
  <si>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</si>
  <si>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</si>
  <si>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</si>
  <si>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</si>
  <si>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</si>
  <si>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</si>
  <si>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</si>
  <si>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</si>
  <si>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</si>
  <si>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</si>
  <si>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</si>
  <si>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</si>
  <si>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</si>
  <si>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</si>
  <si>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</si>
  <si>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</si>
  <si>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</si>
  <si>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</si>
  <si>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</si>
  <si>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</si>
  <si>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</si>
  <si>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</si>
  <si>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</si>
  <si>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</si>
  <si>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</si>
  <si>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</si>
  <si>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</si>
  <si>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</si>
  <si>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</si>
  <si>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</si>
  <si>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</si>
  <si>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</si>
  <si>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</si>
  <si>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</si>
  <si>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</si>
  <si>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</si>
  <si>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</si>
  <si>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</si>
  <si>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</si>
  <si>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</si>
  <si>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</si>
  <si>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</si>
  <si>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</si>
  <si>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</si>
  <si>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</si>
  <si>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</si>
  <si>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</si>
  <si>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</si>
  <si>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</si>
  <si>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</si>
  <si>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</si>
  <si>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</si>
  <si>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</si>
  <si>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</si>
  <si>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</si>
  <si>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</si>
  <si>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</si>
  <si>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</si>
  <si>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</si>
  <si>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</si>
  <si>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</si>
  <si>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</si>
  <si>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</si>
  <si>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</si>
  <si>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</si>
  <si>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</si>
  <si>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</si>
  <si>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</si>
  <si>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</si>
  <si>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</si>
  <si>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</si>
  <si>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</si>
  <si>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</si>
  <si>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</si>
  <si>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</si>
  <si>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</si>
  <si>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</si>
  <si>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</si>
  <si>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</si>
  <si>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</si>
  <si>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</si>
  <si>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</si>
  <si>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</si>
  <si>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</si>
  <si>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</si>
  <si>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</si>
  <si>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</si>
  <si>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</si>
  <si>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</si>
  <si>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</si>
  <si>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</si>
  <si>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</si>
  <si>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</si>
  <si>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</si>
  <si>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</si>
  <si>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</si>
  <si>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</si>
  <si>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</si>
  <si>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</si>
  <si>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</si>
  <si>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</si>
  <si>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</si>
  <si>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</si>
  <si>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</si>
  <si>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</si>
  <si>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</si>
  <si>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</si>
  <si>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</si>
  <si>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</si>
  <si>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</si>
  <si>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</si>
  <si>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</si>
  <si>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</si>
  <si>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</si>
  <si>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</si>
  <si>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</si>
  <si>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</si>
  <si>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</si>
  <si>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</si>
  <si>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</si>
  <si>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</si>
  <si>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</si>
  <si>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</si>
  <si>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</si>
  <si>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</si>
  <si>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</si>
  <si>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</si>
  <si>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</si>
  <si>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</si>
  <si>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</si>
  <si>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</si>
  <si>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</si>
  <si>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</si>
  <si>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</si>
  <si>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</si>
  <si>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</si>
  <si>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</si>
  <si>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</si>
  <si>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</si>
  <si>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</si>
  <si>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</si>
  <si>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</si>
  <si>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</si>
  <si>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</si>
  <si>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</si>
  <si>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</si>
  <si>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</si>
  <si>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</si>
  <si>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</si>
  <si>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</si>
  <si>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</si>
  <si>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</si>
  <si>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</si>
  <si>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</si>
  <si>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</si>
  <si>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</si>
  <si>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</si>
  <si>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</si>
  <si>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</si>
  <si>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</si>
  <si>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</si>
  <si>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</si>
  <si>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</si>
  <si>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</si>
  <si>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</si>
  <si>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</si>
  <si>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</si>
  <si>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</si>
  <si>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</si>
  <si>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</si>
  <si>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</si>
  <si>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</si>
  <si>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</si>
  <si>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</si>
  <si>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</si>
  <si>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</si>
  <si>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</si>
  <si>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</si>
  <si>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</si>
  <si>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</si>
  <si>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</si>
  <si>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</si>
  <si>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</si>
  <si>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</si>
  <si>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</si>
  <si>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</si>
  <si>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</si>
  <si>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</si>
  <si>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</si>
  <si>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</si>
  <si>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</si>
  <si>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</si>
  <si>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</si>
  <si>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</si>
  <si>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</si>
  <si>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</si>
  <si>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</si>
  <si>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</si>
  <si>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</si>
  <si>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</si>
  <si>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</si>
  <si>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</si>
  <si>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</si>
  <si>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</si>
  <si>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</si>
  <si>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</si>
  <si>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</si>
  <si>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</si>
  <si>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</si>
  <si>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</si>
  <si>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</si>
  <si>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</si>
  <si>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</si>
  <si>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</si>
  <si>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</si>
  <si>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</si>
  <si>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</si>
  <si>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</si>
  <si>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</si>
  <si>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</si>
  <si>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</si>
  <si>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</si>
  <si>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</si>
  <si>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</si>
  <si>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</si>
  <si>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</si>
  <si>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</si>
  <si>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</si>
  <si>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</si>
  <si>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</si>
  <si>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</si>
  <si>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</si>
  <si>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</si>
  <si>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</si>
  <si>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</si>
  <si>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</si>
  <si>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</si>
  <si>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</si>
  <si>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</si>
  <si>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</si>
  <si>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</si>
  <si>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</si>
  <si>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</si>
  <si>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</si>
  <si>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</si>
  <si>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</si>
  <si>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</si>
  <si>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</si>
  <si>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</si>
  <si>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</si>
  <si>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</si>
  <si>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</si>
  <si>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</si>
  <si>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</si>
  <si>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</si>
  <si>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</si>
  <si>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</si>
  <si>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</si>
  <si>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</si>
  <si>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</si>
  <si>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</si>
  <si>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</si>
  <si>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</si>
  <si>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</si>
  <si>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</si>
  <si>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</si>
  <si>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</si>
  <si>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</si>
  <si>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</si>
  <si>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</si>
  <si>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</si>
  <si>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</si>
  <si>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</si>
  <si>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</si>
  <si>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</si>
  <si>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</si>
  <si>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</si>
  <si>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</si>
  <si>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</si>
  <si>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</si>
  <si>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</si>
  <si>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</si>
  <si>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</si>
  <si>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</si>
  <si>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</si>
  <si>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</si>
  <si>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</si>
  <si>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</si>
  <si>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</si>
  <si>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</si>
  <si>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</si>
  <si>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</si>
  <si>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</si>
  <si>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</si>
  <si>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</si>
  <si>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</si>
  <si>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</si>
  <si>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</si>
  <si>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</si>
  <si>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</si>
  <si>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</si>
  <si>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</si>
  <si>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</si>
  <si>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</si>
  <si>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</si>
  <si>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</si>
  <si>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</si>
  <si>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</si>
  <si>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</si>
  <si>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</si>
  <si>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</si>
  <si>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</si>
  <si>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</si>
  <si>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</si>
  <si>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</si>
  <si>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</si>
  <si>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</si>
  <si>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</si>
  <si>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</si>
  <si>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</si>
  <si>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</si>
  <si>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</si>
  <si>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</si>
  <si>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</si>
  <si>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</si>
  <si>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</si>
  <si>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</si>
  <si>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</si>
  <si>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</si>
  <si>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</si>
  <si>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</si>
  <si>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</si>
  <si>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</si>
  <si>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</si>
  <si>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</si>
  <si>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</si>
  <si>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</si>
  <si>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</si>
  <si>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</si>
  <si>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</si>
  <si>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</si>
  <si>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</si>
  <si>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</si>
  <si>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</si>
  <si>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</si>
  <si>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</si>
  <si>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</si>
  <si>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</si>
  <si>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</si>
  <si>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</si>
  <si>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</si>
  <si>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</si>
  <si>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</si>
  <si>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</si>
  <si>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</si>
  <si>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</si>
  <si>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</si>
  <si>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</si>
  <si>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</si>
  <si>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</si>
  <si>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</si>
  <si>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</si>
  <si>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</si>
  <si>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</si>
  <si>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</si>
  <si>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</si>
  <si>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</si>
  <si>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</si>
  <si>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</si>
  <si>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</si>
  <si>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</si>
  <si>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</si>
  <si>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</si>
  <si>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</si>
  <si>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</si>
  <si>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</si>
  <si>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</si>
  <si>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</si>
  <si>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</si>
  <si>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</si>
  <si>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</si>
  <si>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</si>
  <si>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</si>
  <si>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</si>
  <si>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</si>
  <si>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</si>
  <si>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</si>
  <si>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</si>
  <si>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</si>
  <si>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</si>
  <si>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</si>
  <si>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</si>
  <si>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</si>
  <si>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</si>
  <si>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</si>
  <si>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</si>
  <si>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</si>
  <si>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</si>
  <si>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</si>
  <si>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</si>
  <si>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</si>
  <si>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</si>
  <si>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</si>
  <si>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</si>
  <si>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</si>
  <si>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</si>
  <si>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</si>
  <si>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</si>
  <si>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</si>
  <si>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</si>
  <si>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</si>
  <si>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</si>
  <si>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</si>
  <si>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</si>
  <si>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</si>
  <si>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</si>
  <si>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</si>
  <si>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</si>
  <si>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</si>
  <si>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</si>
  <si>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</si>
  <si>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</si>
  <si>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</si>
  <si>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</si>
  <si>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</si>
  <si>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</si>
  <si>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</si>
  <si>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</si>
  <si>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</si>
  <si>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</si>
  <si>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</si>
  <si>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</si>
  <si>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</si>
  <si>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</si>
  <si>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</si>
  <si>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</si>
  <si>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</si>
  <si>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</si>
  <si>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</si>
  <si>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</si>
  <si>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</si>
  <si>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</si>
  <si>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</si>
  <si>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</si>
  <si>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</si>
  <si>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</si>
  <si>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</si>
  <si>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</si>
  <si>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</si>
  <si>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</si>
  <si>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</si>
  <si>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</si>
  <si>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</si>
  <si>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</si>
  <si>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</si>
  <si>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</si>
  <si>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</si>
  <si>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</si>
  <si>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</si>
  <si>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</si>
  <si>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</si>
  <si>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</si>
  <si>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</si>
  <si>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</si>
  <si>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</si>
  <si>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</si>
  <si>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</si>
  <si>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</si>
  <si>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</si>
  <si>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</si>
  <si>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</si>
  <si>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</si>
  <si>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</si>
  <si>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</si>
  <si>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</si>
  <si>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</si>
  <si>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</si>
  <si>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</si>
  <si>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</si>
  <si>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</si>
  <si>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</si>
  <si>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</si>
  <si>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</si>
  <si>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</si>
  <si>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</si>
  <si>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</si>
  <si>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</si>
  <si>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</si>
  <si>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</si>
  <si>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</si>
  <si>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</si>
  <si>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</si>
  <si>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</si>
  <si>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</si>
  <si>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</si>
  <si>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</si>
  <si>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</si>
  <si>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</si>
  <si>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</si>
  <si>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</si>
  <si>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</si>
  <si>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</si>
  <si>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</si>
  <si>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</si>
  <si>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</si>
  <si>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</si>
  <si>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</si>
  <si>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</si>
  <si>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</si>
  <si>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</si>
  <si>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</si>
  <si>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</si>
  <si>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</si>
  <si>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</si>
  <si>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</si>
  <si>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</si>
  <si>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</si>
  <si>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</si>
  <si>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</si>
  <si>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</si>
  <si>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</si>
  <si>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</si>
  <si>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</si>
  <si>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</si>
  <si>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</si>
  <si>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</si>
  <si>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</si>
  <si>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</si>
  <si>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</si>
  <si>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</si>
  <si>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</si>
  <si>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</si>
  <si>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</si>
  <si>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</si>
  <si>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</si>
  <si>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</si>
  <si>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</si>
  <si>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</si>
  <si>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</si>
  <si>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</si>
  <si>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</si>
  <si>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</si>
  <si>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</si>
  <si>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</si>
  <si>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</si>
  <si>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</si>
  <si>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</si>
  <si>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</si>
  <si>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</si>
  <si>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</si>
  <si>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</si>
  <si>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</si>
  <si>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</si>
  <si>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</si>
  <si>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</si>
  <si>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</si>
  <si>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</si>
  <si>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</si>
  <si>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</si>
  <si>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</si>
  <si>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</si>
  <si>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</si>
  <si>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</si>
  <si>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</si>
  <si>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</si>
  <si>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</si>
  <si>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</si>
  <si>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</si>
  <si>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</si>
  <si>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</si>
  <si>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</si>
  <si>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</si>
  <si>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</si>
  <si>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</si>
  <si>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</si>
  <si>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</si>
  <si>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</si>
  <si>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</si>
  <si>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</si>
  <si>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</si>
  <si>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</si>
  <si>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</si>
  <si>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</si>
  <si>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</si>
  <si>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</si>
  <si>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</si>
  <si>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</si>
  <si>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</si>
  <si>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</si>
  <si>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</si>
  <si>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</si>
  <si>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</si>
  <si>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</si>
  <si>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</si>
  <si>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</si>
  <si>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</si>
  <si>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</si>
  <si>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</si>
  <si>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</si>
  <si>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</si>
  <si>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</si>
  <si>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</si>
  <si>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</si>
  <si>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</si>
  <si>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</si>
  <si>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</si>
  <si>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</si>
  <si>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</si>
  <si>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</si>
  <si>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</si>
  <si>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</si>
  <si>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</si>
  <si>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</si>
  <si>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</si>
  <si>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</si>
  <si>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</si>
  <si>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</si>
  <si>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</si>
  <si>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</si>
  <si>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</si>
  <si>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</si>
  <si>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</si>
  <si>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</si>
  <si>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</si>
  <si>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</si>
  <si>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</si>
  <si>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</si>
  <si>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</si>
  <si>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</si>
  <si>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</si>
  <si>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</si>
  <si>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</si>
  <si>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</si>
  <si>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</si>
  <si>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</si>
  <si>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</si>
  <si>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</si>
  <si>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</si>
  <si>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</si>
  <si>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</si>
  <si>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</si>
  <si>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</si>
  <si>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</si>
  <si>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</si>
  <si>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</si>
  <si>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</si>
  <si>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</si>
  <si>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</si>
  <si>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</si>
  <si>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</si>
  <si>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</si>
  <si>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</si>
  <si>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</si>
  <si>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</si>
  <si>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</si>
  <si>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</si>
  <si>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</si>
  <si>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</si>
  <si>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</si>
  <si>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</si>
  <si>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</si>
  <si>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</si>
  <si>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</si>
  <si>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</si>
  <si>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</si>
  <si>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</si>
  <si>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</si>
  <si>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</si>
  <si>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</si>
  <si>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</si>
  <si>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</si>
  <si>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</si>
  <si>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</si>
  <si>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</si>
  <si>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</si>
  <si>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</si>
  <si>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</si>
  <si>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</si>
  <si>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</si>
  <si>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</si>
  <si>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</si>
  <si>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</si>
  <si>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</si>
  <si>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</si>
  <si>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</si>
  <si>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</si>
  <si>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</si>
  <si>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</si>
  <si>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</si>
  <si>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</si>
  <si>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</si>
  <si>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</si>
  <si>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</si>
  <si>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</si>
  <si>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</si>
  <si>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</si>
  <si>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</si>
  <si>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</si>
  <si>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</si>
  <si>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</si>
  <si>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</si>
  <si>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</si>
  <si>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</si>
  <si>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</si>
  <si>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</si>
  <si>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</si>
  <si>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</si>
  <si>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</si>
  <si>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</si>
  <si>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</si>
  <si>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</si>
  <si>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</si>
  <si>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</si>
  <si>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</si>
  <si>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</si>
  <si>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</si>
  <si>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</si>
  <si>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</si>
  <si>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</si>
  <si>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</si>
  <si>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</si>
  <si>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</si>
  <si>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</si>
  <si>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</si>
  <si>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</si>
  <si>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</si>
  <si>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</si>
  <si>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</si>
  <si>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</si>
  <si>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</si>
  <si>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</si>
  <si>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</si>
  <si>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</si>
  <si>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</si>
  <si>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</si>
  <si>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</si>
  <si>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</si>
  <si>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</si>
  <si>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</si>
  <si>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</si>
  <si>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</si>
  <si>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</si>
  <si>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</si>
  <si>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</si>
  <si>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</si>
  <si>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</si>
  <si>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</si>
  <si>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</si>
  <si>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</si>
  <si>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</si>
  <si>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</si>
  <si>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</si>
  <si>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</si>
  <si>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</si>
  <si>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</si>
  <si>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</si>
  <si>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</si>
  <si>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</si>
  <si>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</si>
  <si>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</si>
  <si>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</si>
  <si>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</si>
  <si>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</si>
  <si>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</si>
  <si>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</si>
  <si>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</si>
  <si>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</si>
  <si>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</si>
  <si>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</si>
  <si>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</si>
  <si>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</si>
  <si>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</si>
  <si>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</si>
  <si>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</si>
  <si>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</si>
  <si>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</si>
  <si>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</si>
  <si>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</si>
  <si>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</si>
  <si>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</si>
  <si>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</si>
  <si>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</si>
  <si>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</si>
  <si>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</si>
  <si>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</si>
  <si>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</si>
  <si>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</si>
  <si>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</si>
  <si>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</si>
  <si>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</si>
  <si>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</si>
  <si>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</si>
  <si>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</si>
  <si>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</si>
  <si>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</si>
  <si>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</si>
  <si>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</si>
  <si>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</si>
  <si>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</si>
  <si>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</si>
  <si>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</si>
  <si>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</si>
  <si>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</si>
  <si>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</si>
  <si>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</si>
  <si>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</si>
  <si>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</si>
  <si>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</si>
  <si>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</si>
  <si>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</si>
  <si>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</si>
  <si>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</si>
  <si>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</si>
  <si>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</si>
  <si>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</si>
  <si>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</si>
  <si>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</si>
  <si>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</si>
  <si>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</si>
  <si>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</si>
  <si>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</si>
  <si>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</si>
  <si>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</si>
  <si>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</si>
  <si>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</si>
  <si>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</si>
  <si>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</si>
  <si>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</si>
  <si>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</si>
  <si>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</si>
  <si>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</si>
  <si>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</si>
  <si>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</si>
  <si>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</si>
  <si>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</si>
  <si>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</si>
  <si>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</si>
  <si>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</si>
  <si>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</si>
  <si>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</si>
  <si>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</si>
  <si>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</si>
  <si>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</si>
  <si>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</si>
  <si>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</si>
  <si>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</si>
  <si>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</si>
  <si>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</si>
  <si>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</si>
  <si>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</si>
  <si>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</si>
  <si>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</si>
  <si>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</si>
  <si>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</si>
  <si>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</si>
  <si>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</si>
  <si>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</si>
  <si>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</si>
  <si>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</si>
  <si>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</si>
  <si>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</si>
  <si>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</si>
  <si>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</si>
  <si>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</si>
  <si>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</si>
  <si>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</si>
  <si>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</si>
  <si>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</si>
  <si>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</si>
  <si>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</si>
  <si>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</si>
  <si>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</si>
  <si>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</si>
  <si>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</si>
  <si>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</si>
  <si>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</si>
  <si>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</si>
  <si>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</si>
  <si>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</si>
  <si>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</si>
  <si>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</si>
  <si>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</si>
  <si>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</si>
  <si>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</si>
  <si>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</si>
  <si>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</si>
  <si>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</si>
  <si>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</si>
  <si>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</si>
  <si>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</si>
  <si>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</si>
  <si>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</si>
  <si>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</si>
  <si>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</si>
  <si>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</si>
  <si>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</si>
  <si>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</si>
  <si>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</si>
  <si>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</si>
  <si>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</si>
  <si>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</si>
  <si>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</si>
  <si>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</si>
  <si>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</si>
  <si>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</si>
  <si>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</si>
  <si>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</si>
  <si>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</si>
  <si>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</si>
  <si>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</si>
  <si>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</si>
  <si>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</si>
  <si>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</si>
  <si>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</si>
  <si>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</si>
  <si>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</si>
  <si>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</si>
  <si>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</si>
  <si>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</si>
  <si>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</si>
  <si>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</si>
  <si>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</si>
  <si>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</si>
  <si>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</si>
  <si>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</si>
  <si>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</si>
  <si>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</si>
  <si>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</si>
  <si>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</si>
  <si>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</si>
  <si>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</si>
  <si>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</si>
  <si>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</si>
  <si>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</si>
  <si>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</si>
  <si>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</si>
  <si>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</si>
  <si>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</si>
  <si>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</si>
  <si>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</si>
  <si>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</si>
  <si>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</si>
  <si>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</si>
  <si>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</si>
  <si>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</si>
  <si>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</si>
  <si>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</si>
  <si>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</si>
  <si>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</si>
  <si>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</si>
  <si>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</si>
  <si>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</si>
  <si>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</si>
  <si>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</si>
  <si>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</si>
  <si>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</si>
  <si>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</si>
  <si>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</si>
  <si>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</si>
  <si>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</si>
  <si>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</si>
  <si>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</si>
  <si>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</si>
  <si>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</si>
  <si>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</si>
  <si>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</si>
  <si>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</si>
  <si>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</si>
  <si>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</si>
  <si>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</si>
  <si>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</si>
  <si>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</si>
  <si>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</si>
  <si>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</si>
  <si>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</si>
  <si>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</si>
  <si>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</si>
  <si>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</si>
  <si>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</si>
  <si>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</si>
  <si>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</si>
  <si>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</si>
  <si>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</si>
  <si>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</si>
  <si>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</si>
  <si>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</si>
  <si>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</si>
  <si>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</si>
  <si>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</si>
  <si>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</si>
  <si>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</si>
  <si>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</si>
  <si>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</si>
  <si>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</si>
  <si>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</si>
  <si>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</si>
  <si>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</si>
  <si>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</si>
  <si>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</si>
  <si>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</si>
  <si>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</si>
  <si>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</si>
  <si>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</si>
  <si>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</si>
  <si>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</si>
  <si>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</si>
  <si>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</si>
  <si>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</si>
  <si>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</si>
  <si>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</si>
  <si>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</si>
  <si>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</si>
  <si>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</si>
  <si>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</si>
  <si>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</si>
  <si>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</si>
  <si>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</si>
  <si>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</si>
  <si>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</si>
  <si>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</si>
  <si>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</si>
  <si>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</si>
  <si>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</si>
  <si>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</si>
  <si>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</si>
  <si>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</si>
  <si>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</si>
  <si>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</si>
  <si>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</si>
  <si>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</si>
  <si>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</si>
  <si>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</si>
  <si>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</si>
  <si>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</si>
  <si>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</si>
  <si>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</si>
  <si>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</si>
  <si>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</si>
  <si>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</si>
  <si>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</si>
  <si>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</si>
  <si>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</si>
  <si>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</si>
  <si>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</si>
  <si>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</si>
  <si>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</si>
  <si>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</si>
  <si>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</si>
  <si>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</si>
  <si>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</si>
  <si>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</si>
  <si>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</si>
  <si>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</si>
  <si>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</si>
  <si>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</si>
  <si>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</si>
  <si>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</si>
  <si>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</si>
  <si>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</si>
  <si>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</si>
  <si>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</si>
  <si>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</si>
  <si>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</si>
  <si>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</si>
  <si>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</si>
  <si>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</si>
  <si>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</si>
  <si>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</si>
  <si>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</si>
  <si>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</si>
  <si>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</si>
  <si>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</si>
  <si>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</si>
  <si>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</si>
  <si>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</si>
  <si>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</si>
  <si>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</si>
  <si>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</si>
  <si>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</si>
  <si>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</si>
  <si>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</si>
  <si>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</si>
  <si>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</si>
  <si>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</si>
  <si>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</si>
  <si>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</si>
  <si>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</si>
  <si>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</si>
  <si>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</si>
  <si>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</si>
  <si>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</si>
  <si>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</si>
  <si>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</si>
  <si>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</si>
  <si>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</si>
  <si>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</si>
  <si>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</si>
  <si>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</si>
  <si>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</si>
  <si>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</si>
  <si>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</si>
  <si>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</si>
  <si>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</si>
  <si>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</si>
  <si>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</si>
  <si>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</si>
  <si>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</si>
  <si>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</si>
  <si>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</si>
  <si>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</si>
  <si>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</si>
  <si>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</si>
  <si>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</si>
  <si>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</si>
  <si>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</si>
  <si>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</si>
  <si>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</si>
  <si>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</si>
  <si>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</si>
  <si>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</si>
  <si>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</si>
  <si>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</si>
  <si>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</si>
  <si>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</si>
  <si>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</si>
  <si>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</si>
  <si>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</si>
  <si>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</si>
  <si>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</si>
  <si>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</si>
  <si>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</si>
  <si>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</si>
  <si>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</si>
  <si>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</si>
  <si>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</si>
  <si>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</si>
  <si>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</si>
  <si>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</si>
  <si>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</si>
  <si>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</si>
  <si>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</si>
  <si>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</si>
  <si>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</si>
  <si>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</si>
  <si>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</si>
  <si>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</si>
  <si>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ＶＣ本</t>
  </si>
  <si>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</si>
  <si>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</si>
  <si>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</si>
  <si>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</si>
  <si>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</si>
  <si>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</si>
  <si>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</si>
  <si>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</si>
  <si>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</si>
  <si>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</si>
  <si>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</si>
  <si>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</si>
  <si>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</si>
  <si>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</si>
  <si>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</si>
  <si>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</si>
  <si>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</si>
  <si>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</si>
  <si>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</si>
  <si>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</si>
  <si>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</si>
  <si>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</si>
  <si>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</si>
  <si>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</si>
  <si>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</si>
  <si>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</si>
  <si>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</si>
  <si>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</si>
  <si>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</si>
  <si>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</si>
  <si>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</si>
  <si>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</si>
  <si>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</si>
  <si>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</si>
  <si>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</si>
  <si>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</si>
  <si>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</si>
  <si>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</si>
  <si>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</si>
  <si>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</si>
  <si>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</si>
  <si>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</si>
  <si>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</si>
  <si>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</si>
  <si>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</si>
  <si>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</si>
  <si>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</si>
  <si>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</si>
  <si>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</si>
  <si>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</si>
  <si>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</si>
  <si>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</si>
  <si>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</si>
  <si>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</si>
  <si>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</si>
  <si>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</si>
  <si>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</si>
  <si>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</si>
  <si>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</si>
  <si>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</si>
  <si>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</si>
  <si>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</si>
  <si>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</si>
  <si>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</si>
  <si>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</si>
  <si>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</si>
  <si>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</si>
  <si>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</si>
  <si>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</si>
  <si>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</si>
  <si>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</si>
  <si>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</si>
  <si>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</si>
  <si>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</si>
  <si>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</si>
  <si>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</si>
  <si>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</si>
  <si>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</si>
  <si>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</si>
  <si>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</si>
  <si>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</si>
  <si>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</si>
  <si>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</si>
  <si>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</si>
  <si>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</si>
  <si>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</si>
  <si>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</si>
  <si>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</si>
  <si>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</si>
  <si>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</si>
  <si>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</si>
  <si>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</si>
  <si>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</si>
  <si>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</si>
  <si>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</si>
  <si>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</si>
  <si>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</si>
  <si>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</si>
  <si>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</si>
  <si>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</si>
  <si>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</si>
  <si>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</si>
  <si>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</si>
  <si>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</si>
  <si>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</si>
  <si>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</si>
  <si>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</si>
  <si>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</si>
  <si>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</si>
  <si>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</si>
  <si>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</si>
  <si>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</si>
  <si>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</si>
  <si>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</si>
  <si>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</si>
  <si>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</si>
  <si>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</si>
  <si>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</si>
  <si>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</si>
  <si>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</si>
  <si>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</si>
  <si>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</si>
  <si>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</si>
  <si>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</si>
  <si>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</si>
  <si>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</si>
  <si>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</si>
  <si>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</si>
  <si>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</si>
  <si>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</si>
  <si>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</si>
  <si>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</si>
  <si>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</si>
  <si>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</si>
  <si>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</si>
  <si>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</si>
  <si>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</si>
  <si>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</si>
  <si>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</si>
  <si>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</si>
  <si>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</si>
  <si>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</si>
  <si>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</si>
  <si>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</si>
  <si>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</si>
  <si>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</si>
  <si>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</si>
  <si>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</si>
  <si>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</si>
  <si>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</si>
  <si>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</si>
  <si>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</si>
  <si>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</si>
  <si>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</si>
  <si>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</si>
  <si>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</si>
  <si>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</si>
  <si>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</si>
  <si>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</si>
  <si>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</si>
  <si>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</si>
  <si>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</si>
  <si>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</si>
  <si>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</si>
  <si>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</si>
  <si>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</si>
  <si>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</si>
  <si>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</si>
  <si>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</si>
  <si>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</si>
  <si>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</si>
  <si>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</si>
  <si>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</si>
  <si>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</si>
  <si>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</si>
  <si>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</si>
  <si>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</si>
  <si>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</si>
  <si>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</si>
  <si>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</si>
  <si>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</si>
  <si>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</si>
  <si>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</si>
  <si>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</si>
  <si>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</si>
  <si>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</si>
  <si>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</si>
  <si>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</si>
  <si>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</si>
  <si>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</si>
  <si>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</si>
  <si>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</si>
  <si>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</si>
  <si>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</si>
  <si>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</si>
  <si>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</si>
  <si>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</si>
  <si>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</si>
  <si>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</si>
  <si>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</si>
  <si>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</si>
  <si>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</si>
  <si>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</si>
  <si>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</si>
  <si>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</si>
  <si>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</si>
  <si>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</si>
  <si>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</si>
  <si>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</si>
  <si>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</si>
  <si>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</si>
  <si>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</si>
  <si>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</si>
  <si>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</si>
  <si>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</si>
  <si>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</si>
  <si>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</si>
  <si>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</si>
  <si>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</si>
  <si>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</si>
  <si>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</si>
  <si>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</si>
  <si>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</si>
  <si>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</si>
  <si>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</si>
  <si>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</si>
  <si>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</si>
  <si>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</si>
  <si>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</si>
  <si>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</si>
  <si>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</si>
  <si>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</si>
  <si>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</si>
  <si>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</si>
  <si>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</si>
  <si>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</si>
  <si>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</si>
  <si>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</si>
  <si>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</si>
  <si>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</si>
  <si>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</si>
  <si>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</si>
  <si>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</si>
  <si>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</si>
  <si>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</si>
  <si>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</si>
  <si>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</si>
  <si>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</si>
  <si>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</si>
  <si>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</si>
  <si>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</si>
  <si>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</si>
  <si>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</si>
  <si>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</si>
  <si>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</si>
  <si>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</si>
  <si>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</si>
  <si>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</si>
  <si>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</si>
  <si>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</si>
  <si>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</si>
  <si>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</si>
  <si>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</si>
  <si>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</si>
  <si>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</si>
  <si>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</si>
  <si>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</si>
  <si>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</si>
  <si>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</si>
  <si>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</si>
  <si>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</si>
  <si>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</si>
  <si>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</si>
  <si>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</si>
  <si>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</si>
  <si>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</si>
  <si>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</si>
  <si>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</si>
  <si>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</si>
  <si>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</si>
  <si>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</si>
  <si>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</si>
  <si>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</si>
  <si>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</si>
  <si>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ゼロサプ</t>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</si>
  <si>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</si>
  <si>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</si>
  <si>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</si>
  <si>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</si>
  <si>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</si>
  <si>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</si>
  <si>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</si>
  <si>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</si>
  <si>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</si>
  <si>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</si>
  <si>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組織集計（ゼロサプ）</t>
    <rPh sb="0" eb="2">
      <t>ソシキ</t>
    </rPh>
    <rPh sb="2" eb="4">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</si>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</sst>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Red]&quot;¥&quot;\-#,##0"/>
    <numFmt numFmtId="176" formatCode="0\ &quot;件&quot;"/>
    <numFmt numFmtId="177" formatCode="[$¥-411]#,##0;[$¥-411]#,##0"/>
    <numFmt numFmtId="182" formatCode="&quot;開始：&quot;yyyy/mm/dd"/>
    <numFmt numFmtId="183" formatCode="&quot;終了：&quot;yyyy/mm/dd"/>
  </numFmts>
  <fonts count="31">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65">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cellStyleXfs>
  <cellXfs count="169">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82" fontId="30" fillId="7" borderId="2" xfId="0" applyNumberFormat="1" applyFont="1" applyFill="1" applyBorder="1">
      <alignment vertical="center"/>
    </xf>
    <xf numFmtId="183"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0" fillId="17" borderId="64" xfId="0" applyFont="1" applyFill="1" applyBorder="1">
      <alignment vertical="center"/>
    </xf>
  </cellXfs>
  <cellStyles count="5">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337D396F-5125-4334-9620-25DF15A01A98}"/>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9DE50DE8-2149-4681-ADDA-C0BA3C5747C8}"/>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F6B39A0A-D132-4DA4-8412-F94E0E4E3374}"/>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2</xdr:row>
          <xdr:rowOff>47625</xdr:rowOff>
        </xdr:from>
        <xdr:to>
          <xdr:col>2</xdr:col>
          <xdr:colOff>657225</xdr:colOff>
          <xdr:row>3</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B89361C4-E1B2-4380-88E7-6B0381C878E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7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A4" workbookViewId="0">
      <selection activeCell="T199" sqref="T199"/>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tabSelected="1" topLeftCell="A13" workbookViewId="0">
      <selection activeCell="A28" sqref="A28"/>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1461</v>
      </c>
      <c r="AP2" s="137" t="s">
        <v>1485</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1460</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1463</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1462</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1464</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1458</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1459</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1465</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1466</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1467</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1468</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1469</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1470</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1471</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1472</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1473</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1474</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1475</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1476</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1477</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29"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1478</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1479</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1480</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1481</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1482</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1483</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1484</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A506A-7A8A-4DF8-9E47-A4A22630DB6A}">
  <sheetPr codeName="Sheet1"/>
  <dimension ref="A1:Y22"/>
  <sheetViews>
    <sheetView workbookViewId="0">
      <selection activeCell="M17" sqref="M17"/>
    </sheetView>
  </sheetViews>
  <sheetFormatPr defaultRowHeight="14.25"/>
  <cols>
    <col min="1" max="1" width="22.75" style="158" bestFit="1" customWidth="1"/>
    <col min="2" max="16384" width="9" style="158"/>
  </cols>
  <sheetData>
    <row r="1" spans="1:25">
      <c r="A1" s="161" t="s">
        <v>1491</v>
      </c>
      <c r="B1" s="158" t="s">
        <v>1503</v>
      </c>
      <c r="D1" s="165" t="s">
        <v>1500</v>
      </c>
      <c r="E1" s="166"/>
      <c r="F1" s="167"/>
      <c r="G1" s="165" t="s">
        <v>1510</v>
      </c>
      <c r="H1" s="166"/>
      <c r="I1" s="167"/>
      <c r="K1" s="165" t="s">
        <v>1509</v>
      </c>
      <c r="L1" s="166"/>
      <c r="M1" s="167"/>
      <c r="O1" s="165" t="s">
        <v>1511</v>
      </c>
      <c r="P1" s="166"/>
      <c r="Q1" s="167"/>
      <c r="R1" s="165" t="s">
        <v>1513</v>
      </c>
      <c r="S1" s="166"/>
      <c r="T1" s="167"/>
      <c r="V1" s="165" t="s">
        <v>1515</v>
      </c>
      <c r="W1" s="166"/>
      <c r="X1" s="166"/>
      <c r="Y1" s="167"/>
    </row>
    <row r="2" spans="1:25">
      <c r="A2" s="159">
        <v>43922</v>
      </c>
      <c r="C2" s="158" t="s">
        <v>1494</v>
      </c>
    </row>
    <row r="3" spans="1:25">
      <c r="A3" s="160">
        <v>44104</v>
      </c>
      <c r="D3" s="158" t="s">
        <v>1493</v>
      </c>
      <c r="E3" s="158" t="s">
        <v>1492</v>
      </c>
      <c r="F3" s="158" t="s">
        <v>1498</v>
      </c>
      <c r="G3" s="158" t="s">
        <v>1499</v>
      </c>
      <c r="H3" s="158" t="s">
        <v>1492</v>
      </c>
      <c r="I3" s="158" t="s">
        <v>1498</v>
      </c>
      <c r="L3" s="158" t="s">
        <v>1498</v>
      </c>
      <c r="P3" s="158" t="s">
        <v>1498</v>
      </c>
      <c r="T3" s="158" t="s">
        <v>1498</v>
      </c>
      <c r="V3" s="158" t="s">
        <v>1498</v>
      </c>
      <c r="W3" s="158" t="s">
        <v>1498</v>
      </c>
      <c r="X3" s="158" t="s">
        <v>1498</v>
      </c>
      <c r="Y3" s="158" t="s">
        <v>1498</v>
      </c>
    </row>
    <row r="4" spans="1:25" ht="15" thickBot="1">
      <c r="D4" s="162" t="s">
        <v>1489</v>
      </c>
      <c r="E4" s="163" t="s">
        <v>1201</v>
      </c>
      <c r="F4" s="163" t="s">
        <v>1201</v>
      </c>
      <c r="G4" s="163" t="s">
        <v>1489</v>
      </c>
      <c r="H4" s="163" t="s">
        <v>1201</v>
      </c>
      <c r="I4" s="164" t="s">
        <v>1201</v>
      </c>
      <c r="K4" s="162" t="s">
        <v>1489</v>
      </c>
      <c r="L4" s="164" t="s">
        <v>1201</v>
      </c>
      <c r="M4" s="164" t="s">
        <v>1518</v>
      </c>
      <c r="O4" s="162" t="s">
        <v>1489</v>
      </c>
      <c r="P4" s="168" t="s">
        <v>1201</v>
      </c>
      <c r="Q4" s="164" t="s">
        <v>1518</v>
      </c>
      <c r="R4" s="162" t="s">
        <v>1514</v>
      </c>
      <c r="S4" s="162" t="s">
        <v>1489</v>
      </c>
      <c r="T4" s="164" t="s">
        <v>1201</v>
      </c>
      <c r="V4" s="162" t="s">
        <v>1175</v>
      </c>
      <c r="W4" s="163" t="s">
        <v>1455</v>
      </c>
      <c r="X4" s="163" t="s">
        <v>1516</v>
      </c>
      <c r="Y4" s="164" t="s">
        <v>1517</v>
      </c>
    </row>
    <row r="5" spans="1:25" ht="15" thickTop="1">
      <c r="A5" s="161" t="s">
        <v>1495</v>
      </c>
    </row>
    <row r="6" spans="1:25">
      <c r="A6" s="158" t="s">
        <v>1491</v>
      </c>
      <c r="B6" s="158" t="b">
        <f>ISREF(集計期間)</f>
        <v>1</v>
      </c>
    </row>
    <row r="7" spans="1:25">
      <c r="A7" s="158" t="s">
        <v>1493</v>
      </c>
      <c r="B7" s="158" t="b">
        <f>ISREF(組織)</f>
        <v>1</v>
      </c>
    </row>
    <row r="8" spans="1:25">
      <c r="A8" s="158" t="s">
        <v>1496</v>
      </c>
      <c r="B8" s="158" t="b">
        <f>ISREF(承認記録)</f>
        <v>0</v>
      </c>
    </row>
    <row r="9" spans="1:25">
      <c r="A9" s="158" t="s">
        <v>1497</v>
      </c>
      <c r="B9" s="158" t="b">
        <f>ISREF(取引区分)</f>
        <v>0</v>
      </c>
    </row>
    <row r="10" spans="1:25">
      <c r="A10" s="158" t="s">
        <v>1500</v>
      </c>
      <c r="B10" s="158" t="b">
        <f>ISREF(組織集計)</f>
        <v>0</v>
      </c>
    </row>
    <row r="11" spans="1:25">
      <c r="A11" s="158" t="s">
        <v>1510</v>
      </c>
      <c r="B11" s="158" t="b">
        <f ca="1">ISREF(組織集計(ゼロサプ))</f>
        <v>0</v>
      </c>
    </row>
    <row r="12" spans="1:25">
      <c r="A12" s="158" t="s">
        <v>1511</v>
      </c>
      <c r="B12" s="158" t="b">
        <f>ISREF(仕向地集計)</f>
        <v>0</v>
      </c>
    </row>
    <row r="13" spans="1:25">
      <c r="A13" s="158" t="s">
        <v>1512</v>
      </c>
      <c r="B13" s="158" t="b">
        <f ca="1">ISREF(仕向地集計(トップ))</f>
        <v>0</v>
      </c>
    </row>
    <row r="14" spans="1:25">
      <c r="A14" s="158" t="s">
        <v>1515</v>
      </c>
      <c r="B14" s="158" t="b">
        <f>ISREF(該当取引)</f>
        <v>0</v>
      </c>
    </row>
    <row r="16" spans="1:25">
      <c r="A16" s="161" t="s">
        <v>1501</v>
      </c>
    </row>
    <row r="17" spans="1:1">
      <c r="A17" s="158" t="s">
        <v>1502</v>
      </c>
    </row>
    <row r="18" spans="1:1">
      <c r="A18" s="158" t="s">
        <v>1504</v>
      </c>
    </row>
    <row r="19" spans="1:1">
      <c r="A19" s="158" t="s">
        <v>1505</v>
      </c>
    </row>
    <row r="20" spans="1:1">
      <c r="A20" s="158" t="s">
        <v>1506</v>
      </c>
    </row>
    <row r="21" spans="1:1">
      <c r="A21" s="158" t="s">
        <v>1507</v>
      </c>
    </row>
    <row r="22" spans="1:1">
      <c r="A22" s="158" t="s">
        <v>1508</v>
      </c>
    </row>
  </sheetData>
  <mergeCells count="6">
    <mergeCell ref="V1:Y1"/>
    <mergeCell ref="K1:M1"/>
    <mergeCell ref="D1:F1"/>
    <mergeCell ref="G1:I1"/>
    <mergeCell ref="O1:Q1"/>
    <mergeCell ref="R1:T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集計名《組織》初期化">
                <anchor moveWithCells="1" sizeWithCells="1">
                  <from>
                    <xdr:col>2</xdr:col>
                    <xdr:colOff>38100</xdr:colOff>
                    <xdr:row>2</xdr:row>
                    <xdr:rowOff>47625</xdr:rowOff>
                  </from>
                  <to>
                    <xdr:col>2</xdr:col>
                    <xdr:colOff>657225</xdr:colOff>
                    <xdr:row>3</xdr:row>
                    <xdr:rowOff>142875</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1D75E-8496-477F-A73A-36CDAB9D1D06}">
  <sheetPr codeName="Sheet6"/>
  <dimension ref="A1:E1"/>
  <sheetViews>
    <sheetView workbookViewId="0">
      <selection sqref="A1:E1"/>
    </sheetView>
  </sheetViews>
  <sheetFormatPr defaultRowHeight="13.5"/>
  <cols>
    <col min="1" max="16384" width="9" style="156"/>
  </cols>
  <sheetData>
    <row r="1" spans="1:5">
      <c r="A1" s="157" t="s">
        <v>1487</v>
      </c>
      <c r="B1" s="157" t="s">
        <v>1488</v>
      </c>
      <c r="D1" s="157" t="s">
        <v>1489</v>
      </c>
      <c r="E1" s="157" t="s">
        <v>1490</v>
      </c>
    </row>
  </sheetData>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AB9AA-C5AC-4F3E-AFAF-E6AF2997C378}">
  <sheetPr codeName="Sheet9"/>
  <dimension ref="A1:E1"/>
  <sheetViews>
    <sheetView workbookViewId="0">
      <selection activeCell="E2" sqref="E2"/>
    </sheetView>
  </sheetViews>
  <sheetFormatPr defaultRowHeight="18.75"/>
  <sheetData>
    <row r="1" spans="1:5">
      <c r="A1" s="157" t="s">
        <v>1487</v>
      </c>
      <c r="B1" s="157" t="s">
        <v>1488</v>
      </c>
      <c r="C1" s="156"/>
      <c r="D1" s="157" t="s">
        <v>1489</v>
      </c>
      <c r="E1" s="157" t="s">
        <v>1490</v>
      </c>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topLeftCell="A98" zoomScale="90" zoomScaleNormal="85" zoomScaleSheetLayoutView="90" workbookViewId="0">
      <selection sqref="A1:XFD104857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38" t="s">
        <v>1210</v>
      </c>
      <c r="C4" s="139"/>
      <c r="D4" s="140"/>
      <c r="E4" s="144" t="s">
        <v>1211</v>
      </c>
      <c r="F4" s="144" t="s">
        <v>1212</v>
      </c>
    </row>
    <row r="5" spans="2:7" ht="14.25" thickBot="1">
      <c r="B5" s="141"/>
      <c r="C5" s="142"/>
      <c r="D5" s="143"/>
      <c r="E5" s="145"/>
      <c r="F5" s="145"/>
    </row>
    <row r="6" spans="2:7" s="72" customFormat="1" ht="14.25" customHeight="1" thickTop="1">
      <c r="B6" s="146" t="s">
        <v>1213</v>
      </c>
      <c r="C6" s="147"/>
      <c r="D6" s="69"/>
      <c r="E6" s="13" t="s">
        <v>1214</v>
      </c>
      <c r="F6" s="70" t="s">
        <v>1215</v>
      </c>
      <c r="G6" s="71"/>
    </row>
    <row r="7" spans="2:7" s="72" customFormat="1">
      <c r="B7" s="73"/>
      <c r="C7" s="74" t="s">
        <v>1216</v>
      </c>
      <c r="D7" s="75"/>
      <c r="E7" s="18" t="s">
        <v>1072</v>
      </c>
      <c r="F7" s="76" t="s">
        <v>1217</v>
      </c>
      <c r="G7" s="71"/>
    </row>
    <row r="8" spans="2:7" s="72" customFormat="1">
      <c r="B8" s="73"/>
      <c r="C8" s="74" t="s">
        <v>1218</v>
      </c>
      <c r="D8" s="75"/>
      <c r="E8" s="18" t="s">
        <v>1074</v>
      </c>
      <c r="F8" s="76" t="s">
        <v>1219</v>
      </c>
      <c r="G8" s="71"/>
    </row>
    <row r="9" spans="2:7" s="72" customFormat="1">
      <c r="B9" s="73"/>
      <c r="C9" s="74" t="s">
        <v>1220</v>
      </c>
      <c r="D9" s="75"/>
      <c r="E9" s="18" t="s">
        <v>1075</v>
      </c>
      <c r="F9" s="76" t="s">
        <v>1221</v>
      </c>
      <c r="G9" s="71"/>
    </row>
    <row r="10" spans="2:7" s="72" customFormat="1">
      <c r="B10" s="73"/>
      <c r="C10" s="74" t="s">
        <v>1222</v>
      </c>
      <c r="D10" s="75"/>
      <c r="E10" s="18" t="s">
        <v>1078</v>
      </c>
      <c r="F10" s="76" t="s">
        <v>1223</v>
      </c>
      <c r="G10" s="71"/>
    </row>
    <row r="11" spans="2:7" s="72" customFormat="1">
      <c r="B11" s="73"/>
      <c r="C11" s="77" t="s">
        <v>1224</v>
      </c>
      <c r="D11" s="75"/>
      <c r="E11" s="18" t="s">
        <v>1079</v>
      </c>
      <c r="F11" s="76" t="s">
        <v>1225</v>
      </c>
      <c r="G11" s="71"/>
    </row>
    <row r="12" spans="2:7" s="72" customFormat="1">
      <c r="B12" s="73"/>
      <c r="C12" s="78"/>
      <c r="D12" s="79" t="s">
        <v>1226</v>
      </c>
      <c r="E12" s="18" t="s">
        <v>1081</v>
      </c>
      <c r="F12" s="76" t="s">
        <v>1227</v>
      </c>
      <c r="G12" s="71"/>
    </row>
    <row r="13" spans="2:7" s="72" customFormat="1">
      <c r="B13" s="73"/>
      <c r="C13" s="80" t="s">
        <v>1228</v>
      </c>
      <c r="D13" s="75"/>
      <c r="E13" s="18" t="s">
        <v>1082</v>
      </c>
      <c r="F13" s="76" t="s">
        <v>1229</v>
      </c>
      <c r="G13" s="71"/>
    </row>
    <row r="14" spans="2:7" s="72" customFormat="1">
      <c r="B14" s="73"/>
      <c r="C14" s="74" t="s">
        <v>1230</v>
      </c>
      <c r="D14" s="75"/>
      <c r="E14" s="18" t="s">
        <v>886</v>
      </c>
      <c r="F14" s="76" t="s">
        <v>1231</v>
      </c>
      <c r="G14" s="71"/>
    </row>
    <row r="15" spans="2:7" s="72" customFormat="1">
      <c r="B15" s="73"/>
      <c r="C15" s="74" t="s">
        <v>1232</v>
      </c>
      <c r="D15" s="75"/>
      <c r="E15" s="18" t="s">
        <v>604</v>
      </c>
      <c r="F15" s="76" t="s">
        <v>1233</v>
      </c>
      <c r="G15" s="71"/>
    </row>
    <row r="16" spans="2:7" s="72" customFormat="1">
      <c r="B16" s="73"/>
      <c r="C16" s="74" t="s">
        <v>1234</v>
      </c>
      <c r="D16" s="75"/>
      <c r="E16" s="18" t="s">
        <v>408</v>
      </c>
      <c r="F16" s="76" t="s">
        <v>1235</v>
      </c>
      <c r="G16" s="71"/>
    </row>
    <row r="17" spans="2:7" s="72" customFormat="1">
      <c r="B17" s="73"/>
      <c r="C17" s="74" t="s">
        <v>1236</v>
      </c>
      <c r="D17" s="75"/>
      <c r="E17" s="18" t="s">
        <v>1086</v>
      </c>
      <c r="F17" s="76" t="s">
        <v>1237</v>
      </c>
      <c r="G17" s="71"/>
    </row>
    <row r="18" spans="2:7" s="72" customFormat="1">
      <c r="B18" s="73"/>
      <c r="C18" s="77" t="s">
        <v>1238</v>
      </c>
      <c r="D18" s="81"/>
      <c r="E18" s="22" t="s">
        <v>1087</v>
      </c>
      <c r="F18" s="82" t="s">
        <v>1239</v>
      </c>
      <c r="G18" s="71"/>
    </row>
    <row r="19" spans="2:7" s="72" customFormat="1" ht="14.25" thickBot="1">
      <c r="B19" s="73"/>
      <c r="C19" s="77" t="s">
        <v>1240</v>
      </c>
      <c r="D19" s="81"/>
      <c r="E19" s="22" t="s">
        <v>1089</v>
      </c>
      <c r="F19" s="82" t="s">
        <v>1241</v>
      </c>
      <c r="G19" s="71"/>
    </row>
    <row r="20" spans="2:7" s="72" customFormat="1">
      <c r="B20" s="83" t="s">
        <v>1242</v>
      </c>
      <c r="C20" s="84"/>
      <c r="D20" s="85"/>
      <c r="E20" s="23" t="s">
        <v>1243</v>
      </c>
      <c r="F20" s="86" t="s">
        <v>1244</v>
      </c>
      <c r="G20" s="71"/>
    </row>
    <row r="21" spans="2:7" s="72" customFormat="1">
      <c r="B21" s="73"/>
      <c r="C21" s="74" t="s">
        <v>1245</v>
      </c>
      <c r="D21" s="75"/>
      <c r="E21" s="18" t="s">
        <v>1090</v>
      </c>
      <c r="F21" s="76" t="s">
        <v>1246</v>
      </c>
      <c r="G21" s="71"/>
    </row>
    <row r="22" spans="2:7" s="72" customFormat="1">
      <c r="B22" s="73"/>
      <c r="C22" s="74" t="s">
        <v>1247</v>
      </c>
      <c r="D22" s="75"/>
      <c r="E22" s="18" t="s">
        <v>1092</v>
      </c>
      <c r="F22" s="76" t="s">
        <v>1248</v>
      </c>
      <c r="G22" s="71"/>
    </row>
    <row r="23" spans="2:7" s="72" customFormat="1">
      <c r="B23" s="73"/>
      <c r="C23" s="74" t="s">
        <v>1249</v>
      </c>
      <c r="D23" s="75"/>
      <c r="E23" s="18" t="s">
        <v>1093</v>
      </c>
      <c r="F23" s="76" t="s">
        <v>1250</v>
      </c>
      <c r="G23" s="71"/>
    </row>
    <row r="24" spans="2:7" s="72" customFormat="1" ht="13.5" customHeight="1">
      <c r="B24" s="73"/>
      <c r="C24" s="148" t="s">
        <v>1251</v>
      </c>
      <c r="D24" s="149"/>
      <c r="E24" s="24" t="s">
        <v>1094</v>
      </c>
      <c r="F24" s="76" t="s">
        <v>1252</v>
      </c>
      <c r="G24" s="71"/>
    </row>
    <row r="25" spans="2:7" s="72" customFormat="1">
      <c r="B25" s="73"/>
      <c r="C25" s="87" t="s">
        <v>1253</v>
      </c>
      <c r="D25" s="88"/>
      <c r="E25" s="24" t="s">
        <v>1096</v>
      </c>
      <c r="F25" s="89" t="s">
        <v>1254</v>
      </c>
      <c r="G25" s="71"/>
    </row>
    <row r="26" spans="2:7" s="72" customFormat="1">
      <c r="B26" s="73"/>
      <c r="C26" s="87" t="s">
        <v>1255</v>
      </c>
      <c r="D26" s="88"/>
      <c r="E26" s="24" t="s">
        <v>1097</v>
      </c>
      <c r="F26" s="89" t="s">
        <v>1256</v>
      </c>
      <c r="G26" s="71"/>
    </row>
    <row r="27" spans="2:7" s="72" customFormat="1">
      <c r="B27" s="73"/>
      <c r="C27" s="87" t="s">
        <v>1257</v>
      </c>
      <c r="D27" s="90"/>
      <c r="E27" s="25" t="s">
        <v>1098</v>
      </c>
      <c r="F27" s="91" t="s">
        <v>1258</v>
      </c>
      <c r="G27" s="71"/>
    </row>
    <row r="28" spans="2:7" s="72" customFormat="1" ht="14.25" thickBot="1">
      <c r="B28" s="73"/>
      <c r="C28" s="77" t="s">
        <v>1259</v>
      </c>
      <c r="D28" s="81"/>
      <c r="E28" s="22" t="s">
        <v>1099</v>
      </c>
      <c r="F28" s="82" t="s">
        <v>1241</v>
      </c>
      <c r="G28" s="71"/>
    </row>
    <row r="29" spans="2:7" s="72" customFormat="1">
      <c r="B29" s="83" t="s">
        <v>1260</v>
      </c>
      <c r="C29" s="84"/>
      <c r="D29" s="85"/>
      <c r="E29" s="23" t="s">
        <v>1261</v>
      </c>
      <c r="F29" s="86" t="s">
        <v>1262</v>
      </c>
      <c r="G29" s="71"/>
    </row>
    <row r="30" spans="2:7" s="72" customFormat="1">
      <c r="B30" s="73"/>
      <c r="C30" s="74" t="s">
        <v>1263</v>
      </c>
      <c r="D30" s="75"/>
      <c r="E30" s="18" t="s">
        <v>1101</v>
      </c>
      <c r="F30" s="76" t="s">
        <v>1264</v>
      </c>
      <c r="G30" s="71"/>
    </row>
    <row r="31" spans="2:7" s="72" customFormat="1" ht="13.5" customHeight="1">
      <c r="B31" s="73"/>
      <c r="C31" s="77" t="s">
        <v>1245</v>
      </c>
      <c r="D31" s="75"/>
      <c r="E31" s="18" t="s">
        <v>47</v>
      </c>
      <c r="F31" s="76" t="s">
        <v>1246</v>
      </c>
      <c r="G31" s="71"/>
    </row>
    <row r="32" spans="2:7" s="72" customFormat="1" ht="14.25">
      <c r="B32" s="73"/>
      <c r="C32" s="92"/>
      <c r="D32" s="93" t="s">
        <v>1265</v>
      </c>
      <c r="E32" s="18" t="s">
        <v>1102</v>
      </c>
      <c r="F32" s="76" t="s">
        <v>1266</v>
      </c>
      <c r="G32" s="71"/>
    </row>
    <row r="33" spans="2:7" s="72" customFormat="1" ht="14.25">
      <c r="B33" s="73"/>
      <c r="C33" s="78"/>
      <c r="D33" s="93" t="s">
        <v>1267</v>
      </c>
      <c r="E33" s="18" t="s">
        <v>1103</v>
      </c>
      <c r="F33" s="76" t="s">
        <v>1268</v>
      </c>
      <c r="G33" s="71"/>
    </row>
    <row r="34" spans="2:7" s="72" customFormat="1">
      <c r="B34" s="73"/>
      <c r="C34" s="74" t="s">
        <v>1269</v>
      </c>
      <c r="D34" s="75"/>
      <c r="E34" s="18" t="s">
        <v>1104</v>
      </c>
      <c r="F34" s="76" t="s">
        <v>1270</v>
      </c>
      <c r="G34" s="71"/>
    </row>
    <row r="35" spans="2:7" s="72" customFormat="1">
      <c r="B35" s="73"/>
      <c r="C35" s="74" t="s">
        <v>1271</v>
      </c>
      <c r="D35" s="75"/>
      <c r="E35" s="18" t="s">
        <v>101</v>
      </c>
      <c r="F35" s="76" t="s">
        <v>1272</v>
      </c>
      <c r="G35" s="71"/>
    </row>
    <row r="36" spans="2:7" s="72" customFormat="1">
      <c r="B36" s="73"/>
      <c r="C36" s="74" t="s">
        <v>1273</v>
      </c>
      <c r="D36" s="75"/>
      <c r="E36" s="18" t="s">
        <v>1105</v>
      </c>
      <c r="F36" s="76" t="s">
        <v>1274</v>
      </c>
      <c r="G36" s="71"/>
    </row>
    <row r="37" spans="2:7" s="72" customFormat="1">
      <c r="B37" s="73"/>
      <c r="C37" s="74" t="s">
        <v>1275</v>
      </c>
      <c r="D37" s="75"/>
      <c r="E37" s="18" t="s">
        <v>32</v>
      </c>
      <c r="F37" s="76" t="s">
        <v>1276</v>
      </c>
      <c r="G37" s="71"/>
    </row>
    <row r="38" spans="2:7" s="72" customFormat="1">
      <c r="B38" s="73"/>
      <c r="C38" s="74" t="s">
        <v>1277</v>
      </c>
      <c r="D38" s="75"/>
      <c r="E38" s="18" t="s">
        <v>128</v>
      </c>
      <c r="F38" s="76" t="s">
        <v>1278</v>
      </c>
      <c r="G38" s="71"/>
    </row>
    <row r="39" spans="2:7" s="72" customFormat="1">
      <c r="B39" s="73"/>
      <c r="C39" s="77" t="s">
        <v>1279</v>
      </c>
      <c r="D39" s="75"/>
      <c r="E39" s="18" t="s">
        <v>1106</v>
      </c>
      <c r="F39" s="76" t="s">
        <v>1280</v>
      </c>
      <c r="G39" s="71"/>
    </row>
    <row r="40" spans="2:7" s="72" customFormat="1" ht="14.25">
      <c r="B40" s="73"/>
      <c r="C40" s="78"/>
      <c r="D40" s="93" t="s">
        <v>1281</v>
      </c>
      <c r="E40" s="18" t="s">
        <v>1107</v>
      </c>
      <c r="F40" s="76" t="s">
        <v>1282</v>
      </c>
      <c r="G40" s="71"/>
    </row>
    <row r="41" spans="2:7" s="72" customFormat="1" ht="14.25">
      <c r="B41" s="73"/>
      <c r="C41" s="94" t="s">
        <v>1283</v>
      </c>
      <c r="D41" s="95"/>
      <c r="E41" s="18" t="s">
        <v>1108</v>
      </c>
      <c r="F41" s="76" t="s">
        <v>1284</v>
      </c>
      <c r="G41" s="71"/>
    </row>
    <row r="42" spans="2:7" s="72" customFormat="1">
      <c r="B42" s="73"/>
      <c r="C42" s="74" t="s">
        <v>1285</v>
      </c>
      <c r="D42" s="75"/>
      <c r="E42" s="18" t="s">
        <v>1109</v>
      </c>
      <c r="F42" s="76" t="s">
        <v>1286</v>
      </c>
      <c r="G42" s="71"/>
    </row>
    <row r="43" spans="2:7" s="72" customFormat="1" ht="14.25" thickBot="1">
      <c r="B43" s="96"/>
      <c r="C43" s="97" t="s">
        <v>1240</v>
      </c>
      <c r="D43" s="98"/>
      <c r="E43" s="29" t="s">
        <v>1110</v>
      </c>
      <c r="F43" s="99" t="s">
        <v>1241</v>
      </c>
      <c r="G43" s="71"/>
    </row>
    <row r="44" spans="2:7" s="72" customFormat="1">
      <c r="B44" s="100" t="s">
        <v>1287</v>
      </c>
      <c r="C44" s="101"/>
      <c r="D44" s="102"/>
      <c r="E44" s="30" t="s">
        <v>1288</v>
      </c>
      <c r="F44" s="103" t="s">
        <v>1289</v>
      </c>
      <c r="G44" s="71"/>
    </row>
    <row r="45" spans="2:7" s="72" customFormat="1">
      <c r="B45" s="73"/>
      <c r="C45" s="74" t="s">
        <v>1290</v>
      </c>
      <c r="D45" s="75"/>
      <c r="E45" s="24" t="s">
        <v>1111</v>
      </c>
      <c r="F45" s="76" t="s">
        <v>1291</v>
      </c>
      <c r="G45" s="71"/>
    </row>
    <row r="46" spans="2:7" s="72" customFormat="1">
      <c r="B46" s="73"/>
      <c r="C46" s="74" t="s">
        <v>1292</v>
      </c>
      <c r="D46" s="75"/>
      <c r="E46" s="18" t="s">
        <v>1112</v>
      </c>
      <c r="F46" s="104" t="s">
        <v>1293</v>
      </c>
      <c r="G46" s="71"/>
    </row>
    <row r="47" spans="2:7" s="72" customFormat="1">
      <c r="B47" s="73"/>
      <c r="C47" s="74" t="s">
        <v>1294</v>
      </c>
      <c r="D47" s="75"/>
      <c r="E47" s="18" t="s">
        <v>1113</v>
      </c>
      <c r="F47" s="76" t="s">
        <v>1295</v>
      </c>
      <c r="G47" s="71"/>
    </row>
    <row r="48" spans="2:7" s="72" customFormat="1" ht="14.25" thickBot="1">
      <c r="B48" s="73"/>
      <c r="C48" s="77" t="s">
        <v>1240</v>
      </c>
      <c r="D48" s="81"/>
      <c r="E48" s="22" t="s">
        <v>1114</v>
      </c>
      <c r="F48" s="99" t="s">
        <v>1241</v>
      </c>
      <c r="G48" s="71"/>
    </row>
    <row r="49" spans="2:7" s="72" customFormat="1">
      <c r="B49" s="83" t="s">
        <v>1296</v>
      </c>
      <c r="C49" s="84"/>
      <c r="D49" s="85"/>
      <c r="E49" s="23" t="s">
        <v>1297</v>
      </c>
      <c r="F49" s="86" t="s">
        <v>1298</v>
      </c>
      <c r="G49" s="71"/>
    </row>
    <row r="50" spans="2:7" s="72" customFormat="1">
      <c r="B50" s="73"/>
      <c r="C50" s="74" t="s">
        <v>1299</v>
      </c>
      <c r="D50" s="75"/>
      <c r="E50" s="24" t="s">
        <v>1115</v>
      </c>
      <c r="F50" s="76" t="s">
        <v>1300</v>
      </c>
      <c r="G50" s="71"/>
    </row>
    <row r="51" spans="2:7" s="72" customFormat="1">
      <c r="B51" s="73"/>
      <c r="C51" s="74" t="s">
        <v>1301</v>
      </c>
      <c r="D51" s="75"/>
      <c r="E51" s="18" t="s">
        <v>368</v>
      </c>
      <c r="F51" s="76" t="s">
        <v>1302</v>
      </c>
      <c r="G51" s="71"/>
    </row>
    <row r="52" spans="2:7" s="72" customFormat="1">
      <c r="B52" s="73"/>
      <c r="C52" s="74" t="s">
        <v>1303</v>
      </c>
      <c r="D52" s="75"/>
      <c r="E52" s="18" t="s">
        <v>1116</v>
      </c>
      <c r="F52" s="76" t="s">
        <v>1304</v>
      </c>
      <c r="G52" s="71"/>
    </row>
    <row r="53" spans="2:7" s="72" customFormat="1" ht="14.25" thickBot="1">
      <c r="B53" s="96"/>
      <c r="C53" s="97" t="s">
        <v>1240</v>
      </c>
      <c r="D53" s="98"/>
      <c r="E53" s="29" t="s">
        <v>1117</v>
      </c>
      <c r="F53" s="99" t="s">
        <v>1241</v>
      </c>
      <c r="G53" s="71"/>
    </row>
    <row r="54" spans="2:7" s="72" customFormat="1">
      <c r="B54" s="100" t="s">
        <v>1305</v>
      </c>
      <c r="C54" s="101"/>
      <c r="D54" s="102"/>
      <c r="E54" s="30" t="s">
        <v>1306</v>
      </c>
      <c r="F54" s="103" t="s">
        <v>1307</v>
      </c>
      <c r="G54" s="71"/>
    </row>
    <row r="55" spans="2:7" s="72" customFormat="1">
      <c r="B55" s="73"/>
      <c r="C55" s="74" t="s">
        <v>1308</v>
      </c>
      <c r="D55" s="75"/>
      <c r="E55" s="18" t="s">
        <v>1118</v>
      </c>
      <c r="F55" s="76" t="s">
        <v>1309</v>
      </c>
      <c r="G55" s="71"/>
    </row>
    <row r="56" spans="2:7" s="72" customFormat="1">
      <c r="B56" s="73"/>
      <c r="C56" s="74" t="s">
        <v>1310</v>
      </c>
      <c r="D56" s="75"/>
      <c r="E56" s="18" t="s">
        <v>1119</v>
      </c>
      <c r="F56" s="76" t="s">
        <v>1311</v>
      </c>
      <c r="G56" s="71"/>
    </row>
    <row r="57" spans="2:7" s="72" customFormat="1">
      <c r="B57" s="73"/>
      <c r="C57" s="105" t="s">
        <v>1312</v>
      </c>
      <c r="D57" s="88"/>
      <c r="E57" s="18" t="s">
        <v>1120</v>
      </c>
      <c r="F57" s="76" t="s">
        <v>1313</v>
      </c>
      <c r="G57" s="71"/>
    </row>
    <row r="58" spans="2:7" s="72" customFormat="1">
      <c r="B58" s="73"/>
      <c r="C58" s="74" t="s">
        <v>1314</v>
      </c>
      <c r="D58" s="75"/>
      <c r="E58" s="18" t="s">
        <v>1121</v>
      </c>
      <c r="F58" s="76" t="s">
        <v>1315</v>
      </c>
      <c r="G58" s="71"/>
    </row>
    <row r="59" spans="2:7" s="72" customFormat="1">
      <c r="B59" s="73"/>
      <c r="C59" s="74" t="s">
        <v>1316</v>
      </c>
      <c r="D59" s="75"/>
      <c r="E59" s="18" t="s">
        <v>1122</v>
      </c>
      <c r="F59" s="76" t="s">
        <v>1317</v>
      </c>
      <c r="G59" s="71"/>
    </row>
    <row r="60" spans="2:7" s="72" customFormat="1" ht="14.25" thickBot="1">
      <c r="B60" s="73"/>
      <c r="C60" s="106" t="s">
        <v>1259</v>
      </c>
      <c r="D60" s="107"/>
      <c r="E60" s="22" t="s">
        <v>1123</v>
      </c>
      <c r="F60" s="82" t="s">
        <v>1241</v>
      </c>
      <c r="G60" s="71"/>
    </row>
    <row r="61" spans="2:7" s="72" customFormat="1">
      <c r="B61" s="83" t="s">
        <v>1318</v>
      </c>
      <c r="C61" s="84"/>
      <c r="D61" s="85"/>
      <c r="E61" s="23" t="s">
        <v>1319</v>
      </c>
      <c r="F61" s="86" t="s">
        <v>1320</v>
      </c>
      <c r="G61" s="71"/>
    </row>
    <row r="62" spans="2:7" s="72" customFormat="1">
      <c r="B62" s="73"/>
      <c r="C62" s="108" t="s">
        <v>1321</v>
      </c>
      <c r="D62" s="109"/>
      <c r="E62" s="18" t="s">
        <v>1124</v>
      </c>
      <c r="F62" s="76" t="s">
        <v>1322</v>
      </c>
      <c r="G62" s="71"/>
    </row>
    <row r="63" spans="2:7" s="72" customFormat="1">
      <c r="B63" s="73"/>
      <c r="C63" s="74" t="s">
        <v>1323</v>
      </c>
      <c r="D63" s="75"/>
      <c r="E63" s="18" t="s">
        <v>1125</v>
      </c>
      <c r="F63" s="76" t="s">
        <v>1324</v>
      </c>
      <c r="G63" s="71"/>
    </row>
    <row r="64" spans="2:7" s="72" customFormat="1">
      <c r="B64" s="73"/>
      <c r="C64" s="74" t="s">
        <v>1325</v>
      </c>
      <c r="D64" s="75"/>
      <c r="E64" s="18" t="s">
        <v>1126</v>
      </c>
      <c r="F64" s="76" t="s">
        <v>1326</v>
      </c>
      <c r="G64" s="71"/>
    </row>
    <row r="65" spans="2:7" s="72" customFormat="1">
      <c r="B65" s="73"/>
      <c r="C65" s="87" t="s">
        <v>1327</v>
      </c>
      <c r="D65" s="90"/>
      <c r="E65" s="24" t="s">
        <v>1127</v>
      </c>
      <c r="F65" s="91" t="s">
        <v>1328</v>
      </c>
      <c r="G65" s="71"/>
    </row>
    <row r="66" spans="2:7" s="72" customFormat="1">
      <c r="B66" s="73"/>
      <c r="C66" s="106" t="s">
        <v>1329</v>
      </c>
      <c r="D66" s="107"/>
      <c r="E66" s="22" t="s">
        <v>1128</v>
      </c>
      <c r="F66" s="82" t="s">
        <v>1330</v>
      </c>
      <c r="G66" s="71"/>
    </row>
    <row r="67" spans="2:7" s="72" customFormat="1" ht="14.25" thickBot="1">
      <c r="B67" s="73"/>
      <c r="C67" s="106" t="s">
        <v>1259</v>
      </c>
      <c r="D67" s="107"/>
      <c r="E67" s="22" t="s">
        <v>1129</v>
      </c>
      <c r="F67" s="82" t="s">
        <v>1331</v>
      </c>
      <c r="G67" s="71"/>
    </row>
    <row r="68" spans="2:7" s="72" customFormat="1">
      <c r="B68" s="83" t="s">
        <v>1332</v>
      </c>
      <c r="C68" s="84"/>
      <c r="D68" s="85"/>
      <c r="E68" s="23" t="s">
        <v>1333</v>
      </c>
      <c r="F68" s="86" t="s">
        <v>1334</v>
      </c>
      <c r="G68" s="71"/>
    </row>
    <row r="69" spans="2:7" s="72" customFormat="1">
      <c r="B69" s="73"/>
      <c r="C69" s="74" t="s">
        <v>1335</v>
      </c>
      <c r="D69" s="75"/>
      <c r="E69" s="18" t="s">
        <v>1130</v>
      </c>
      <c r="F69" s="76" t="s">
        <v>1336</v>
      </c>
      <c r="G69" s="71"/>
    </row>
    <row r="70" spans="2:7" s="72" customFormat="1">
      <c r="B70" s="73"/>
      <c r="C70" s="74" t="s">
        <v>1337</v>
      </c>
      <c r="D70" s="75"/>
      <c r="E70" s="18" t="s">
        <v>1131</v>
      </c>
      <c r="F70" s="76" t="s">
        <v>1338</v>
      </c>
      <c r="G70" s="71"/>
    </row>
    <row r="71" spans="2:7" s="72" customFormat="1">
      <c r="B71" s="73"/>
      <c r="C71" s="74" t="s">
        <v>1339</v>
      </c>
      <c r="D71" s="75"/>
      <c r="E71" s="18" t="s">
        <v>1132</v>
      </c>
      <c r="F71" s="104" t="s">
        <v>1340</v>
      </c>
      <c r="G71" s="71"/>
    </row>
    <row r="72" spans="2:7" s="72" customFormat="1" ht="14.25" thickBot="1">
      <c r="B72" s="96"/>
      <c r="C72" s="110" t="s">
        <v>1259</v>
      </c>
      <c r="D72" s="111"/>
      <c r="E72" s="29" t="s">
        <v>1133</v>
      </c>
      <c r="F72" s="99" t="s">
        <v>1241</v>
      </c>
      <c r="G72" s="71"/>
    </row>
    <row r="73" spans="2:7" s="72" customFormat="1">
      <c r="B73" s="100" t="s">
        <v>1341</v>
      </c>
      <c r="C73" s="101"/>
      <c r="D73" s="102"/>
      <c r="E73" s="30" t="s">
        <v>1342</v>
      </c>
      <c r="F73" s="103" t="s">
        <v>1343</v>
      </c>
      <c r="G73" s="71"/>
    </row>
    <row r="74" spans="2:7" s="72" customFormat="1">
      <c r="B74" s="73"/>
      <c r="C74" s="108" t="s">
        <v>1344</v>
      </c>
      <c r="D74" s="109"/>
      <c r="E74" s="18" t="s">
        <v>1134</v>
      </c>
      <c r="F74" s="76" t="s">
        <v>1345</v>
      </c>
      <c r="G74" s="71"/>
    </row>
    <row r="75" spans="2:7" s="72" customFormat="1">
      <c r="B75" s="73"/>
      <c r="C75" s="74" t="s">
        <v>1346</v>
      </c>
      <c r="D75" s="75"/>
      <c r="E75" s="18" t="s">
        <v>1135</v>
      </c>
      <c r="F75" s="76" t="s">
        <v>1347</v>
      </c>
      <c r="G75" s="71"/>
    </row>
    <row r="76" spans="2:7" s="72" customFormat="1">
      <c r="B76" s="73"/>
      <c r="C76" s="74" t="s">
        <v>1348</v>
      </c>
      <c r="D76" s="75"/>
      <c r="E76" s="18" t="s">
        <v>1136</v>
      </c>
      <c r="F76" s="76" t="s">
        <v>1349</v>
      </c>
      <c r="G76" s="71"/>
    </row>
    <row r="77" spans="2:7" s="72" customFormat="1" ht="14.25" thickBot="1">
      <c r="B77" s="73"/>
      <c r="C77" s="106" t="s">
        <v>1259</v>
      </c>
      <c r="D77" s="107"/>
      <c r="E77" s="22" t="s">
        <v>1137</v>
      </c>
      <c r="F77" s="82" t="s">
        <v>1241</v>
      </c>
      <c r="G77" s="71"/>
    </row>
    <row r="78" spans="2:7" s="72" customFormat="1">
      <c r="B78" s="83" t="s">
        <v>1350</v>
      </c>
      <c r="C78" s="84"/>
      <c r="D78" s="85"/>
      <c r="E78" s="31" t="s">
        <v>1351</v>
      </c>
      <c r="F78" s="112" t="s">
        <v>1352</v>
      </c>
      <c r="G78" s="71"/>
    </row>
    <row r="79" spans="2:7" s="72" customFormat="1">
      <c r="B79" s="73"/>
      <c r="C79" s="108" t="s">
        <v>1353</v>
      </c>
      <c r="D79" s="109"/>
      <c r="E79" s="25" t="s">
        <v>1138</v>
      </c>
      <c r="F79" s="91" t="s">
        <v>1354</v>
      </c>
      <c r="G79" s="71"/>
    </row>
    <row r="80" spans="2:7" s="72" customFormat="1" ht="14.25" thickBot="1">
      <c r="B80" s="73"/>
      <c r="C80" s="108" t="s">
        <v>1355</v>
      </c>
      <c r="D80" s="109"/>
      <c r="E80" s="32" t="s">
        <v>1139</v>
      </c>
      <c r="F80" s="113" t="s">
        <v>1331</v>
      </c>
      <c r="G80" s="71"/>
    </row>
    <row r="81" spans="2:7" s="72" customFormat="1">
      <c r="B81" s="83" t="s">
        <v>1356</v>
      </c>
      <c r="C81" s="84"/>
      <c r="D81" s="85"/>
      <c r="E81" s="23" t="s">
        <v>1357</v>
      </c>
      <c r="F81" s="86" t="s">
        <v>1358</v>
      </c>
      <c r="G81" s="71"/>
    </row>
    <row r="82" spans="2:7" s="72" customFormat="1">
      <c r="B82" s="73"/>
      <c r="C82" s="74" t="s">
        <v>1359</v>
      </c>
      <c r="D82" s="75"/>
      <c r="E82" s="18" t="s">
        <v>1140</v>
      </c>
      <c r="F82" s="76" t="s">
        <v>1360</v>
      </c>
      <c r="G82" s="71"/>
    </row>
    <row r="83" spans="2:7" s="72" customFormat="1">
      <c r="B83" s="73"/>
      <c r="C83" s="77" t="s">
        <v>1361</v>
      </c>
      <c r="D83" s="81"/>
      <c r="E83" s="22" t="s">
        <v>1141</v>
      </c>
      <c r="F83" s="91" t="s">
        <v>1362</v>
      </c>
      <c r="G83" s="71"/>
    </row>
    <row r="84" spans="2:7" s="72" customFormat="1">
      <c r="B84" s="73"/>
      <c r="C84" s="77" t="s">
        <v>1363</v>
      </c>
      <c r="D84" s="81"/>
      <c r="E84" s="22" t="s">
        <v>1142</v>
      </c>
      <c r="F84" s="91" t="s">
        <v>1364</v>
      </c>
      <c r="G84" s="71"/>
    </row>
    <row r="85" spans="2:7" s="72" customFormat="1">
      <c r="B85" s="73"/>
      <c r="C85" s="77" t="s">
        <v>1365</v>
      </c>
      <c r="D85" s="81"/>
      <c r="E85" s="22" t="s">
        <v>1143</v>
      </c>
      <c r="F85" s="91" t="s">
        <v>1366</v>
      </c>
      <c r="G85" s="71"/>
    </row>
    <row r="86" spans="2:7" s="72" customFormat="1" ht="14.25" thickBot="1">
      <c r="B86" s="96"/>
      <c r="C86" s="110" t="s">
        <v>1259</v>
      </c>
      <c r="D86" s="111"/>
      <c r="E86" s="29" t="s">
        <v>1144</v>
      </c>
      <c r="F86" s="99" t="s">
        <v>1241</v>
      </c>
      <c r="G86" s="71"/>
    </row>
    <row r="87" spans="2:7" s="72" customFormat="1" ht="14.25" thickBot="1">
      <c r="B87" s="114" t="s">
        <v>1367</v>
      </c>
      <c r="C87" s="115"/>
      <c r="D87" s="116"/>
      <c r="E87" s="33" t="s">
        <v>1368</v>
      </c>
      <c r="F87" s="117" t="s">
        <v>1369</v>
      </c>
      <c r="G87" s="71"/>
    </row>
    <row r="88" spans="2:7" s="72" customFormat="1">
      <c r="B88" s="83" t="s">
        <v>1370</v>
      </c>
      <c r="C88" s="84"/>
      <c r="D88" s="85"/>
      <c r="E88" s="31" t="s">
        <v>1371</v>
      </c>
      <c r="F88" s="112" t="s">
        <v>1372</v>
      </c>
      <c r="G88" s="71"/>
    </row>
    <row r="89" spans="2:7" s="72" customFormat="1">
      <c r="B89" s="73"/>
      <c r="C89" s="105" t="s">
        <v>1373</v>
      </c>
      <c r="D89" s="88"/>
      <c r="E89" s="25" t="s">
        <v>1145</v>
      </c>
      <c r="F89" s="91" t="s">
        <v>1322</v>
      </c>
      <c r="G89" s="71"/>
    </row>
    <row r="90" spans="2:7" s="72" customFormat="1">
      <c r="B90" s="73"/>
      <c r="C90" s="105" t="s">
        <v>1374</v>
      </c>
      <c r="D90" s="88"/>
      <c r="E90" s="25" t="s">
        <v>1146</v>
      </c>
      <c r="F90" s="91" t="s">
        <v>1264</v>
      </c>
      <c r="G90" s="71"/>
    </row>
    <row r="91" spans="2:7" s="72" customFormat="1" ht="14.25" thickBot="1">
      <c r="B91" s="73"/>
      <c r="C91" s="106" t="s">
        <v>1355</v>
      </c>
      <c r="D91" s="107"/>
      <c r="E91" s="25" t="s">
        <v>1147</v>
      </c>
      <c r="F91" s="113" t="s">
        <v>1331</v>
      </c>
      <c r="G91" s="71"/>
    </row>
    <row r="92" spans="2:7" s="72" customFormat="1">
      <c r="B92" s="83" t="s">
        <v>1375</v>
      </c>
      <c r="C92" s="118"/>
      <c r="D92" s="119"/>
      <c r="E92" s="31" t="s">
        <v>1376</v>
      </c>
      <c r="F92" s="120" t="s">
        <v>1377</v>
      </c>
      <c r="G92" s="71"/>
    </row>
    <row r="93" spans="2:7" s="72" customFormat="1">
      <c r="B93" s="73"/>
      <c r="C93" s="74" t="s">
        <v>1378</v>
      </c>
      <c r="D93" s="75"/>
      <c r="E93" s="18" t="s">
        <v>1148</v>
      </c>
      <c r="F93" s="76" t="s">
        <v>1379</v>
      </c>
      <c r="G93" s="71"/>
    </row>
    <row r="94" spans="2:7" s="72" customFormat="1">
      <c r="B94" s="73"/>
      <c r="C94" s="74" t="s">
        <v>1380</v>
      </c>
      <c r="D94" s="75"/>
      <c r="E94" s="18" t="s">
        <v>1149</v>
      </c>
      <c r="F94" s="76" t="s">
        <v>1381</v>
      </c>
      <c r="G94" s="71"/>
    </row>
    <row r="95" spans="2:7" s="72" customFormat="1">
      <c r="B95" s="73"/>
      <c r="C95" s="77" t="s">
        <v>1382</v>
      </c>
      <c r="D95" s="75"/>
      <c r="E95" s="18" t="s">
        <v>1150</v>
      </c>
      <c r="F95" s="76" t="s">
        <v>1383</v>
      </c>
      <c r="G95" s="71"/>
    </row>
    <row r="96" spans="2:7" s="72" customFormat="1" ht="14.25" thickBot="1">
      <c r="B96" s="96"/>
      <c r="C96" s="97" t="s">
        <v>1384</v>
      </c>
      <c r="D96" s="98"/>
      <c r="E96" s="29" t="s">
        <v>1151</v>
      </c>
      <c r="F96" s="99" t="s">
        <v>1241</v>
      </c>
      <c r="G96" s="71"/>
    </row>
    <row r="97" spans="2:9" s="72" customFormat="1" ht="14.25" thickBot="1">
      <c r="B97" s="100" t="s">
        <v>1385</v>
      </c>
      <c r="C97" s="121"/>
      <c r="D97" s="122"/>
      <c r="E97" s="34" t="s">
        <v>1386</v>
      </c>
      <c r="F97" s="120" t="s">
        <v>1387</v>
      </c>
      <c r="G97" s="71"/>
    </row>
    <row r="98" spans="2:9" s="72" customFormat="1">
      <c r="B98" s="83" t="s">
        <v>1388</v>
      </c>
      <c r="C98" s="84"/>
      <c r="D98" s="85"/>
      <c r="E98" s="23" t="s">
        <v>1389</v>
      </c>
      <c r="F98" s="86" t="s">
        <v>1390</v>
      </c>
      <c r="G98" s="71"/>
    </row>
    <row r="99" spans="2:9" s="72" customFormat="1">
      <c r="B99" s="73"/>
      <c r="C99" s="108" t="s">
        <v>1391</v>
      </c>
      <c r="D99" s="109"/>
      <c r="E99" s="18" t="s">
        <v>1152</v>
      </c>
      <c r="F99" s="76" t="s">
        <v>1392</v>
      </c>
      <c r="G99" s="71"/>
      <c r="I99" s="62"/>
    </row>
    <row r="100" spans="2:9" s="72" customFormat="1">
      <c r="B100" s="73"/>
      <c r="C100" s="108" t="s">
        <v>1393</v>
      </c>
      <c r="D100" s="109"/>
      <c r="E100" s="18" t="s">
        <v>1153</v>
      </c>
      <c r="F100" s="76" t="s">
        <v>1394</v>
      </c>
      <c r="G100" s="71"/>
    </row>
    <row r="101" spans="2:9" s="72" customFormat="1">
      <c r="B101" s="73"/>
      <c r="C101" s="106" t="s">
        <v>1395</v>
      </c>
      <c r="D101" s="107"/>
      <c r="E101" s="18" t="s">
        <v>1154</v>
      </c>
      <c r="F101" s="76" t="s">
        <v>1396</v>
      </c>
      <c r="G101" s="71"/>
    </row>
    <row r="102" spans="2:9" s="72" customFormat="1" ht="14.25" thickBot="1">
      <c r="B102" s="96"/>
      <c r="C102" s="110" t="s">
        <v>1397</v>
      </c>
      <c r="D102" s="111"/>
      <c r="E102" s="29" t="s">
        <v>1155</v>
      </c>
      <c r="F102" s="99" t="s">
        <v>1398</v>
      </c>
      <c r="G102" s="71"/>
    </row>
    <row r="103" spans="2:9" s="72" customFormat="1">
      <c r="B103" s="100" t="s">
        <v>1209</v>
      </c>
      <c r="C103" s="101"/>
      <c r="D103" s="102"/>
      <c r="E103" s="30" t="s">
        <v>1399</v>
      </c>
      <c r="F103" s="103" t="s">
        <v>1400</v>
      </c>
      <c r="G103" s="71"/>
    </row>
    <row r="104" spans="2:9" s="72" customFormat="1">
      <c r="B104" s="73"/>
      <c r="C104" s="108" t="s">
        <v>1401</v>
      </c>
      <c r="D104" s="109"/>
      <c r="E104" s="18" t="s">
        <v>1156</v>
      </c>
      <c r="F104" s="76" t="s">
        <v>1402</v>
      </c>
      <c r="G104" s="71"/>
    </row>
    <row r="105" spans="2:9" s="72" customFormat="1">
      <c r="B105" s="73"/>
      <c r="C105" s="105" t="s">
        <v>1403</v>
      </c>
      <c r="D105" s="88"/>
      <c r="E105" s="24" t="s">
        <v>1157</v>
      </c>
      <c r="F105" s="89" t="s">
        <v>1404</v>
      </c>
      <c r="G105" s="71"/>
    </row>
    <row r="106" spans="2:9" s="72" customFormat="1">
      <c r="B106" s="73"/>
      <c r="C106" s="105" t="s">
        <v>1405</v>
      </c>
      <c r="D106" s="88"/>
      <c r="E106" s="24" t="s">
        <v>1158</v>
      </c>
      <c r="F106" s="89" t="s">
        <v>1406</v>
      </c>
      <c r="G106" s="71"/>
    </row>
    <row r="107" spans="2:9" s="72" customFormat="1">
      <c r="B107" s="73"/>
      <c r="C107" s="105" t="s">
        <v>1407</v>
      </c>
      <c r="D107" s="88"/>
      <c r="E107" s="24" t="s">
        <v>1159</v>
      </c>
      <c r="F107" s="89" t="s">
        <v>1322</v>
      </c>
      <c r="G107" s="71"/>
    </row>
    <row r="108" spans="2:9" s="72" customFormat="1">
      <c r="B108" s="73"/>
      <c r="C108" s="108" t="s">
        <v>1408</v>
      </c>
      <c r="D108" s="109"/>
      <c r="E108" s="18" t="s">
        <v>1160</v>
      </c>
      <c r="F108" s="76" t="s">
        <v>1409</v>
      </c>
      <c r="G108" s="71"/>
    </row>
    <row r="109" spans="2:9" s="72" customFormat="1">
      <c r="B109" s="73"/>
      <c r="C109" s="74" t="s">
        <v>1410</v>
      </c>
      <c r="D109" s="75"/>
      <c r="E109" s="18" t="s">
        <v>1411</v>
      </c>
      <c r="F109" s="76" t="s">
        <v>1412</v>
      </c>
      <c r="G109" s="71"/>
    </row>
    <row r="110" spans="2:9" s="72" customFormat="1">
      <c r="B110" s="73"/>
      <c r="C110" s="74" t="s">
        <v>1413</v>
      </c>
      <c r="D110" s="75"/>
      <c r="E110" s="18" t="s">
        <v>1161</v>
      </c>
      <c r="F110" s="76" t="s">
        <v>1414</v>
      </c>
      <c r="G110" s="71"/>
    </row>
    <row r="111" spans="2:9" s="72" customFormat="1">
      <c r="B111" s="73"/>
      <c r="C111" s="77" t="s">
        <v>1415</v>
      </c>
      <c r="D111" s="81"/>
      <c r="E111" s="22" t="s">
        <v>1162</v>
      </c>
      <c r="F111" s="82" t="s">
        <v>1416</v>
      </c>
      <c r="G111" s="71"/>
    </row>
    <row r="112" spans="2:9" s="72" customFormat="1" ht="14.25" thickBot="1">
      <c r="B112" s="73"/>
      <c r="C112" s="77" t="s">
        <v>1417</v>
      </c>
      <c r="D112" s="81"/>
      <c r="E112" s="22" t="s">
        <v>1163</v>
      </c>
      <c r="F112" s="82" t="s">
        <v>1418</v>
      </c>
      <c r="G112" s="71"/>
    </row>
    <row r="113" spans="1:7" s="72" customFormat="1">
      <c r="B113" s="83" t="s">
        <v>1419</v>
      </c>
      <c r="C113" s="84"/>
      <c r="D113" s="85"/>
      <c r="E113" s="23" t="s">
        <v>1420</v>
      </c>
      <c r="F113" s="86" t="s">
        <v>1421</v>
      </c>
      <c r="G113" s="71"/>
    </row>
    <row r="114" spans="1:7">
      <c r="A114" s="72"/>
      <c r="B114" s="73"/>
      <c r="C114" s="74" t="s">
        <v>1422</v>
      </c>
      <c r="D114" s="75"/>
      <c r="E114" s="18" t="s">
        <v>1164</v>
      </c>
      <c r="F114" s="76" t="s">
        <v>1423</v>
      </c>
      <c r="G114" s="71"/>
    </row>
    <row r="115" spans="1:7">
      <c r="A115" s="72"/>
      <c r="B115" s="73"/>
      <c r="C115" s="74" t="s">
        <v>1424</v>
      </c>
      <c r="D115" s="75"/>
      <c r="E115" s="18" t="s">
        <v>1165</v>
      </c>
      <c r="F115" s="76" t="s">
        <v>1425</v>
      </c>
      <c r="G115" s="71"/>
    </row>
    <row r="116" spans="1:7">
      <c r="A116" s="72"/>
      <c r="B116" s="73"/>
      <c r="C116" s="74" t="s">
        <v>1426</v>
      </c>
      <c r="D116" s="75"/>
      <c r="E116" s="18" t="s">
        <v>1166</v>
      </c>
      <c r="F116" s="76" t="s">
        <v>1427</v>
      </c>
      <c r="G116" s="71"/>
    </row>
    <row r="117" spans="1:7" ht="14.25" thickBot="1">
      <c r="A117" s="72"/>
      <c r="B117" s="73"/>
      <c r="C117" s="77" t="s">
        <v>1428</v>
      </c>
      <c r="D117" s="81"/>
      <c r="E117" s="22" t="s">
        <v>1167</v>
      </c>
      <c r="F117" s="82" t="s">
        <v>1429</v>
      </c>
      <c r="G117" s="71"/>
    </row>
    <row r="118" spans="1:7">
      <c r="A118" s="72"/>
      <c r="B118" s="83" t="s">
        <v>1430</v>
      </c>
      <c r="C118" s="84"/>
      <c r="D118" s="85"/>
      <c r="E118" s="23" t="s">
        <v>545</v>
      </c>
      <c r="F118" s="86" t="s">
        <v>1431</v>
      </c>
      <c r="G118" s="71"/>
    </row>
    <row r="119" spans="1:7" ht="14.25" thickBot="1">
      <c r="A119" s="72"/>
      <c r="B119" s="96"/>
      <c r="C119" s="97" t="s">
        <v>1432</v>
      </c>
      <c r="D119" s="98"/>
      <c r="E119" s="29" t="s">
        <v>1168</v>
      </c>
      <c r="F119" s="99" t="s">
        <v>1433</v>
      </c>
      <c r="G119" s="71"/>
    </row>
    <row r="120" spans="1:7" ht="14.25" thickBot="1">
      <c r="A120" s="72"/>
      <c r="B120" s="100" t="s">
        <v>1434</v>
      </c>
      <c r="C120" s="121"/>
      <c r="D120" s="122"/>
      <c r="E120" s="34" t="s">
        <v>1435</v>
      </c>
      <c r="F120" s="120" t="s">
        <v>1436</v>
      </c>
      <c r="G120" s="71"/>
    </row>
    <row r="121" spans="1:7" ht="14.25" thickBot="1">
      <c r="A121" s="72"/>
      <c r="B121" s="114" t="s">
        <v>1437</v>
      </c>
      <c r="C121" s="115"/>
      <c r="D121" s="116"/>
      <c r="E121" s="33" t="s">
        <v>1438</v>
      </c>
      <c r="F121" s="117" t="s">
        <v>1439</v>
      </c>
      <c r="G121" s="71"/>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50" t="s">
        <v>1172</v>
      </c>
      <c r="D2" s="150"/>
      <c r="E2" s="37">
        <f>E8-E7</f>
        <v>18</v>
      </c>
      <c r="H2">
        <v>13</v>
      </c>
      <c r="M2" s="36"/>
      <c r="N2" s="150" t="s">
        <v>1172</v>
      </c>
      <c r="O2" s="150"/>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51" t="s">
        <v>1179</v>
      </c>
      <c r="D7" s="152"/>
      <c r="E7" s="40">
        <v>87</v>
      </c>
      <c r="F7" t="s">
        <v>1063</v>
      </c>
      <c r="G7">
        <f t="shared" si="0"/>
        <v>180</v>
      </c>
      <c r="M7" s="38"/>
      <c r="N7" s="151" t="s">
        <v>1179</v>
      </c>
      <c r="O7" s="152"/>
      <c r="P7" s="40">
        <v>93</v>
      </c>
    </row>
    <row r="8" spans="1:18">
      <c r="B8" s="153" t="s">
        <v>1180</v>
      </c>
      <c r="C8" s="151"/>
      <c r="D8" s="152"/>
      <c r="E8" s="40">
        <v>105</v>
      </c>
      <c r="F8" t="s">
        <v>1176</v>
      </c>
      <c r="G8">
        <f t="shared" si="0"/>
        <v>210</v>
      </c>
      <c r="M8" s="153" t="s">
        <v>1180</v>
      </c>
      <c r="N8" s="151"/>
      <c r="O8" s="152"/>
      <c r="P8" s="40">
        <v>105</v>
      </c>
    </row>
    <row r="9" spans="1:18">
      <c r="B9" s="38"/>
      <c r="C9" s="39"/>
      <c r="D9" s="39"/>
      <c r="E9" s="41"/>
      <c r="G9">
        <f t="shared" si="0"/>
        <v>0</v>
      </c>
      <c r="M9" s="38"/>
      <c r="N9" s="39"/>
      <c r="O9" s="39"/>
      <c r="P9" s="41"/>
    </row>
    <row r="10" spans="1:18">
      <c r="B10" s="153" t="s">
        <v>1181</v>
      </c>
      <c r="C10" s="151"/>
      <c r="D10" s="151"/>
      <c r="E10" s="40">
        <v>1</v>
      </c>
      <c r="G10">
        <f t="shared" si="0"/>
        <v>81</v>
      </c>
      <c r="M10" s="153" t="s">
        <v>1181</v>
      </c>
      <c r="N10" s="151"/>
      <c r="O10" s="151"/>
      <c r="P10" s="40">
        <v>80</v>
      </c>
    </row>
    <row r="11" spans="1:18" ht="19.5" thickBot="1">
      <c r="B11" s="154" t="s">
        <v>1182</v>
      </c>
      <c r="C11" s="155"/>
      <c r="D11" s="155"/>
      <c r="E11" s="42">
        <f>G17</f>
        <v>279</v>
      </c>
      <c r="G11">
        <f t="shared" si="0"/>
        <v>542</v>
      </c>
      <c r="M11" s="154" t="s">
        <v>1182</v>
      </c>
      <c r="N11" s="155"/>
      <c r="O11" s="155"/>
      <c r="P11" s="42">
        <v>263</v>
      </c>
    </row>
    <row r="12" spans="1:18" ht="19.5" thickTop="1"/>
    <row r="13" spans="1:18">
      <c r="B13" s="153" t="s">
        <v>1183</v>
      </c>
      <c r="C13" s="151"/>
      <c r="D13" s="151"/>
      <c r="E13" s="40">
        <f>185+E8+E10</f>
        <v>291</v>
      </c>
      <c r="M13" s="153" t="s">
        <v>1183</v>
      </c>
      <c r="N13" s="151"/>
      <c r="O13" s="151"/>
      <c r="P13" s="40">
        <f>P8+P10</f>
        <v>185</v>
      </c>
    </row>
    <row r="14" spans="1:18" ht="19.5" thickBot="1">
      <c r="B14" s="154" t="s">
        <v>1184</v>
      </c>
      <c r="C14" s="155"/>
      <c r="D14" s="155"/>
      <c r="E14" s="42">
        <f>368+E11+E8</f>
        <v>752</v>
      </c>
      <c r="M14" s="154" t="s">
        <v>1184</v>
      </c>
      <c r="N14" s="155"/>
      <c r="O14" s="155"/>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sheetPr>
  <dimension ref="A1:K27"/>
  <sheetViews>
    <sheetView workbookViewId="0">
      <selection activeCell="I15" sqref="I15"/>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1486</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1440</v>
      </c>
      <c r="C1" s="124" t="s">
        <v>1441</v>
      </c>
      <c r="D1" s="125" t="s">
        <v>1442</v>
      </c>
      <c r="E1" s="125" t="s">
        <v>1443</v>
      </c>
      <c r="F1" s="125" t="s">
        <v>1444</v>
      </c>
      <c r="G1" s="5" t="s">
        <v>1065</v>
      </c>
      <c r="I1" s="126" t="s">
        <v>1445</v>
      </c>
      <c r="J1" s="125" t="s">
        <v>1446</v>
      </c>
    </row>
    <row r="2" spans="1:10" s="127" customFormat="1">
      <c r="B2" s="123" t="s">
        <v>1447</v>
      </c>
      <c r="C2" s="128"/>
      <c r="D2" s="129"/>
      <c r="E2" s="129"/>
      <c r="F2" s="129"/>
      <c r="G2" s="130"/>
      <c r="I2" s="131"/>
      <c r="J2" s="129"/>
    </row>
    <row r="3" spans="1:10">
      <c r="A3" s="123" t="s">
        <v>1447</v>
      </c>
      <c r="B3" s="132"/>
      <c r="C3" s="132" t="s">
        <v>1448</v>
      </c>
      <c r="D3" s="132" t="s">
        <v>1442</v>
      </c>
      <c r="E3" s="132" t="s">
        <v>1449</v>
      </c>
      <c r="F3" s="132" t="s">
        <v>1450</v>
      </c>
      <c r="G3" s="132" t="s">
        <v>1451</v>
      </c>
      <c r="H3" s="132" t="s">
        <v>1452</v>
      </c>
      <c r="I3" s="132" t="s">
        <v>1453</v>
      </c>
      <c r="J3" s="132" t="s">
        <v>1454</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1455</v>
      </c>
      <c r="B17" s="123" t="s">
        <v>1455</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1456</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1457</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20</vt:i4>
      </vt:variant>
    </vt:vector>
  </HeadingPairs>
  <TitlesOfParts>
    <vt:vector size="29" baseType="lpstr">
      <vt:lpstr>yushutsu_kobetsu</vt:lpstr>
      <vt:lpstr>中間処理シート</vt:lpstr>
      <vt:lpstr>ダッシュボード</vt:lpstr>
      <vt:lpstr>仕向地</vt:lpstr>
      <vt:lpstr>組織略称</vt:lpstr>
      <vt:lpstr>組織名称・略称・英文呼称</vt:lpstr>
      <vt:lpstr>審査件数</vt:lpstr>
      <vt:lpstr>別表１～３</vt:lpstr>
      <vt:lpstr>包括・特例</vt:lpstr>
      <vt:lpstr>BU抽出</vt:lpstr>
      <vt:lpstr>組織名称・略称・英文呼称!Print_Area</vt:lpstr>
      <vt:lpstr>組織名称・略称・英文呼称!Print_Titles</vt:lpstr>
      <vt:lpstr>管理番号</vt:lpstr>
      <vt:lpstr>期間＿開始</vt:lpstr>
      <vt:lpstr>期間＿終了</vt:lpstr>
      <vt:lpstr>期間の審査数</vt:lpstr>
      <vt:lpstr>金額_円</vt:lpstr>
      <vt:lpstr>区分抽出</vt:lpstr>
      <vt:lpstr>件名</vt:lpstr>
      <vt:lpstr>顧客・契約先</vt:lpstr>
      <vt:lpstr>最終需要者</vt:lpstr>
      <vt:lpstr>仕向地</vt:lpstr>
      <vt:lpstr>仕向地抽出</vt:lpstr>
      <vt:lpstr>集計期間</vt:lpstr>
      <vt:lpstr>申請者所属</vt:lpstr>
      <vt:lpstr>組織</vt:lpstr>
      <vt:lpstr>特例抽出</vt:lpstr>
      <vt:lpstr>非許可特例抽出</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2020-10-22T16:28:07Z</dcterms:modified>
</cp:coreProperties>
</file>