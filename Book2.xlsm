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F0413418-439A-4BCF-9212-DCC3EAA1B436}" xr6:coauthVersionLast="45" xr6:coauthVersionMax="45" xr10:uidLastSave="{00000000-0000-0000-0000-000000000000}"/>
  <bookViews>
    <workbookView xWindow="0" yWindow="0" windowWidth="23400" windowHeight="11250" activeTab="2" xr2:uid="{00000000-000D-0000-FFFF-FFFF00000000}"/>
  </bookViews>
  <sheets>
    <sheet name="yushutsu_kobetsu" sheetId="2" r:id="rId1"/>
    <sheet name="中間処理シート" sheetId="3" r:id="rId2"/>
    <sheet name="ダッシュボード" sheetId="11" r:id="rId3"/>
    <sheet name="組織辞書" sheetId="12" r:id="rId4"/>
    <sheet name="仕向地" sheetId="10" r:id="rId5"/>
    <sheet name="組織名称・略称・英文呼称" sheetId="7" r:id="rId6"/>
    <sheet name="審査件数" sheetId="5" r:id="rId7"/>
    <sheet name="別表１～３" sheetId="6" r:id="rId8"/>
    <sheet name="包括・特例" sheetId="9" r:id="rId9"/>
  </sheets>
  <functionGroups builtInGroupCount="19"/>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Range_組織辞書">組織辞書!$D$2:$R$23</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ダッシュボード!$B$25</definedName>
    <definedName name="管理番号">yushutsu_kobetsu!$A:$A</definedName>
    <definedName name="期間＿開始">中間処理シート!$A$3</definedName>
    <definedName name="期間＿終了">中間処理シート!$A$5</definedName>
    <definedName name="期間の審査件数">ダッシュボード!$B$21</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ダッシュボード!$B$24</definedName>
    <definedName name="左上cell_組織辞書">組織辞書!$D$2</definedName>
    <definedName name="最終需要者">yushutsu_kobetsu!$N:$N</definedName>
    <definedName name="仕向地">yushutsu_kobetsu!$K:$K</definedName>
    <definedName name="仕向地集計">ダッシュボード!$R$6</definedName>
    <definedName name="仕向地抽出">中間処理シート!$A$11</definedName>
    <definedName name="取引集計">ダッシュボード!$K$6</definedName>
    <definedName name="取引集計＿非ゼロ">ダッシュボード!$N$6</definedName>
    <definedName name="集計期間">ダッシュボード!$A$2:$A$3</definedName>
    <definedName name="集計状況">ダッシュボード!$B$19</definedName>
    <definedName name="集計名例外解決">ダッシュボード!$B$20</definedName>
    <definedName name="少額特例適用件数">ダッシュボード!$B$23</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組織名称・略称・英文呼称!$G$122:$G$242</definedName>
    <definedName name="組織集計">ダッシュボード!$D$6</definedName>
    <definedName name="組織集計＿非ゼロ">ダッシュボード!$G$6</definedName>
    <definedName name="特例抽出">中間処理シート!$A$16</definedName>
    <definedName name="非許可特例抽出">中間処理シート!$A$19</definedName>
    <definedName name="包括許可適用件数">ダッシュボード!$B$22</definedName>
    <definedName name="包括抽出">中間処理シート!$A$13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 i="11" l="1"/>
  <c r="B16" i="11" l="1"/>
  <c r="B15" i="11"/>
  <c r="B14" i="11"/>
  <c r="B13" i="11"/>
  <c r="B12" i="11"/>
  <c r="B11" i="11"/>
  <c r="B10" i="11"/>
  <c r="B9" i="11"/>
  <c r="B8" i="11"/>
  <c r="B7" i="11"/>
  <c r="AE255" i="3" l="1"/>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F60" i="3" s="1"/>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29" i="3"/>
  <c r="AF29" i="3" s="1"/>
  <c r="AE3"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102" i="3"/>
  <c r="AF98" i="3"/>
  <c r="AF97" i="3"/>
  <c r="AF94" i="3"/>
  <c r="AF93" i="3"/>
  <c r="AF92" i="3"/>
  <c r="AF90" i="3"/>
  <c r="AF86" i="3"/>
  <c r="AF82" i="3"/>
  <c r="AF81" i="3"/>
  <c r="AF78" i="3"/>
  <c r="AF77" i="3"/>
  <c r="AF76" i="3"/>
  <c r="AF74" i="3"/>
  <c r="AF70" i="3"/>
  <c r="AF66" i="3"/>
  <c r="AF65" i="3"/>
  <c r="AF62" i="3"/>
  <c r="AF61" i="3"/>
  <c r="AF58" i="3"/>
  <c r="AF54" i="3"/>
  <c r="AF50" i="3"/>
  <c r="AF49" i="3"/>
  <c r="AF46" i="3"/>
  <c r="AF45" i="3"/>
  <c r="AF44" i="3"/>
  <c r="AF42" i="3"/>
  <c r="AF38" i="3"/>
  <c r="AF34" i="3"/>
  <c r="A28" i="3"/>
  <c r="A26" i="3"/>
  <c r="A24" i="3"/>
  <c r="AF3" i="3" l="1"/>
  <c r="G32" i="9"/>
  <c r="G17" i="9"/>
  <c r="O23" i="5"/>
  <c r="D23" i="5"/>
  <c r="P14" i="5"/>
  <c r="P13" i="5"/>
  <c r="E13" i="5"/>
  <c r="E11" i="5"/>
  <c r="E14" i="5" s="1"/>
  <c r="G10" i="5"/>
  <c r="G9" i="5"/>
  <c r="G8" i="5"/>
  <c r="G7" i="5"/>
  <c r="G6" i="5"/>
  <c r="P5" i="5"/>
  <c r="G5" i="5" s="1"/>
  <c r="P4" i="5"/>
  <c r="G4" i="5" s="1"/>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C33" i="3"/>
  <c r="AD33" i="3" s="1"/>
  <c r="C33" i="3"/>
  <c r="D33" i="3" s="1"/>
  <c r="AC32" i="3"/>
  <c r="AD32" i="3" s="1"/>
  <c r="C32" i="3"/>
  <c r="D32" i="3" s="1"/>
  <c r="AC31" i="3"/>
  <c r="AD31" i="3" s="1"/>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C21" i="3"/>
  <c r="AD21" i="3" s="1"/>
  <c r="C21" i="3"/>
  <c r="D21" i="3" s="1"/>
  <c r="AC20" i="3"/>
  <c r="AD20" i="3" s="1"/>
  <c r="C20" i="3"/>
  <c r="D20" i="3" s="1"/>
  <c r="AC19" i="3"/>
  <c r="AD19" i="3" s="1"/>
  <c r="C19" i="3"/>
  <c r="D19" i="3" s="1"/>
  <c r="A19" i="3"/>
  <c r="AC18" i="3"/>
  <c r="AD18" i="3" s="1"/>
  <c r="C18" i="3"/>
  <c r="D18" i="3" s="1"/>
  <c r="AC17" i="3"/>
  <c r="AD17" i="3" s="1"/>
  <c r="C17" i="3"/>
  <c r="D17" i="3" s="1"/>
  <c r="AC16" i="3"/>
  <c r="AD16" i="3" s="1"/>
  <c r="C16" i="3"/>
  <c r="D16" i="3" s="1"/>
  <c r="A16" i="3"/>
  <c r="AC15" i="3"/>
  <c r="AD15" i="3" s="1"/>
  <c r="C15" i="3"/>
  <c r="D15" i="3" s="1"/>
  <c r="AC14" i="3"/>
  <c r="AD14" i="3" s="1"/>
  <c r="C14" i="3"/>
  <c r="AC13" i="3"/>
  <c r="AD13" i="3" s="1"/>
  <c r="U13" i="3"/>
  <c r="C13" i="3"/>
  <c r="D13" i="3" s="1"/>
  <c r="A13" i="3"/>
  <c r="AC12" i="3"/>
  <c r="AD12" i="3" s="1"/>
  <c r="U12" i="3"/>
  <c r="V12" i="3" s="1"/>
  <c r="C12" i="3"/>
  <c r="D12" i="3" s="1"/>
  <c r="AC11" i="3"/>
  <c r="AD11" i="3" s="1"/>
  <c r="U11" i="3"/>
  <c r="C11" i="3"/>
  <c r="A11" i="3"/>
  <c r="AC10" i="3"/>
  <c r="AD10" i="3" s="1"/>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C2" i="3"/>
  <c r="AD2" i="3" s="1"/>
  <c r="U2" i="3"/>
  <c r="V2" i="3" s="1"/>
  <c r="C2" i="3"/>
  <c r="D11" i="3" l="1"/>
  <c r="G11" i="5"/>
  <c r="D10" i="3"/>
  <c r="D23" i="3"/>
  <c r="V7" i="3"/>
  <c r="V10" i="3"/>
  <c r="D3" i="3"/>
  <c r="D4" i="3"/>
  <c r="D9" i="3"/>
  <c r="AD4" i="3"/>
  <c r="AE4" i="3" s="1"/>
  <c r="V5" i="3"/>
  <c r="V9" i="3"/>
  <c r="V11" i="3"/>
  <c r="V13" i="3"/>
  <c r="V8" i="3"/>
  <c r="D45" i="3"/>
  <c r="D63" i="3"/>
  <c r="D78" i="3"/>
  <c r="D74" i="3"/>
  <c r="D56" i="3"/>
  <c r="D2" i="3"/>
  <c r="V3" i="3"/>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AE19" i="3" l="1"/>
  <c r="AE26" i="3"/>
  <c r="AE17" i="3"/>
  <c r="AE24" i="3"/>
  <c r="AE25" i="3"/>
  <c r="AE8" i="3"/>
  <c r="AE31" i="3"/>
  <c r="AE16" i="3"/>
  <c r="AE28" i="3"/>
  <c r="AE14" i="3"/>
  <c r="AE22" i="3"/>
  <c r="AE23" i="3"/>
  <c r="AE33" i="3"/>
  <c r="AE18" i="3"/>
  <c r="AE13" i="3"/>
  <c r="AE32" i="3"/>
  <c r="AE7" i="3"/>
  <c r="AE5" i="3"/>
  <c r="AE11" i="3"/>
  <c r="AE15" i="3"/>
  <c r="AE2" i="3"/>
  <c r="AF2" i="3" s="1"/>
  <c r="AE30" i="3"/>
  <c r="AE12" i="3"/>
  <c r="AE20" i="3"/>
  <c r="AE6" i="3"/>
  <c r="AE27" i="3"/>
  <c r="AE9" i="3"/>
  <c r="AE10" i="3"/>
  <c r="AE21" i="3"/>
  <c r="E56" i="3"/>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F3" i="6" s="1"/>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AF9" i="3" l="1"/>
  <c r="AF27" i="3"/>
  <c r="AF8" i="3"/>
  <c r="AF6" i="3"/>
  <c r="AF30" i="3"/>
  <c r="AF5" i="3"/>
  <c r="AF4" i="3"/>
  <c r="AF23" i="3"/>
  <c r="AF16" i="3"/>
  <c r="AF24" i="3"/>
  <c r="F4" i="6"/>
  <c r="F5" i="6" s="1"/>
  <c r="F6" i="6" s="1"/>
  <c r="F7" i="6" s="1"/>
  <c r="F8" i="6" s="1"/>
  <c r="F9" i="6" s="1"/>
  <c r="F10" i="6" s="1"/>
  <c r="F11" i="6" s="1"/>
  <c r="F12" i="6" s="1"/>
  <c r="F13" i="6" s="1"/>
  <c r="F14" i="6" s="1"/>
  <c r="F15" i="6" s="1"/>
  <c r="F16" i="6" s="1"/>
  <c r="F17" i="6" s="1"/>
  <c r="F18" i="6" s="1"/>
  <c r="F19" i="6" s="1"/>
  <c r="F20" i="6" s="1"/>
  <c r="F21" i="6" s="1"/>
  <c r="F22" i="6" s="1"/>
  <c r="F23" i="6" s="1"/>
  <c r="AF21" i="3"/>
  <c r="AF7" i="3"/>
  <c r="AF22" i="3"/>
  <c r="AF31" i="3"/>
  <c r="AF17" i="3"/>
  <c r="AF10" i="3"/>
  <c r="AF20" i="3"/>
  <c r="AF15" i="3"/>
  <c r="AF32" i="3"/>
  <c r="AF18" i="3"/>
  <c r="AF14" i="3"/>
  <c r="AF26" i="3"/>
  <c r="AF12" i="3"/>
  <c r="AF11" i="3"/>
  <c r="AF13" i="3"/>
  <c r="AF33" i="3"/>
  <c r="AF28" i="3"/>
  <c r="AF25" i="3"/>
  <c r="AF19" i="3"/>
  <c r="F32" i="3"/>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AH6" i="3" l="1"/>
  <c r="I6" i="6" s="1"/>
  <c r="AH4" i="3"/>
  <c r="I4" i="6" s="1"/>
  <c r="AI5" i="3"/>
  <c r="J5" i="6" s="1"/>
  <c r="AI6" i="3"/>
  <c r="J6" i="6" s="1"/>
  <c r="AH7" i="3"/>
  <c r="I7" i="6" s="1"/>
  <c r="AI3" i="3"/>
  <c r="J3" i="6" s="1"/>
  <c r="AH3" i="3"/>
  <c r="I3" i="6" s="1"/>
  <c r="AH8" i="3"/>
  <c r="I8" i="6" s="1"/>
  <c r="AI4" i="3"/>
  <c r="J4" i="6" s="1"/>
  <c r="AH5" i="3"/>
  <c r="I5" i="6" s="1"/>
  <c r="AI8" i="3"/>
  <c r="J8" i="6" s="1"/>
  <c r="AI7" i="3"/>
  <c r="J7" i="6" s="1"/>
  <c r="G9" i="3"/>
  <c r="G6" i="3"/>
  <c r="G5" i="6"/>
  <c r="G6" i="6" l="1"/>
  <c r="G7" i="6" l="1"/>
  <c r="G8" i="6" l="1"/>
  <c r="G9" i="6" l="1"/>
  <c r="G10" i="6" l="1"/>
  <c r="AL21" i="3"/>
  <c r="AL14" i="3"/>
  <c r="AL125" i="3"/>
  <c r="AL55" i="3"/>
  <c r="AL64" i="3"/>
  <c r="AL11" i="3"/>
  <c r="AL114" i="3"/>
  <c r="AL75" i="3"/>
  <c r="AL97" i="3"/>
  <c r="AL43" i="3"/>
  <c r="AL87" i="3"/>
  <c r="AL7" i="3"/>
  <c r="AL105" i="3"/>
  <c r="AL119" i="3"/>
  <c r="AL116" i="3"/>
  <c r="AL108" i="3"/>
  <c r="AL109" i="3"/>
  <c r="AL72" i="3"/>
  <c r="AL106" i="3"/>
  <c r="AL90" i="3"/>
  <c r="AL120" i="3"/>
  <c r="AL69" i="3"/>
  <c r="AL129" i="3"/>
  <c r="AL117" i="3"/>
  <c r="AL84" i="3"/>
  <c r="AL96" i="3"/>
  <c r="AL62" i="3"/>
  <c r="AL31" i="3"/>
  <c r="AL113" i="3"/>
  <c r="AL110" i="3"/>
  <c r="AL45" i="3"/>
  <c r="AL6" i="3"/>
  <c r="AL82" i="3"/>
  <c r="AL20" i="3"/>
  <c r="AL73" i="3"/>
  <c r="AL28" i="3"/>
  <c r="AL92" i="3"/>
  <c r="AL15" i="3"/>
  <c r="AL50" i="3"/>
  <c r="AL30" i="3"/>
  <c r="AL23" i="3"/>
  <c r="AL76" i="3"/>
  <c r="AL8" i="3"/>
  <c r="AL57" i="3"/>
  <c r="AL54" i="3"/>
  <c r="AL42" i="3"/>
  <c r="AL9" i="3"/>
  <c r="AL66" i="3"/>
  <c r="AL83" i="3"/>
  <c r="AL104" i="3"/>
  <c r="AL102" i="3"/>
  <c r="AL127" i="3"/>
  <c r="AL47" i="3"/>
  <c r="AL135" i="3"/>
  <c r="AL115" i="3"/>
  <c r="AL52" i="3"/>
  <c r="AL91" i="3"/>
  <c r="AL86" i="3"/>
  <c r="AL53" i="3"/>
  <c r="AL34" i="3"/>
  <c r="AL126" i="3"/>
  <c r="AL80" i="3"/>
  <c r="AL132" i="3"/>
  <c r="AL111" i="3"/>
  <c r="AL25" i="3"/>
  <c r="AL112" i="3"/>
  <c r="AL68" i="3"/>
  <c r="AL118" i="3"/>
  <c r="AL44" i="3"/>
  <c r="AL131" i="3"/>
  <c r="AL98" i="3"/>
  <c r="AL93" i="3"/>
  <c r="AL77" i="3"/>
  <c r="AL60" i="3"/>
  <c r="AL124" i="3"/>
  <c r="AL128" i="3"/>
  <c r="AL38" i="3"/>
  <c r="AL121" i="3"/>
  <c r="AL36" i="3"/>
  <c r="AL130" i="3"/>
  <c r="AL123" i="3"/>
  <c r="AL24" i="3"/>
  <c r="AL32" i="3"/>
  <c r="AL22" i="3"/>
  <c r="AL70" i="3"/>
  <c r="AL10" i="3"/>
  <c r="AL71" i="3"/>
  <c r="AL51" i="3"/>
  <c r="AL95" i="3"/>
  <c r="AL61" i="3"/>
  <c r="AL48" i="3"/>
  <c r="AL74" i="3"/>
  <c r="AL13" i="3"/>
  <c r="AL133" i="3"/>
  <c r="AL122" i="3"/>
  <c r="AL85" i="3"/>
  <c r="AL88" i="3"/>
  <c r="AL17" i="3"/>
  <c r="AL81" i="3"/>
  <c r="AL89" i="3"/>
  <c r="AL27" i="3"/>
  <c r="AL101" i="3"/>
  <c r="AL134" i="3"/>
  <c r="AL26" i="3"/>
  <c r="AL33" i="3"/>
  <c r="AL100" i="3"/>
  <c r="AL49" i="3"/>
  <c r="AL46" i="3"/>
  <c r="AL78" i="3"/>
  <c r="AL56" i="3"/>
  <c r="AL41" i="3"/>
  <c r="AL40" i="3"/>
  <c r="AL29" i="3"/>
  <c r="AL99" i="3"/>
  <c r="AL35" i="3"/>
  <c r="AL59" i="3"/>
  <c r="AL37" i="3"/>
  <c r="AL65" i="3"/>
  <c r="AL39" i="3"/>
  <c r="AL79" i="3"/>
  <c r="AL12" i="3"/>
  <c r="AL63" i="3"/>
  <c r="AL67" i="3"/>
  <c r="AL58" i="3"/>
  <c r="AL16" i="3"/>
  <c r="AL94" i="3"/>
  <c r="AL19" i="3"/>
  <c r="AL107" i="3"/>
  <c r="AL103" i="3"/>
  <c r="AL18" i="3"/>
  <c r="AM35" i="3" l="1"/>
  <c r="AM74" i="3"/>
  <c r="AM24" i="3"/>
  <c r="AM112" i="3"/>
  <c r="AM30" i="3"/>
  <c r="AM17" i="3"/>
  <c r="AM111" i="3"/>
  <c r="AM121" i="3"/>
  <c r="AM59" i="3"/>
  <c r="AM128" i="3"/>
  <c r="AM105" i="3"/>
  <c r="AM53" i="3"/>
  <c r="AM27" i="3"/>
  <c r="AM9" i="3"/>
  <c r="AM57" i="3"/>
  <c r="AM62" i="3"/>
  <c r="AM115" i="3"/>
  <c r="AM42" i="3"/>
  <c r="AM82" i="3"/>
  <c r="AM80" i="3"/>
  <c r="AM130" i="3"/>
  <c r="AM38" i="3"/>
  <c r="AM33" i="3"/>
  <c r="AM7" i="3"/>
  <c r="AM83" i="3"/>
  <c r="AM108" i="3"/>
  <c r="AM12" i="3"/>
  <c r="AM129" i="3"/>
  <c r="AM71" i="3"/>
  <c r="AM47" i="3"/>
  <c r="AM93" i="3"/>
  <c r="AM106" i="3"/>
  <c r="AM91" i="3"/>
  <c r="AM45" i="3"/>
  <c r="AM68" i="3"/>
  <c r="AM25" i="3"/>
  <c r="AM72" i="3"/>
  <c r="AM110" i="3"/>
  <c r="AM133" i="3"/>
  <c r="AM49" i="3"/>
  <c r="AM88" i="3"/>
  <c r="AM117" i="3"/>
  <c r="AM116" i="3"/>
  <c r="AM43" i="3"/>
  <c r="AM70" i="3"/>
  <c r="AM124" i="3"/>
  <c r="AM135" i="3"/>
  <c r="AM120" i="3"/>
  <c r="AM86" i="3"/>
  <c r="AM67" i="3"/>
  <c r="AM77" i="3"/>
  <c r="AM34" i="3"/>
  <c r="AM51" i="3"/>
  <c r="AM36" i="3"/>
  <c r="AM87" i="3"/>
  <c r="AM64" i="3"/>
  <c r="AM102" i="3"/>
  <c r="AM23" i="3"/>
  <c r="AM109" i="3"/>
  <c r="AM107" i="3"/>
  <c r="AM56" i="3"/>
  <c r="AM14" i="3"/>
  <c r="AM61" i="3"/>
  <c r="AM95" i="3"/>
  <c r="AM118" i="3"/>
  <c r="AM10" i="3"/>
  <c r="AM66" i="3"/>
  <c r="AM50" i="3"/>
  <c r="AM78" i="3"/>
  <c r="AM22" i="3"/>
  <c r="AM63" i="3"/>
  <c r="AM92" i="3"/>
  <c r="AM123" i="3"/>
  <c r="AM69" i="3"/>
  <c r="AM134" i="3"/>
  <c r="AM81" i="3"/>
  <c r="AM48" i="3"/>
  <c r="AM54" i="3"/>
  <c r="AM103" i="3"/>
  <c r="AM126" i="3"/>
  <c r="AM94" i="3"/>
  <c r="AM37" i="3"/>
  <c r="AM58" i="3"/>
  <c r="AM132" i="3"/>
  <c r="AM52" i="3"/>
  <c r="AM76" i="3"/>
  <c r="AM79" i="3"/>
  <c r="AM60" i="3"/>
  <c r="AM55" i="3"/>
  <c r="AM11" i="3"/>
  <c r="AM97" i="3"/>
  <c r="AM113" i="3"/>
  <c r="AM104" i="3"/>
  <c r="AM85" i="3"/>
  <c r="AM114" i="3"/>
  <c r="AM96" i="3"/>
  <c r="AM125" i="3"/>
  <c r="AM98" i="3"/>
  <c r="AM39" i="3"/>
  <c r="AM19" i="3"/>
  <c r="AM15" i="3"/>
  <c r="AM31" i="3"/>
  <c r="AM13" i="3"/>
  <c r="AM99" i="3"/>
  <c r="AM18" i="3"/>
  <c r="AM131" i="3"/>
  <c r="AM41" i="3"/>
  <c r="AM32" i="3"/>
  <c r="AM127" i="3"/>
  <c r="AM20" i="3"/>
  <c r="AM44" i="3"/>
  <c r="AM28" i="3"/>
  <c r="AM75" i="3"/>
  <c r="AM100" i="3"/>
  <c r="AM6" i="3"/>
  <c r="AM122" i="3"/>
  <c r="AM26" i="3"/>
  <c r="AM8" i="3"/>
  <c r="AM65" i="3"/>
  <c r="AM16" i="3"/>
  <c r="AM84" i="3"/>
  <c r="AM29" i="3"/>
  <c r="AM73" i="3"/>
  <c r="AM89" i="3"/>
  <c r="AM46" i="3"/>
  <c r="AM101" i="3"/>
  <c r="AM21" i="3"/>
  <c r="AM40" i="3"/>
  <c r="AM90" i="3"/>
  <c r="AM119" i="3"/>
  <c r="G11" i="6"/>
  <c r="AP7" i="3" l="1"/>
  <c r="AP12" i="3"/>
  <c r="AO32" i="3"/>
  <c r="AN32" i="3" s="1"/>
  <c r="J30" i="3" s="1"/>
  <c r="N30" i="3" s="1"/>
  <c r="AP67" i="3"/>
  <c r="AP115" i="3"/>
  <c r="AP55" i="3"/>
  <c r="AO17" i="3"/>
  <c r="AN17" i="3" s="1"/>
  <c r="J15" i="3" s="1"/>
  <c r="AO23" i="3"/>
  <c r="AN23" i="3" s="1"/>
  <c r="J21" i="3" s="1"/>
  <c r="AP48" i="3"/>
  <c r="AP42" i="3"/>
  <c r="AO10" i="3"/>
  <c r="AN10" i="3" s="1"/>
  <c r="J8" i="3" s="1"/>
  <c r="AO30" i="3"/>
  <c r="AN30" i="3" s="1"/>
  <c r="J28" i="3" s="1"/>
  <c r="AO24" i="3"/>
  <c r="AN24" i="3" s="1"/>
  <c r="J22" i="3" s="1"/>
  <c r="AO37" i="3"/>
  <c r="AN37" i="3" s="1"/>
  <c r="J35" i="3" s="1"/>
  <c r="AP105" i="3"/>
  <c r="AO34" i="3"/>
  <c r="AN34" i="3" s="1"/>
  <c r="J32" i="3" s="1"/>
  <c r="K32" i="3" s="1"/>
  <c r="AO21" i="3"/>
  <c r="AN21" i="3" s="1"/>
  <c r="J19" i="3" s="1"/>
  <c r="AP19" i="3"/>
  <c r="AO8" i="3"/>
  <c r="AN8" i="3" s="1"/>
  <c r="J6" i="3" s="1"/>
  <c r="AP14" i="3"/>
  <c r="F12" i="3" s="1"/>
  <c r="AP43" i="3"/>
  <c r="AP92" i="3"/>
  <c r="AP117" i="3"/>
  <c r="AP15" i="3"/>
  <c r="AP102" i="3"/>
  <c r="AP32" i="3"/>
  <c r="AP26" i="3"/>
  <c r="AP69" i="3"/>
  <c r="AO7" i="3"/>
  <c r="AN7" i="3" s="1"/>
  <c r="J5" i="3" s="1"/>
  <c r="AO14" i="3"/>
  <c r="AN14" i="3" s="1"/>
  <c r="J12" i="3" s="1"/>
  <c r="AP74" i="3"/>
  <c r="F6" i="3" s="1"/>
  <c r="AP84" i="3"/>
  <c r="AP75" i="3"/>
  <c r="AP13" i="3"/>
  <c r="AP81" i="3"/>
  <c r="AP27" i="3"/>
  <c r="AP79" i="3"/>
  <c r="AP107" i="3"/>
  <c r="AP35" i="3"/>
  <c r="F5" i="3" s="1"/>
  <c r="M30" i="3"/>
  <c r="N35" i="3"/>
  <c r="AP78" i="3"/>
  <c r="AP96" i="3"/>
  <c r="AP30" i="3"/>
  <c r="F7" i="3" s="1"/>
  <c r="AP51" i="3"/>
  <c r="AP91" i="3"/>
  <c r="AP58" i="3"/>
  <c r="AO27" i="3"/>
  <c r="AN27" i="3" s="1"/>
  <c r="J25" i="3" s="1"/>
  <c r="AP33" i="3"/>
  <c r="AO40" i="3"/>
  <c r="AN40" i="3" s="1"/>
  <c r="J38" i="3" s="1"/>
  <c r="AP8" i="3"/>
  <c r="AO39" i="3"/>
  <c r="AN39" i="3" s="1"/>
  <c r="J37" i="3" s="1"/>
  <c r="AP52" i="3"/>
  <c r="AP87" i="3"/>
  <c r="AO16" i="3"/>
  <c r="AN16" i="3" s="1"/>
  <c r="J14" i="3" s="1"/>
  <c r="AP68" i="3"/>
  <c r="AO13" i="3"/>
  <c r="AN13" i="3" s="1"/>
  <c r="J11" i="3" s="1"/>
  <c r="AP114" i="3"/>
  <c r="AP73" i="3"/>
  <c r="AO26" i="3"/>
  <c r="AN26" i="3" s="1"/>
  <c r="J24" i="3" s="1"/>
  <c r="AO41" i="3"/>
  <c r="AN41" i="3" s="1"/>
  <c r="J39" i="3" s="1"/>
  <c r="AP71" i="3"/>
  <c r="AO44" i="3"/>
  <c r="AN44" i="3" s="1"/>
  <c r="J42" i="3" s="1"/>
  <c r="AP64" i="3"/>
  <c r="AP112" i="3"/>
  <c r="AP83" i="3"/>
  <c r="AP70" i="3"/>
  <c r="AO38" i="3"/>
  <c r="AN38" i="3" s="1"/>
  <c r="J36" i="3" s="1"/>
  <c r="K36" i="3" s="1"/>
  <c r="AP22" i="3"/>
  <c r="AP21" i="3"/>
  <c r="AP120" i="3"/>
  <c r="AP99" i="3"/>
  <c r="AP49" i="3"/>
  <c r="AP31" i="3"/>
  <c r="F4" i="3" s="1"/>
  <c r="AP90" i="3"/>
  <c r="AP106" i="3"/>
  <c r="AP89" i="3"/>
  <c r="AP46" i="3"/>
  <c r="F8" i="3" s="1"/>
  <c r="AP93" i="3"/>
  <c r="AP109" i="3"/>
  <c r="AP85" i="3"/>
  <c r="AP16" i="3"/>
  <c r="F15" i="3" s="1"/>
  <c r="AP57" i="3"/>
  <c r="AP97" i="3"/>
  <c r="AP6" i="3"/>
  <c r="AP11" i="3"/>
  <c r="AP116" i="3"/>
  <c r="AO6" i="3"/>
  <c r="AN6" i="3" s="1"/>
  <c r="J4" i="3" s="1"/>
  <c r="AP9" i="3"/>
  <c r="AO18" i="3"/>
  <c r="AN18" i="3" s="1"/>
  <c r="J16" i="3" s="1"/>
  <c r="AO28" i="3"/>
  <c r="AN28" i="3" s="1"/>
  <c r="J26" i="3" s="1"/>
  <c r="N26" i="3" s="1"/>
  <c r="AP72" i="3"/>
  <c r="AP98" i="3"/>
  <c r="AP53" i="3"/>
  <c r="AP103" i="3"/>
  <c r="AP100" i="3"/>
  <c r="AP28" i="3"/>
  <c r="AP47" i="3"/>
  <c r="AP66" i="3"/>
  <c r="AP76" i="3"/>
  <c r="AO19" i="3"/>
  <c r="AN19" i="3" s="1"/>
  <c r="J17" i="3" s="1"/>
  <c r="AP108" i="3"/>
  <c r="AO29" i="3"/>
  <c r="AN29" i="3" s="1"/>
  <c r="J27" i="3" s="1"/>
  <c r="N27" i="3" s="1"/>
  <c r="AP118" i="3"/>
  <c r="F13" i="3" s="1"/>
  <c r="AP41" i="3"/>
  <c r="F14" i="3" s="1"/>
  <c r="AP111" i="3"/>
  <c r="AP18" i="3"/>
  <c r="AO42" i="3"/>
  <c r="AN42" i="3" s="1"/>
  <c r="J40" i="3" s="1"/>
  <c r="N40" i="3" s="1"/>
  <c r="AP50" i="3"/>
  <c r="AO15" i="3"/>
  <c r="AN15" i="3" s="1"/>
  <c r="J13" i="3" s="1"/>
  <c r="AP80" i="3"/>
  <c r="AO31" i="3"/>
  <c r="AN31" i="3" s="1"/>
  <c r="J29" i="3" s="1"/>
  <c r="N29" i="3" s="1"/>
  <c r="AP25" i="3"/>
  <c r="AO25" i="3"/>
  <c r="AN25" i="3" s="1"/>
  <c r="J23" i="3" s="1"/>
  <c r="AP37" i="3"/>
  <c r="F2" i="3" s="1"/>
  <c r="AO33" i="3"/>
  <c r="AN33" i="3" s="1"/>
  <c r="J31" i="3" s="1"/>
  <c r="AP104" i="3"/>
  <c r="AP17" i="3"/>
  <c r="AP88" i="3"/>
  <c r="AP36" i="3"/>
  <c r="AO11" i="3"/>
  <c r="AN11" i="3" s="1"/>
  <c r="J9" i="3" s="1"/>
  <c r="AP95" i="3"/>
  <c r="AP56" i="3"/>
  <c r="AP54" i="3"/>
  <c r="AP119" i="3"/>
  <c r="AP44" i="3"/>
  <c r="AP82" i="3"/>
  <c r="AP23" i="3"/>
  <c r="AP61" i="3"/>
  <c r="AP63" i="3"/>
  <c r="F10" i="3" s="1"/>
  <c r="AP29" i="3"/>
  <c r="AO36" i="3"/>
  <c r="AN36" i="3" s="1"/>
  <c r="J34" i="3" s="1"/>
  <c r="AP34" i="3"/>
  <c r="AO35" i="3"/>
  <c r="AN35" i="3" s="1"/>
  <c r="J33" i="3" s="1"/>
  <c r="AP113" i="3"/>
  <c r="AO22" i="3"/>
  <c r="AN22" i="3" s="1"/>
  <c r="J20" i="3" s="1"/>
  <c r="AP24" i="3"/>
  <c r="AP20" i="3"/>
  <c r="AP60" i="3"/>
  <c r="AO43" i="3"/>
  <c r="AN43" i="3" s="1"/>
  <c r="J41" i="3" s="1"/>
  <c r="AO9" i="3"/>
  <c r="AN9" i="3" s="1"/>
  <c r="J7" i="3" s="1"/>
  <c r="AP121" i="3"/>
  <c r="AP10" i="3"/>
  <c r="AP101" i="3"/>
  <c r="AO12" i="3"/>
  <c r="AN12" i="3" s="1"/>
  <c r="J10" i="3" s="1"/>
  <c r="AP94" i="3"/>
  <c r="AP65" i="3"/>
  <c r="AO20" i="3"/>
  <c r="AN20" i="3" s="1"/>
  <c r="J18" i="3" s="1"/>
  <c r="AP86" i="3"/>
  <c r="AP39" i="3"/>
  <c r="AP110" i="3"/>
  <c r="AP59" i="3"/>
  <c r="AP40" i="3"/>
  <c r="F3" i="3" s="1"/>
  <c r="AP77" i="3"/>
  <c r="AP45" i="3"/>
  <c r="AP38" i="3"/>
  <c r="F9" i="3" s="1"/>
  <c r="AP62" i="3"/>
  <c r="N28" i="3"/>
  <c r="K38" i="3"/>
  <c r="M38" i="3"/>
  <c r="N38" i="3"/>
  <c r="K37" i="3"/>
  <c r="N37" i="3"/>
  <c r="M37" i="3"/>
  <c r="F11" i="3"/>
  <c r="G12" i="6"/>
  <c r="M26" i="3" l="1"/>
  <c r="K26" i="3"/>
  <c r="K27" i="3"/>
  <c r="M27" i="3"/>
  <c r="M40" i="3"/>
  <c r="M29" i="3"/>
  <c r="K30" i="3"/>
  <c r="K40" i="3"/>
  <c r="M36" i="3"/>
  <c r="N32" i="3"/>
  <c r="M32" i="3"/>
  <c r="K35" i="3"/>
  <c r="M35" i="3"/>
  <c r="M28" i="3"/>
  <c r="K28" i="3"/>
  <c r="K29" i="3"/>
  <c r="N36" i="3"/>
  <c r="N39" i="3"/>
  <c r="M39" i="3"/>
  <c r="K39" i="3"/>
  <c r="N34" i="3"/>
  <c r="K34" i="3"/>
  <c r="M34" i="3"/>
  <c r="M31" i="3"/>
  <c r="N31" i="3"/>
  <c r="K33" i="3"/>
  <c r="M33" i="3"/>
  <c r="N33" i="3"/>
  <c r="K6" i="3"/>
  <c r="M6" i="3" s="1"/>
  <c r="K31" i="3"/>
  <c r="K25" i="3"/>
  <c r="M25" i="3" s="1"/>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N25" i="3" l="1"/>
  <c r="N7" i="3"/>
  <c r="N6" i="3"/>
  <c r="N12" i="3"/>
  <c r="N8" i="3"/>
  <c r="N22" i="3"/>
  <c r="N10" i="3"/>
  <c r="G14" i="6"/>
  <c r="J22" i="9"/>
  <c r="D30" i="9"/>
  <c r="E31" i="9"/>
  <c r="F8" i="9"/>
  <c r="A14" i="3"/>
  <c r="C19" i="9"/>
  <c r="C7" i="9"/>
  <c r="D24" i="9"/>
  <c r="I15" i="9"/>
  <c r="C23" i="9"/>
  <c r="C5" i="9"/>
  <c r="I8" i="9"/>
  <c r="J19" i="9"/>
  <c r="J27" i="9"/>
  <c r="D11" i="9"/>
  <c r="C11" i="9"/>
  <c r="F24" i="9"/>
  <c r="I30" i="9"/>
  <c r="F21" i="9"/>
  <c r="I29" i="9"/>
  <c r="F28" i="9"/>
  <c r="D4" i="9"/>
  <c r="F12" i="9"/>
  <c r="F31" i="9"/>
  <c r="F20" i="9"/>
  <c r="F27" i="9"/>
  <c r="E20" i="9"/>
  <c r="C4" i="9"/>
  <c r="J12" i="9"/>
  <c r="D14" i="9"/>
  <c r="C31" i="9"/>
  <c r="E14" i="9"/>
  <c r="E33" i="9"/>
  <c r="I25" i="9"/>
  <c r="J20" i="9"/>
  <c r="C16" i="9"/>
  <c r="J15" i="9"/>
  <c r="F22" i="9"/>
  <c r="J26" i="9"/>
  <c r="J4" i="9"/>
  <c r="J23" i="9"/>
  <c r="I31" i="9"/>
  <c r="D12" i="9"/>
  <c r="F7" i="9"/>
  <c r="E29" i="9"/>
  <c r="E7" i="9"/>
  <c r="D16" i="9"/>
  <c r="D25" i="9"/>
  <c r="J28" i="9"/>
  <c r="E28" i="9"/>
  <c r="D8" i="9"/>
  <c r="F18" i="9"/>
  <c r="I22" i="9"/>
  <c r="D6" i="9"/>
  <c r="E10" i="9"/>
  <c r="C20" i="9"/>
  <c r="E9" i="9"/>
  <c r="I13" i="9"/>
  <c r="E11" i="9"/>
  <c r="J13" i="9"/>
  <c r="I6" i="9"/>
  <c r="D19" i="9"/>
  <c r="D9" i="9"/>
  <c r="I9" i="9"/>
  <c r="D13" i="9"/>
  <c r="C13" i="9"/>
  <c r="D5" i="9"/>
  <c r="J7" i="9"/>
  <c r="I11" i="9"/>
  <c r="J6" i="9"/>
  <c r="I24" i="9"/>
  <c r="E15" i="9"/>
  <c r="D18" i="9"/>
  <c r="D15" i="9"/>
  <c r="F29" i="9"/>
  <c r="F30" i="9"/>
  <c r="D29" i="9"/>
  <c r="I5" i="9"/>
  <c r="J24" i="9"/>
  <c r="J10" i="9"/>
  <c r="E19" i="9"/>
  <c r="J18" i="9"/>
  <c r="E5" i="9"/>
  <c r="E22" i="9"/>
  <c r="J25" i="9"/>
  <c r="F14" i="9"/>
  <c r="I7" i="9"/>
  <c r="C6" i="9"/>
  <c r="I18" i="9"/>
  <c r="I21" i="9"/>
  <c r="F16" i="9"/>
  <c r="C28" i="9"/>
  <c r="E23" i="9"/>
  <c r="C8" i="9"/>
  <c r="E13" i="9"/>
  <c r="E8" i="9"/>
  <c r="I26" i="9"/>
  <c r="F10" i="9"/>
  <c r="I4" i="9"/>
  <c r="J29" i="9"/>
  <c r="I28" i="9"/>
  <c r="I20" i="9"/>
  <c r="D10" i="9"/>
  <c r="D21" i="9"/>
  <c r="F9" i="9"/>
  <c r="C14" i="9"/>
  <c r="I10" i="9"/>
  <c r="E27" i="9"/>
  <c r="F5" i="9"/>
  <c r="I12" i="9"/>
  <c r="F13" i="9"/>
  <c r="F26" i="9"/>
  <c r="J21" i="9"/>
  <c r="F19" i="9"/>
  <c r="A20" i="3"/>
  <c r="C27" i="9"/>
  <c r="C26" i="9"/>
  <c r="F15" i="9"/>
  <c r="D33" i="9"/>
  <c r="E30" i="9"/>
  <c r="D22" i="9"/>
  <c r="E24" i="9"/>
  <c r="E6" i="9"/>
  <c r="F11" i="9"/>
  <c r="E12" i="9"/>
  <c r="I27" i="9"/>
  <c r="C22" i="9"/>
  <c r="J9" i="9"/>
  <c r="D23" i="9"/>
  <c r="J33" i="9"/>
  <c r="I14" i="9"/>
  <c r="C25" i="9"/>
  <c r="C30" i="9"/>
  <c r="E18" i="9"/>
  <c r="D26" i="9"/>
  <c r="F6" i="9"/>
  <c r="D28" i="9"/>
  <c r="J8" i="9"/>
  <c r="C21" i="9"/>
  <c r="I33" i="9"/>
  <c r="C18" i="9"/>
  <c r="J14" i="9"/>
  <c r="C10" i="9"/>
  <c r="E16" i="9"/>
  <c r="E26" i="9"/>
  <c r="E21" i="9"/>
  <c r="D27" i="9"/>
  <c r="I16" i="9"/>
  <c r="C9" i="9"/>
  <c r="A17" i="3"/>
  <c r="F4" i="9"/>
  <c r="I23" i="9"/>
  <c r="I19" i="9"/>
  <c r="F33" i="9"/>
  <c r="D31" i="9"/>
  <c r="D20" i="9"/>
  <c r="F25" i="9"/>
  <c r="J16" i="9"/>
  <c r="E4" i="9"/>
  <c r="J31" i="9"/>
  <c r="J5" i="9"/>
  <c r="J30" i="9"/>
  <c r="E25" i="9"/>
  <c r="F23" i="9"/>
  <c r="C15" i="9"/>
  <c r="C24" i="9"/>
  <c r="J11" i="9"/>
  <c r="C33" i="9"/>
  <c r="C29" i="9"/>
  <c r="C12" i="9"/>
  <c r="D7" i="9"/>
  <c r="G18" i="9" l="1"/>
  <c r="H25" i="9"/>
  <c r="G21" i="9"/>
  <c r="H29" i="9"/>
  <c r="G27" i="9"/>
  <c r="H28" i="9"/>
  <c r="H9" i="9"/>
  <c r="G29" i="9"/>
  <c r="H20" i="9"/>
  <c r="G31" i="9"/>
  <c r="G7" i="9"/>
  <c r="H30" i="9"/>
  <c r="H11" i="9"/>
  <c r="H10" i="9"/>
  <c r="H5" i="9"/>
  <c r="H14" i="9"/>
  <c r="H7" i="9"/>
  <c r="G6" i="9"/>
  <c r="G5" i="9"/>
  <c r="H4" i="9"/>
  <c r="G9" i="9"/>
  <c r="G28" i="9"/>
  <c r="G13" i="9"/>
  <c r="H27" i="9"/>
  <c r="H23" i="9"/>
  <c r="G23" i="9"/>
  <c r="G10" i="9"/>
  <c r="G8" i="9"/>
  <c r="G24" i="9"/>
  <c r="G33" i="9"/>
  <c r="H21" i="9"/>
  <c r="H19" i="9"/>
  <c r="H8" i="9"/>
  <c r="H6" i="9"/>
  <c r="G14" i="9"/>
  <c r="G16" i="9"/>
  <c r="G19" i="9"/>
  <c r="H12" i="9"/>
  <c r="H33" i="9"/>
  <c r="G4" i="9"/>
  <c r="G22" i="9"/>
  <c r="G30" i="9"/>
  <c r="G26" i="9"/>
  <c r="G11" i="9"/>
  <c r="H31" i="9"/>
  <c r="G25" i="9"/>
  <c r="H24" i="9"/>
  <c r="H13" i="9"/>
  <c r="H26" i="9"/>
  <c r="H18" i="9"/>
  <c r="G20" i="9"/>
  <c r="G15" i="9"/>
  <c r="H15" i="9"/>
  <c r="G12" i="9"/>
  <c r="H16" i="9"/>
  <c r="H22" i="9"/>
  <c r="O7" i="3"/>
  <c r="P7" i="3" s="1"/>
  <c r="O17" i="3"/>
  <c r="Q17" i="3" s="1"/>
  <c r="O19" i="3"/>
  <c r="P19" i="3" s="1"/>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P16" i="3" s="1"/>
  <c r="O21" i="3"/>
  <c r="O18" i="3"/>
  <c r="O13" i="3"/>
  <c r="Q13" i="3" s="1"/>
  <c r="O8" i="3"/>
  <c r="G15" i="6"/>
  <c r="Q7" i="3" l="1"/>
  <c r="Q26" i="3"/>
  <c r="P17" i="3"/>
  <c r="Q24" i="3"/>
  <c r="B3" i="6"/>
  <c r="Q15" i="3"/>
  <c r="P5" i="3"/>
  <c r="Q5" i="3"/>
  <c r="Q16" i="3"/>
  <c r="P8" i="3"/>
  <c r="P15" i="3"/>
  <c r="Q8" i="3"/>
  <c r="Q19" i="3"/>
  <c r="Q22" i="3"/>
  <c r="P12" i="3"/>
  <c r="Q6" i="3"/>
  <c r="Q21" i="3"/>
  <c r="P6" i="3"/>
  <c r="P21" i="3"/>
  <c r="Q11" i="3"/>
  <c r="Q12" i="3"/>
  <c r="P25" i="3"/>
  <c r="C24" i="6" s="1"/>
  <c r="B24" i="6"/>
  <c r="Q4" i="3"/>
  <c r="Q18" i="3"/>
  <c r="P9" i="3"/>
  <c r="P14" i="3"/>
  <c r="P4" i="3"/>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B10" i="6" l="1"/>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B22" i="6"/>
  <c r="D22" i="6"/>
  <c r="D23" i="6" l="1"/>
  <c r="C23" i="6"/>
  <c r="B23" i="6"/>
  <c r="C3" i="6"/>
  <c r="C10" i="6" s="1"/>
  <c r="D3" i="6"/>
  <c r="D10" i="6" s="1"/>
  <c r="D26" i="6" l="1"/>
  <c r="C2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E1" authorId="0" shapeId="0" xr:uid="{00000000-0006-0000-0100-000001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xr:uid="{00000000-0006-0000-0100-000002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xr:uid="{00000000-0006-0000-0100-000003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xr:uid="{00000000-0006-0000-0100-000004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xr:uid="{00000000-0006-0000-0100-000005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xr:uid="{00000000-0006-0000-0100-000006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xr:uid="{00000000-0006-0000-0100-000007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xr:uid="{00000000-0006-0000-0100-000008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xr:uid="{00000000-0006-0000-0100-000009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xr:uid="{00000000-0006-0000-0100-00000A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xr:uid="{00000000-0006-0000-0100-00000B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xr:uid="{00000000-0006-0000-0100-00000C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xr:uid="{00000000-0006-0000-0100-00000D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xr:uid="{00000000-0006-0000-0100-00000E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xr:uid="{00000000-0006-0000-0100-00000F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xr:uid="{00000000-0006-0000-0100-000010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P2" authorId="0" shapeId="0" xr:uid="{7565DCBA-7B34-47C8-BA76-6209EEE4257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M3" authorId="0" shapeId="0" xr:uid="{DE1EF137-33E4-4D06-B761-0DBC9493F954}">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782E10E1-F88D-4AFC-AC7B-DC73B43E1D51}">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5EF95A3A-9DE2-49E1-8F61-2E0825724D5D}">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200-000001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3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200-000004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5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6"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<sst xmlns="http://schemas.openxmlformats.org/spreadsheetml/2006/main" count="5941" uniqueCount="1861">
  <si>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</si>
  <si>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</si>
  <si>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</si>
  <si>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</si>
  <si>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</si>
  <si>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</si>
  <si>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</si>
  <si>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</si>
  <si>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</si>
  <si>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</si>
  <si>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</si>
  <si>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</si>
  <si>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</si>
  <si>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</si>
  <si>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</si>
  <si>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</si>
  <si>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</si>
  <si>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</si>
  <si>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</si>
  <si>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</si>
  <si>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</si>
  <si>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</si>
  <si>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</si>
  <si>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</si>
  <si>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</si>
  <si>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</si>
  <si>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</si>
  <si>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</si>
  <si>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</si>
  <si>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</si>
  <si>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</si>
  <si>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</si>
  <si>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</si>
  <si>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</si>
  <si>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</si>
  <si>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</si>
  <si>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</si>
  <si>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</si>
  <si>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</si>
  <si>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</si>
  <si>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</si>
  <si>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</si>
  <si>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</si>
  <si>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</si>
  <si>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</si>
  <si>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</si>
  <si>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</si>
  <si>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</si>
  <si>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</si>
  <si>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</si>
  <si>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</si>
  <si>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</si>
  <si>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</si>
  <si>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</si>
  <si>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</si>
  <si>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</si>
  <si>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</si>
  <si>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</si>
  <si>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</si>
  <si>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</si>
  <si>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</si>
  <si>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</si>
  <si>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</si>
  <si>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</si>
  <si>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</si>
  <si>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</si>
  <si>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</si>
  <si>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</si>
  <si>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</si>
  <si>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</si>
  <si>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</si>
  <si>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</si>
  <si>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</si>
  <si>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</si>
  <si>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</si>
  <si>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</si>
  <si>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</si>
  <si>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</si>
  <si>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</si>
  <si>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</si>
  <si>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</si>
  <si>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</si>
  <si>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</si>
  <si>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</si>
  <si>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</si>
  <si>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</si>
  <si>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</si>
  <si>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</si>
  <si>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</si>
  <si>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</si>
  <si>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</si>
  <si>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</si>
  <si>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</si>
  <si>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</si>
  <si>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</si>
  <si>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</si>
  <si>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</si>
  <si>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</si>
  <si>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</si>
  <si>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</si>
  <si>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</si>
  <si>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</si>
  <si>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</si>
  <si>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</si>
  <si>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</si>
  <si>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</si>
  <si>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</si>
  <si>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</si>
  <si>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</si>
  <si>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</si>
  <si>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</si>
  <si>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</si>
  <si>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</si>
  <si>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</si>
  <si>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</si>
  <si>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</si>
  <si>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</si>
  <si>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</si>
  <si>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</si>
  <si>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</si>
  <si>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</si>
  <si>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</si>
  <si>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</si>
  <si>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</si>
  <si>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</si>
  <si>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</si>
  <si>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</si>
  <si>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</si>
  <si>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</si>
  <si>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</si>
  <si>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</si>
  <si>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</si>
  <si>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</si>
  <si>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</si>
  <si>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</si>
  <si>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</si>
  <si>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</si>
  <si>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</si>
  <si>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</si>
  <si>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</si>
  <si>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</si>
  <si>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</si>
  <si>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</si>
  <si>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</si>
  <si>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</si>
  <si>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</si>
  <si>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</si>
  <si>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</si>
  <si>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</si>
  <si>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</si>
  <si>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</si>
  <si>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</si>
  <si>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</si>
  <si>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</si>
  <si>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</si>
  <si>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</si>
  <si>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</si>
  <si>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</si>
  <si>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</si>
  <si>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</si>
  <si>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</si>
  <si>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</si>
  <si>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</si>
  <si>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</si>
  <si>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</si>
  <si>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</si>
  <si>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</si>
  <si>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</si>
  <si>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</si>
  <si>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</si>
  <si>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</si>
  <si>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</si>
  <si>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</si>
  <si>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</si>
  <si>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</si>
  <si>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</si>
  <si>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</si>
  <si>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</si>
  <si>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</si>
  <si>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</si>
  <si>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</si>
  <si>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</si>
  <si>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</si>
  <si>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</si>
  <si>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</si>
  <si>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</si>
  <si>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</si>
  <si>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</si>
  <si>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</si>
  <si>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</si>
  <si>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</si>
  <si>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</si>
  <si>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</si>
  <si>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</si>
  <si>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</si>
  <si>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</si>
  <si>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</si>
  <si>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</si>
  <si>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</si>
  <si>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</si>
  <si>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</si>
  <si>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</si>
  <si>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</si>
  <si>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</si>
  <si>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</si>
  <si>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</si>
  <si>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</si>
  <si>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</si>
  <si>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</si>
  <si>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</si>
  <si>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</si>
  <si>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</si>
  <si>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</si>
  <si>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</si>
  <si>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</si>
  <si>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</si>
  <si>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</si>
  <si>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</si>
  <si>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</si>
  <si>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</si>
  <si>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</si>
  <si>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</si>
  <si>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</si>
  <si>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</si>
  <si>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</si>
  <si>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</si>
  <si>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</si>
  <si>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</si>
  <si>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</si>
  <si>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</si>
  <si>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</si>
  <si>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</si>
  <si>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</si>
  <si>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</si>
  <si>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</si>
  <si>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</si>
  <si>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</si>
  <si>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</si>
  <si>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</si>
  <si>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</si>
  <si>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</si>
  <si>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</si>
  <si>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</si>
  <si>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</si>
  <si>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</si>
  <si>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</si>
  <si>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</si>
  <si>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</si>
  <si>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</si>
  <si>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</si>
  <si>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</si>
  <si>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</si>
  <si>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</si>
  <si>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</si>
  <si>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</si>
  <si>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</si>
  <si>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</si>
  <si>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</si>
  <si>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</si>
  <si>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</si>
  <si>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</si>
  <si>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</si>
  <si>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</si>
  <si>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</si>
  <si>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</si>
  <si>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</si>
  <si>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</si>
  <si>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</si>
  <si>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</si>
  <si>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</si>
  <si>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</si>
  <si>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</si>
  <si>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</si>
  <si>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</si>
  <si>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</si>
  <si>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</si>
  <si>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</si>
  <si>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</si>
  <si>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</si>
  <si>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</si>
  <si>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</si>
  <si>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</si>
  <si>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</si>
  <si>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</si>
  <si>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</si>
  <si>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</si>
  <si>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</si>
  <si>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</si>
  <si>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</si>
  <si>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</si>
  <si>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</si>
  <si>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</si>
  <si>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</si>
  <si>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</si>
  <si>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</si>
  <si>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</si>
  <si>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</si>
  <si>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</si>
  <si>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</si>
  <si>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</si>
  <si>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</si>
  <si>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</si>
  <si>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</si>
  <si>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</si>
  <si>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</si>
  <si>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</si>
  <si>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</si>
  <si>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</si>
  <si>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</si>
  <si>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</si>
  <si>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</si>
  <si>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</si>
  <si>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</si>
  <si>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</si>
  <si>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</si>
  <si>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</si>
  <si>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</si>
  <si>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</si>
  <si>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</si>
  <si>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</si>
  <si>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</si>
  <si>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</si>
  <si>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</si>
  <si>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</si>
  <si>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</si>
  <si>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</si>
  <si>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</si>
  <si>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</si>
  <si>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</si>
  <si>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</si>
  <si>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</si>
  <si>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</si>
  <si>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</si>
  <si>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</si>
  <si>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</si>
  <si>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</si>
  <si>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</si>
  <si>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</si>
  <si>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</si>
  <si>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</si>
  <si>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</si>
  <si>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</si>
  <si>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</si>
  <si>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</si>
  <si>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</si>
  <si>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</si>
  <si>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</si>
  <si>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</si>
  <si>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</si>
  <si>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</si>
  <si>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</si>
  <si>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</si>
  <si>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</si>
  <si>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</si>
  <si>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</si>
  <si>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</si>
  <si>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</si>
  <si>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</si>
  <si>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</si>
  <si>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</si>
  <si>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</si>
  <si>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</si>
  <si>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</si>
  <si>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</si>
  <si>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</si>
  <si>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</si>
  <si>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</si>
  <si>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</si>
  <si>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</si>
  <si>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</si>
  <si>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</si>
  <si>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</si>
  <si>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</si>
  <si>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</si>
  <si>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</si>
  <si>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</si>
  <si>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</si>
  <si>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</si>
  <si>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</si>
  <si>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</si>
  <si>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</si>
  <si>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</si>
  <si>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</si>
  <si>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</si>
  <si>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</si>
  <si>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</si>
  <si>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</si>
  <si>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</si>
  <si>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</si>
  <si>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</si>
  <si>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</si>
  <si>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</si>
  <si>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</si>
  <si>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</si>
  <si>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</si>
  <si>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</si>
  <si>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</si>
  <si>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</si>
  <si>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</si>
  <si>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</si>
  <si>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</si>
  <si>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</si>
  <si>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</si>
  <si>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</si>
  <si>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</si>
  <si>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</si>
  <si>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</si>
  <si>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</si>
  <si>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</si>
  <si>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</si>
  <si>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</si>
  <si>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</si>
  <si>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</si>
  <si>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</si>
  <si>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</si>
  <si>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</si>
  <si>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</si>
  <si>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</si>
  <si>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</si>
  <si>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</si>
  <si>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</si>
  <si>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</si>
  <si>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</si>
  <si>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</si>
  <si>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</si>
  <si>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</si>
  <si>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</si>
  <si>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</si>
  <si>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</si>
  <si>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</si>
  <si>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</si>
  <si>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</si>
  <si>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</si>
  <si>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</si>
  <si>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</si>
  <si>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</si>
  <si>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</si>
  <si>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</si>
  <si>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</si>
  <si>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</si>
  <si>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</si>
  <si>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</si>
  <si>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</si>
  <si>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</si>
  <si>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</si>
  <si>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</si>
  <si>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</si>
  <si>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</si>
  <si>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</si>
  <si>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</si>
  <si>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</si>
  <si>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</si>
  <si>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</si>
  <si>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</si>
  <si>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</si>
  <si>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</si>
  <si>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</si>
  <si>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</si>
  <si>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</si>
  <si>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</si>
  <si>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</si>
  <si>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</si>
  <si>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</si>
  <si>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</si>
  <si>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</si>
  <si>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</si>
  <si>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</si>
  <si>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</si>
  <si>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</si>
  <si>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</si>
  <si>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</si>
  <si>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</si>
  <si>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</si>
  <si>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</si>
  <si>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</si>
  <si>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</si>
  <si>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</si>
  <si>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</si>
  <si>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</si>
  <si>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</si>
  <si>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</si>
  <si>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</si>
  <si>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</si>
  <si>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</si>
  <si>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</si>
  <si>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</si>
  <si>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</si>
  <si>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</si>
  <si>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</si>
  <si>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</si>
  <si>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</si>
  <si>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</si>
  <si>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</si>
  <si>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</si>
  <si>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</si>
  <si>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</si>
  <si>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</si>
  <si>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</si>
  <si>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</si>
  <si>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</si>
  <si>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</si>
  <si>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</si>
  <si>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</si>
  <si>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</si>
  <si>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</si>
  <si>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</si>
  <si>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</si>
  <si>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</si>
  <si>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</si>
  <si>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</si>
  <si>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</si>
  <si>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</si>
  <si>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</si>
  <si>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</si>
  <si>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</si>
  <si>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</si>
  <si>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</si>
  <si>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</si>
  <si>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</si>
  <si>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</si>
  <si>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</si>
  <si>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</si>
  <si>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</si>
  <si>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</si>
  <si>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</si>
  <si>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</si>
  <si>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</si>
  <si>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</si>
  <si>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</si>
  <si>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</si>
  <si>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</si>
  <si>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</si>
  <si>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</si>
  <si>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</si>
  <si>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</si>
  <si>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</si>
  <si>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</si>
  <si>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</si>
  <si>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</si>
  <si>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</si>
  <si>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</si>
  <si>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</si>
  <si>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</si>
  <si>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</si>
  <si>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</si>
  <si>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</si>
  <si>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</si>
  <si>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</si>
  <si>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</si>
  <si>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</si>
  <si>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</si>
  <si>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</si>
  <si>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</si>
  <si>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</si>
  <si>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</si>
  <si>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</si>
  <si>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</si>
  <si>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</si>
  <si>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</si>
  <si>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</si>
  <si>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</si>
  <si>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</si>
  <si>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</si>
  <si>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</si>
  <si>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</si>
  <si>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</si>
  <si>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</si>
  <si>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</si>
  <si>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</si>
  <si>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</si>
  <si>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</si>
  <si>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</si>
  <si>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</si>
  <si>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</si>
  <si>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</si>
  <si>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</si>
  <si>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</si>
  <si>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</si>
  <si>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</si>
  <si>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</si>
  <si>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</si>
  <si>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</si>
  <si>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</si>
  <si>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</si>
  <si>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</si>
  <si>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</si>
  <si>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</si>
  <si>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</si>
  <si>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</si>
  <si>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</si>
  <si>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</si>
  <si>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</si>
  <si>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</si>
  <si>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</si>
  <si>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</si>
  <si>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</si>
  <si>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</si>
  <si>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</si>
  <si>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</si>
  <si>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</si>
  <si>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</si>
  <si>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</si>
  <si>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</si>
  <si>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</si>
  <si>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</si>
  <si>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</si>
  <si>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</si>
  <si>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</si>
  <si>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</si>
  <si>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</si>
  <si>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</si>
  <si>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</si>
  <si>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</si>
  <si>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</si>
  <si>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</si>
  <si>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</si>
  <si>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</si>
  <si>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</si>
  <si>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</si>
  <si>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</si>
  <si>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</si>
  <si>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</si>
  <si>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</si>
  <si>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</si>
  <si>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</si>
  <si>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</si>
  <si>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</si>
  <si>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</si>
  <si>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</si>
  <si>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</si>
  <si>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</si>
  <si>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</si>
  <si>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</si>
  <si>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</si>
  <si>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</si>
  <si>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</si>
  <si>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</si>
  <si>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</si>
  <si>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</si>
  <si>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</si>
  <si>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</si>
  <si>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</si>
  <si>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</si>
  <si>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</si>
  <si>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</si>
  <si>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</si>
  <si>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</si>
  <si>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</si>
  <si>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</si>
  <si>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</si>
  <si>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</si>
  <si>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</si>
  <si>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</si>
  <si>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</si>
  <si>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</si>
  <si>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</si>
  <si>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</si>
  <si>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</si>
  <si>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</si>
  <si>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</si>
  <si>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</si>
  <si>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</si>
  <si>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</si>
  <si>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</si>
  <si>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</si>
  <si>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</si>
  <si>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</si>
  <si>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</si>
  <si>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</si>
  <si>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</si>
  <si>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</si>
  <si>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</si>
  <si>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</si>
  <si>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</si>
  <si>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</si>
  <si>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</si>
  <si>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</si>
  <si>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</si>
  <si>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</si>
  <si>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</si>
  <si>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</si>
  <si>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</si>
  <si>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</si>
  <si>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</si>
  <si>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</si>
  <si>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</si>
  <si>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</si>
  <si>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</si>
  <si>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</si>
  <si>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</si>
  <si>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</si>
  <si>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</si>
  <si>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</si>
  <si>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</si>
  <si>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</si>
  <si>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</si>
  <si>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</si>
  <si>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</si>
  <si>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</si>
  <si>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</si>
  <si>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</si>
  <si>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</si>
  <si>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</si>
  <si>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</si>
  <si>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</si>
  <si>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</si>
  <si>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</si>
  <si>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</si>
  <si>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</si>
  <si>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</si>
  <si>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</si>
  <si>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</si>
  <si>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</si>
  <si>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</si>
  <si>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</si>
  <si>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</si>
  <si>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</si>
  <si>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</si>
  <si>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</si>
  <si>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</si>
  <si>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</si>
  <si>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</si>
  <si>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</si>
  <si>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</si>
  <si>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</si>
  <si>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</si>
  <si>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</si>
  <si>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</si>
  <si>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</si>
  <si>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</si>
  <si>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</si>
  <si>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</si>
  <si>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</si>
  <si>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</si>
  <si>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</si>
  <si>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</si>
  <si>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</si>
  <si>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</si>
  <si>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</si>
  <si>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</si>
  <si>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</si>
  <si>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</si>
  <si>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</si>
  <si>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</si>
  <si>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</si>
  <si>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</si>
  <si>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</si>
  <si>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</si>
  <si>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</si>
  <si>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</si>
  <si>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</si>
  <si>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</si>
  <si>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</si>
  <si>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</si>
  <si>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</si>
  <si>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</si>
  <si>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</si>
  <si>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</si>
  <si>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</si>
  <si>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</si>
  <si>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</si>
  <si>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</si>
  <si>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</si>
  <si>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</si>
  <si>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</si>
  <si>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</si>
  <si>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</si>
  <si>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</si>
  <si>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</si>
  <si>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</si>
  <si>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</si>
  <si>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</si>
  <si>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</si>
  <si>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</si>
  <si>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</si>
  <si>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</si>
  <si>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</si>
  <si>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</si>
  <si>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</si>
  <si>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</si>
  <si>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</si>
  <si>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</si>
  <si>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</si>
  <si>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</si>
  <si>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</si>
  <si>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</si>
  <si>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</si>
  <si>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</si>
  <si>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</si>
  <si>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</si>
  <si>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</si>
  <si>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</si>
  <si>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</si>
  <si>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</si>
  <si>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</si>
  <si>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</si>
  <si>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</si>
  <si>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</si>
  <si>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</si>
  <si>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</si>
  <si>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</si>
  <si>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</si>
  <si>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</si>
  <si>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</si>
  <si>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</si>
  <si>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</si>
  <si>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</si>
  <si>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</si>
  <si>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</si>
  <si>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</si>
  <si>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</si>
  <si>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</si>
  <si>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</si>
  <si>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</si>
  <si>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</si>
  <si>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</si>
  <si>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</si>
  <si>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</si>
  <si>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</si>
  <si>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</si>
  <si>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</si>
  <si>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</si>
  <si>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</si>
  <si>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</si>
  <si>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</si>
  <si>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</si>
  <si>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</si>
  <si>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</si>
  <si>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</si>
  <si>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</si>
  <si>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</si>
  <si>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</si>
  <si>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</si>
  <si>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</si>
  <si>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</si>
  <si>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</si>
  <si>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</si>
  <si>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</si>
  <si>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</si>
  <si>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</si>
  <si>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</si>
  <si>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</si>
  <si>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</si>
  <si>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</si>
  <si>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</si>
  <si>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</si>
  <si>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</si>
  <si>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</si>
  <si>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</si>
  <si>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</si>
  <si>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</si>
  <si>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</si>
  <si>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</si>
  <si>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</si>
  <si>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</si>
  <si>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</si>
  <si>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</si>
  <si>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</si>
  <si>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</si>
  <si>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</si>
  <si>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</si>
  <si>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</si>
  <si>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</si>
  <si>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</si>
  <si>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</si>
  <si>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</si>
  <si>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</si>
  <si>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</si>
  <si>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</si>
  <si>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</si>
  <si>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</si>
  <si>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</si>
  <si>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</si>
  <si>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</si>
  <si>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</si>
  <si>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</si>
  <si>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</si>
  <si>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</si>
  <si>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</si>
  <si>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</si>
  <si>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</si>
  <si>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</si>
  <si>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</si>
  <si>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</si>
  <si>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</si>
  <si>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</si>
  <si>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</si>
  <si>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</si>
  <si>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</si>
  <si>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</si>
  <si>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</si>
  <si>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</si>
  <si>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</si>
  <si>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</si>
  <si>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</si>
  <si>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</si>
  <si>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</si>
  <si>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</si>
  <si>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</si>
  <si>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</si>
  <si>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</si>
  <si>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</si>
  <si>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</si>
  <si>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</si>
  <si>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</si>
  <si>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</si>
  <si>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</si>
  <si>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</si>
  <si>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</si>
  <si>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</si>
  <si>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</si>
  <si>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</si>
  <si>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</si>
  <si>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</si>
  <si>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</si>
  <si>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</si>
  <si>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</si>
  <si>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</si>
  <si>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</si>
  <si>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</si>
  <si>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</si>
  <si>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</si>
  <si>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</si>
  <si>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</si>
  <si>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</si>
  <si>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</si>
  <si>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</si>
  <si>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</si>
  <si>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</si>
  <si>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</si>
  <si>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</si>
  <si>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</si>
  <si>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</si>
  <si>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</si>
  <si>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</si>
  <si>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</si>
  <si>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</si>
  <si>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</si>
  <si>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</si>
  <si>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</si>
  <si>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</si>
  <si>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</si>
  <si>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</si>
  <si>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</si>
  <si>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</si>
  <si>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</si>
  <si>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</si>
  <si>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</si>
  <si>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</si>
  <si>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</si>
  <si>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</si>
  <si>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</si>
  <si>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</si>
  <si>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</si>
  <si>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</si>
  <si>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</si>
  <si>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</si>
  <si>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</si>
  <si>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</si>
  <si>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</si>
  <si>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</si>
  <si>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</si>
  <si>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</si>
  <si>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</si>
  <si>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</si>
  <si>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</si>
  <si>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</si>
  <si>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</si>
  <si>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</si>
  <si>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</si>
  <si>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</si>
  <si>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</si>
  <si>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</si>
  <si>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</si>
  <si>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</si>
  <si>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</si>
  <si>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</si>
  <si>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</si>
  <si>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</si>
  <si>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</si>
  <si>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</si>
  <si>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</si>
  <si>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</si>
  <si>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</si>
  <si>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</si>
  <si>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</si>
  <si>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</si>
  <si>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</si>
  <si>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</si>
  <si>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</si>
  <si>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</si>
  <si>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</si>
  <si>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</si>
  <si>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</si>
  <si>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</si>
  <si>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</si>
  <si>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</si>
  <si>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</si>
  <si>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</si>
  <si>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</si>
  <si>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</si>
  <si>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</si>
  <si>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</si>
  <si>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</si>
  <si>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</si>
  <si>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</si>
  <si>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</si>
  <si>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</si>
  <si>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</si>
  <si>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</si>
  <si>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</si>
  <si>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</si>
  <si>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</si>
  <si>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</si>
  <si>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</si>
  <si>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</si>
  <si>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</si>
  <si>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</si>
  <si>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</si>
  <si>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</si>
  <si>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</si>
  <si>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</si>
  <si>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</si>
  <si>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</si>
  <si>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</si>
  <si>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</si>
  <si>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</si>
  <si>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</si>
  <si>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</si>
  <si>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</si>
  <si>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</si>
  <si>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</si>
  <si>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</si>
  <si>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</si>
  <si>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</si>
  <si>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</si>
  <si>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</si>
  <si>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</si>
  <si>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</si>
  <si>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</si>
  <si>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</si>
  <si>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</si>
  <si>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</si>
  <si>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</si>
  <si>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</si>
  <si>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</si>
  <si>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</si>
  <si>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</si>
  <si>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</si>
  <si>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</si>
  <si>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</si>
  <si>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</si>
  <si>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</si>
  <si>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</si>
  <si>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</si>
  <si>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</si>
  <si>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</si>
  <si>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</si>
  <si>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</si>
  <si>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</si>
  <si>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</si>
  <si>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</si>
  <si>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</si>
  <si>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</si>
  <si>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</si>
  <si>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</si>
  <si>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</si>
  <si>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</si>
  <si>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</si>
  <si>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</si>
  <si>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</si>
  <si>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</si>
  <si>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</si>
  <si>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</si>
  <si>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</si>
  <si>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</si>
  <si>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</si>
  <si>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</si>
  <si>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</si>
  <si>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</si>
  <si>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</si>
  <si>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</si>
  <si>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</si>
  <si>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</si>
  <si>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</si>
  <si>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</si>
  <si>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</si>
  <si>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</si>
  <si>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</si>
  <si>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</si>
  <si>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</si>
  <si>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</si>
  <si>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</si>
  <si>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</si>
  <si>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</si>
  <si>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</si>
  <si>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</si>
  <si>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</si>
  <si>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</si>
  <si>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</si>
  <si>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</si>
  <si>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</si>
  <si>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</si>
  <si>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</si>
  <si>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</si>
  <si>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</si>
  <si>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</si>
  <si>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</si>
  <si>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</si>
  <si>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</si>
  <si>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</si>
  <si>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</si>
  <si>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</si>
  <si>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</si>
  <si>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</si>
  <si>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</si>
  <si>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</si>
  <si>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</si>
  <si>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</si>
  <si>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</si>
  <si>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</si>
  <si>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</si>
  <si>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</si>
  <si>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</si>
  <si>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</si>
  <si>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</si>
  <si>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</si>
  <si>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</si>
  <si>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</si>
  <si>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</si>
  <si>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</si>
  <si>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</si>
  <si>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</si>
  <si>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</si>
  <si>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</si>
  <si>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</si>
  <si>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</si>
  <si>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</si>
  <si>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</si>
  <si>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</si>
  <si>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</si>
  <si>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</si>
  <si>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</si>
  <si>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</si>
  <si>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</si>
  <si>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</si>
  <si>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</si>
  <si>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</si>
  <si>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</si>
  <si>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</si>
  <si>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</si>
  <si>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</si>
  <si>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</si>
  <si>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</si>
  <si>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</si>
  <si>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</si>
  <si>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</si>
  <si>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</si>
  <si>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</si>
  <si>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</si>
  <si>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</si>
  <si>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</si>
  <si>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</si>
  <si>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</si>
  <si>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</si>
  <si>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</si>
  <si>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</si>
  <si>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</si>
  <si>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</si>
  <si>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</si>
  <si>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</si>
  <si>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</si>
  <si>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</si>
  <si>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</si>
  <si>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</si>
  <si>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</si>
  <si>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</si>
  <si>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</si>
  <si>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</si>
  <si>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</si>
  <si>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</si>
  <si>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</si>
  <si>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</si>
  <si>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</si>
  <si>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</si>
  <si>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</si>
  <si>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</si>
  <si>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</si>
  <si>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</si>
  <si>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</si>
  <si>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</si>
  <si>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</si>
  <si>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</si>
  <si>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</si>
  <si>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</si>
  <si>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</si>
  <si>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</si>
  <si>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</si>
  <si>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</si>
  <si>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</si>
  <si>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</si>
  <si>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</si>
  <si>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</si>
  <si>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</si>
  <si>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</si>
  <si>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</si>
  <si>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</si>
  <si>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</si>
  <si>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</si>
  <si>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</si>
  <si>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</si>
  <si>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</si>
  <si>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</si>
  <si>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</si>
  <si>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</si>
  <si>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</si>
  <si>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</si>
  <si>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</si>
  <si>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</si>
  <si>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</si>
  <si>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</si>
  <si>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</si>
  <si>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</si>
  <si>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</si>
  <si>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</si>
  <si>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</si>
  <si>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</si>
  <si>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</si>
  <si>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</si>
  <si>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</si>
  <si>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</si>
  <si>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</si>
  <si>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</si>
  <si>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</si>
  <si>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</si>
  <si>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</si>
  <si>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</si>
  <si>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</si>
  <si>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</si>
  <si>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</si>
  <si>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</si>
  <si>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</si>
  <si>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</si>
  <si>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</si>
  <si>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</si>
  <si>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</si>
  <si>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</si>
  <si>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</si>
  <si>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</si>
  <si>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</si>
  <si>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</si>
  <si>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</si>
  <si>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</si>
  <si>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</si>
  <si>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</si>
  <si>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</si>
  <si>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</si>
  <si>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</si>
  <si>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</si>
  <si>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</si>
  <si>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</si>
  <si>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</si>
  <si>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</si>
  <si>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</si>
  <si>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</si>
  <si>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</si>
  <si>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</si>
  <si>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</si>
  <si>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</si>
  <si>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</si>
  <si>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</si>
  <si>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</si>
  <si>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</si>
  <si>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</si>
  <si>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</si>
  <si>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</si>
  <si>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</si>
  <si>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</si>
  <si>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</si>
  <si>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</si>
  <si>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</si>
  <si>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</si>
  <si>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</si>
  <si>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</si>
  <si>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</si>
  <si>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</si>
  <si>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</si>
  <si>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</si>
  <si>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</si>
  <si>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</si>
  <si>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</si>
  <si>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</si>
  <si>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</si>
  <si>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</si>
  <si>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</si>
  <si>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</si>
  <si>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</si>
  <si>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</si>
  <si>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</si>
  <si>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</si>
  <si>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</si>
  <si>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</si>
  <si>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</si>
  <si>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</si>
  <si>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</si>
  <si>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</si>
  <si>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</si>
  <si>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</si>
  <si>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</si>
  <si>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</si>
  <si>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</si>
  <si>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</si>
  <si>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</si>
  <si>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</si>
  <si>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</si>
  <si>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</si>
  <si>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</si>
  <si>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</si>
  <si>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</si>
  <si>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</si>
  <si>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</si>
  <si>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</si>
  <si>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</si>
  <si>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</si>
  <si>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</si>
  <si>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</si>
  <si>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</si>
  <si>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</si>
  <si>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</si>
  <si>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</si>
  <si>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</si>
  <si>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</si>
  <si>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</si>
  <si>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</si>
  <si>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</si>
  <si>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</si>
  <si>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</si>
  <si>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</si>
  <si>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</si>
  <si>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</si>
  <si>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</si>
  <si>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</si>
  <si>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</si>
  <si>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</si>
  <si>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</si>
  <si>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</si>
  <si>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</si>
  <si>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</si>
  <si>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</si>
  <si>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</si>
  <si>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</si>
  <si>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</si>
  <si>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</si>
  <si>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</si>
  <si>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</si>
  <si>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</si>
  <si>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</si>
  <si>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</si>
  <si>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</si>
  <si>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</si>
  <si>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</si>
  <si>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</si>
  <si>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</si>
  <si>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</si>
  <si>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</si>
  <si>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</si>
  <si>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</si>
  <si>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</si>
  <si>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</si>
  <si>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</si>
  <si>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</si>
  <si>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</si>
  <si>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</si>
  <si>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</si>
  <si>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</si>
  <si>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</si>
  <si>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</si>
  <si>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</si>
  <si>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</si>
  <si>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</si>
  <si>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</si>
  <si>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</si>
  <si>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</si>
  <si>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</si>
  <si>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</si>
  <si>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</si>
  <si>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</si>
  <si>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</si>
  <si>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</si>
  <si>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</si>
  <si>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</si>
  <si>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</si>
  <si>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</si>
  <si>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</si>
  <si>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</si>
  <si>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</si>
  <si>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</si>
  <si>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</si>
  <si>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</si>
  <si>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</si>
  <si>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</si>
  <si>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</si>
  <si>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</si>
  <si>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</si>
  <si>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</si>
  <si>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</si>
  <si>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</si>
  <si>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</si>
  <si>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</si>
  <si>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</si>
  <si>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</si>
  <si>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</si>
  <si>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</si>
  <si>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</si>
  <si>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</si>
  <si>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</si>
  <si>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</si>
  <si>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</si>
  <si>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</si>
  <si>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</si>
  <si>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</si>
  <si>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</si>
  <si>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</si>
  <si>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</si>
  <si>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</si>
  <si>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</si>
  <si>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</si>
  <si>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</si>
  <si>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</si>
  <si>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</si>
  <si>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</si>
  <si>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</si>
  <si>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</si>
  <si>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</si>
  <si>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</si>
  <si>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</si>
  <si>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</si>
  <si>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</si>
  <si>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</si>
  <si>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</si>
  <si>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</si>
  <si>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</si>
  <si>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</si>
  <si>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</si>
  <si>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</si>
  <si>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</si>
  <si>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</si>
  <si>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</si>
  <si>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</si>
  <si>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</si>
  <si>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</si>
  <si>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</si>
  <si>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</si>
  <si>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</si>
  <si>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</si>
  <si>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</si>
  <si>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</si>
  <si>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</si>
  <si>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</si>
  <si>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</si>
  <si>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</si>
  <si>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</si>
  <si>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</si>
  <si>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</si>
  <si>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</si>
  <si>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</si>
  <si>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</si>
  <si>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</si>
  <si>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</si>
  <si>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</si>
  <si>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</si>
  <si>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</si>
  <si>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</si>
  <si>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</si>
  <si>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</si>
  <si>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</si>
  <si>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</si>
  <si>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</si>
  <si>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</si>
  <si>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</si>
  <si>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</si>
  <si>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</si>
  <si>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</si>
  <si>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</si>
  <si>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</si>
  <si>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</si>
  <si>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</si>
  <si>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</si>
  <si>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</si>
  <si>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</si>
  <si>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</si>
  <si>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</si>
  <si>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</si>
  <si>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</si>
  <si>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</si>
  <si>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</si>
  <si>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</si>
  <si>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</si>
  <si>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</si>
  <si>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</si>
  <si>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</si>
  <si>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</si>
  <si>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</si>
  <si>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</si>
  <si>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</si>
  <si>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</si>
  <si>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</si>
  <si>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</si>
  <si>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</si>
  <si>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</si>
  <si>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</si>
  <si>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</si>
  <si>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</si>
  <si>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</si>
  <si>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</si>
  <si>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</si>
  <si>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</si>
  <si>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</si>
  <si>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</si>
  <si>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</si>
  <si>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</si>
  <si>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</si>
  <si>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</si>
  <si>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</si>
  <si>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</si>
  <si>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</si>
  <si>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</si>
  <si>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</si>
  <si>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</si>
  <si>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</si>
  <si>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</si>
  <si>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</si>
  <si>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</si>
  <si>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</si>
  <si>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</si>
  <si>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</si>
  <si>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</si>
  <si>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</si>
  <si>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</si>
  <si>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</si>
  <si>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</si>
  <si>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</si>
  <si>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</si>
  <si>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</si>
  <si>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</si>
  <si>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</si>
  <si>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</si>
  <si>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</si>
  <si>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</si>
  <si>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</si>
  <si>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</si>
  <si>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</si>
  <si>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</si>
  <si>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</si>
  <si>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</si>
  <si>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</si>
  <si>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</si>
  <si>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</si>
  <si>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</si>
  <si>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</si>
  <si>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</si>
  <si>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</si>
  <si>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</si>
  <si>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</si>
  <si>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</si>
  <si>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</si>
  <si>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</si>
  <si>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</si>
  <si>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</si>
  <si>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</si>
  <si>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</si>
  <si>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</si>
  <si>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</si>
  <si>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</si>
  <si>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</si>
  <si>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</si>
  <si>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</si>
  <si>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</si>
  <si>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</si>
  <si>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</si>
  <si>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</si>
  <si>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</si>
  <si>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</si>
  <si>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</si>
  <si>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</si>
  <si>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</si>
  <si>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</si>
  <si>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</si>
  <si>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</si>
  <si>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</si>
  <si>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</si>
  <si>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</si>
  <si>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</si>
  <si>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</si>
  <si>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</si>
  <si>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</si>
  <si>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</si>
  <si>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</si>
  <si>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</si>
  <si>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</si>
  <si>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</si>
  <si>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</si>
  <si>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</si>
  <si>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</si>
  <si>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</si>
  <si>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</si>
  <si>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</si>
  <si>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</si>
  <si>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</si>
  <si>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</si>
  <si>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</si>
  <si>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</si>
  <si>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</si>
  <si>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</si>
  <si>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</si>
  <si>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</si>
  <si>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</si>
  <si>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</si>
  <si>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</si>
  <si>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</si>
  <si>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</si>
  <si>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</si>
  <si>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</si>
  <si>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</si>
  <si>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</si>
  <si>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</si>
  <si>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</si>
  <si>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</si>
  <si>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</si>
  <si>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</si>
  <si>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</si>
  <si>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</si>
  <si>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</si>
  <si>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</si>
  <si>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</si>
  <si>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</si>
  <si>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</si>
  <si>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</si>
  <si>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</si>
  <si>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</si>
  <si>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</si>
  <si>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</si>
  <si>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</si>
  <si>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</si>
  <si>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</si>
  <si>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</si>
  <si>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</si>
  <si>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</si>
  <si>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</si>
  <si>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</si>
  <si>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</si>
  <si>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</si>
  <si>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</si>
  <si>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</si>
  <si>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</si>
  <si>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</si>
  <si>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</si>
  <si>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</si>
  <si>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</si>
  <si>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</si>
  <si>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</si>
  <si>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</si>
  <si>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</si>
  <si>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</si>
  <si>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</si>
  <si>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</si>
  <si>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</si>
  <si>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</si>
  <si>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</si>
  <si>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</si>
  <si>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</si>
  <si>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</si>
  <si>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</si>
  <si>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</si>
  <si>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</si>
  <si>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</si>
  <si>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</si>
  <si>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</si>
  <si>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</si>
  <si>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</si>
  <si>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</si>
  <si>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</si>
  <si>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</si>
  <si>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</si>
  <si>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</si>
  <si>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</si>
  <si>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</si>
  <si>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</si>
  <si>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</si>
  <si>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</si>
  <si>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</si>
  <si>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</si>
  <si>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</si>
  <si>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</si>
  <si>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</si>
  <si>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</si>
  <si>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</si>
  <si>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</si>
  <si>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</si>
  <si>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</si>
  <si>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</si>
  <si>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</si>
  <si>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</si>
  <si>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</si>
  <si>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</si>
  <si>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</si>
  <si>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</si>
  <si>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</si>
  <si>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</si>
  <si>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</si>
  <si>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</si>
  <si>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</si>
  <si>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</si>
  <si>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</si>
  <si>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</si>
  <si>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</si>
  <si>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</si>
  <si>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</si>
  <si>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</si>
  <si>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</si>
  <si>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</si>
  <si>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</si>
  <si>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</si>
  <si>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</si>
  <si>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</si>
  <si>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</si>
  <si>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</si>
  <si>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</si>
  <si>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</si>
  <si>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</si>
  <si>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</si>
  <si>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</si>
  <si>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</si>
  <si>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</si>
  <si>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</si>
  <si>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</si>
  <si>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</si>
  <si>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</si>
  <si>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</si>
  <si>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</si>
  <si>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</si>
  <si>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</si>
  <si>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</si>
  <si>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</si>
  <si>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</si>
  <si>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</si>
  <si>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</si>
  <si>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</si>
  <si>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</si>
  <si>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</si>
  <si>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</si>
  <si>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</si>
  <si>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</si>
  <si>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</si>
  <si>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</si>
  <si>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</si>
  <si>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</si>
  <si>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</si>
  <si>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</si>
  <si>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</si>
  <si>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</si>
  <si>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</si>
  <si>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</si>
  <si>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</si>
  <si>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</si>
  <si>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</si>
  <si>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</si>
  <si>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</si>
  <si>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</si>
  <si>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</si>
  <si>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</si>
  <si>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</si>
  <si>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</si>
  <si>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</si>
  <si>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</si>
  <si>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</si>
  <si>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</si>
  <si>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</si>
  <si>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</si>
  <si>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</si>
  <si>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</si>
  <si>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</si>
  <si>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</si>
  <si>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</si>
  <si>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</si>
  <si>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</si>
  <si>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</si>
  <si>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</si>
  <si>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</si>
  <si>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</si>
  <si>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</si>
  <si>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</si>
  <si>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</si>
  <si>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</si>
  <si>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</si>
  <si>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</si>
  <si>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</si>
  <si>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</si>
  <si>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</si>
  <si>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</si>
  <si>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</si>
  <si>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</si>
  <si>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</si>
  <si>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</si>
  <si>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</si>
  <si>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</si>
  <si>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</si>
  <si>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</si>
  <si>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</si>
  <si>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</si>
  <si>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</si>
  <si>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</si>
  <si>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</si>
  <si>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</si>
  <si>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</si>
  <si>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</si>
  <si>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</si>
  <si>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</si>
  <si>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</si>
  <si>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</si>
  <si>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</si>
  <si>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</si>
  <si>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</si>
  <si>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</si>
  <si>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</si>
  <si>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</si>
  <si>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</si>
  <si>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</si>
  <si>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</si>
  <si>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</si>
  <si>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</si>
  <si>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</si>
  <si>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</si>
  <si>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</si>
  <si>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</si>
  <si>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</si>
  <si>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</si>
  <si>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</si>
  <si>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</si>
  <si>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</si>
  <si>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</si>
  <si>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</si>
  <si>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</si>
  <si>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</si>
  <si>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</si>
  <si>
    <t>あ務部</t>
    <phoneticPr fontId="6"/>
  </si>
  <si>
    <t>あ総務</t>
  </si>
  <si>
    <t>あ総務</t>
    <phoneticPr fontId="6"/>
  </si>
  <si>
    <t>あ法務</t>
  </si>
  <si>
    <t>あ法務</t>
    <phoneticPr fontId="6"/>
  </si>
  <si>
    <t>あ啓発</t>
  </si>
  <si>
    <t>あ啓発</t>
    <phoneticPr fontId="6"/>
  </si>
  <si>
    <t>あ倫理</t>
  </si>
  <si>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</si>
  <si>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</si>
  <si>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</si>
  <si>
    <t>仕向地集計＿トップ</t>
    <rPh sb="0" eb="3">
      <t>シムケチ</t>
    </rPh>
    <phoneticPr fontId="6"/>
  </si>
  <si>
    <t>仕向地集計＿トップ</t>
    <rPh sb="0" eb="3">
      <t>シムケチ</t>
    </rPh>
    <rPh sb="3" eb="5">
      <t>シュウケイ</t>
    </rPh>
    <phoneticPr fontId="6"/>
  </si>
  <si>
    <t>（千円）</t>
    <rPh sb="1" eb="3">
      <t>センエン</t>
    </rPh>
    <phoneticPr fontId="6"/>
  </si>
  <si>
    <t>包括許可(貨物)</t>
    <rPh sb="0" eb="2">
      <t>ホウカツ</t>
    </rPh>
    <rPh sb="2" eb="4">
      <t>キョカ</t>
    </rPh>
    <rPh sb="5" eb="7">
      <t>カモツ</t>
    </rPh>
    <phoneticPr fontId="6"/>
  </si>
  <si>
    <t>包括許可(役務)</t>
    <rPh sb="0" eb="2">
      <t>ホウカツ</t>
    </rPh>
    <rPh sb="2" eb="4">
      <t>キョカ</t>
    </rPh>
    <rPh sb="5" eb="7">
      <t>エキム</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</si>
</sst>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 numFmtId="181" formatCode="#,##0,"/>
  </numFmts>
  <fonts count="36">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74">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style="double">
        <color indexed="64"/>
      </right>
      <top style="double">
        <color indexed="64"/>
      </top>
      <bottom/>
      <diagonal/>
    </border>
    <border>
      <left style="double">
        <color indexed="64"/>
      </left>
      <right/>
      <top style="double">
        <color indexed="64"/>
      </top>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s>
  <cellStyleXfs count="6">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xf numFmtId="0" fontId="33" fillId="0" borderId="0"/>
  </cellStyleXfs>
  <cellXfs count="199">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0" fontId="30" fillId="0" borderId="67" xfId="0" applyFont="1" applyBorder="1">
      <alignment vertical="center"/>
    </xf>
    <xf numFmtId="0" fontId="30" fillId="0" borderId="68" xfId="0" applyFont="1" applyBorder="1">
      <alignment vertical="center"/>
    </xf>
    <xf numFmtId="180" fontId="30" fillId="0" borderId="0" xfId="0" applyNumberFormat="1" applyFont="1">
      <alignment vertical="center"/>
    </xf>
    <xf numFmtId="0" fontId="30" fillId="0" borderId="69" xfId="0" applyFont="1" applyBorder="1">
      <alignment vertical="center"/>
    </xf>
    <xf numFmtId="0" fontId="34" fillId="0" borderId="0" xfId="5" applyFont="1" applyAlignment="1"/>
    <xf numFmtId="0" fontId="35" fillId="0" borderId="0" xfId="5" applyFont="1" applyAlignment="1"/>
    <xf numFmtId="0" fontId="30" fillId="8" borderId="2" xfId="0" applyFont="1" applyFill="1" applyBorder="1">
      <alignment vertical="center"/>
    </xf>
    <xf numFmtId="0" fontId="30" fillId="8" borderId="11" xfId="0" applyFont="1" applyFill="1" applyBorder="1">
      <alignment vertical="center"/>
    </xf>
    <xf numFmtId="0" fontId="30" fillId="0" borderId="0" xfId="0" applyFont="1" applyBorder="1">
      <alignment vertical="center"/>
    </xf>
    <xf numFmtId="0" fontId="29" fillId="0" borderId="2" xfId="0" applyFont="1" applyBorder="1">
      <alignment vertical="center"/>
    </xf>
    <xf numFmtId="181" fontId="29" fillId="0" borderId="2" xfId="0" applyNumberFormat="1" applyFont="1" applyBorder="1">
      <alignment vertical="center"/>
    </xf>
    <xf numFmtId="181" fontId="30" fillId="0" borderId="0" xfId="0" applyNumberFormat="1" applyFont="1">
      <alignment vertical="center"/>
    </xf>
    <xf numFmtId="181" fontId="30" fillId="0" borderId="0" xfId="0" applyNumberFormat="1" applyFont="1" applyAlignment="1">
      <alignment horizontal="right" vertical="center"/>
    </xf>
    <xf numFmtId="181" fontId="30" fillId="0" borderId="69" xfId="0" applyNumberFormat="1" applyFont="1" applyBorder="1">
      <alignment vertical="center"/>
    </xf>
    <xf numFmtId="181" fontId="30" fillId="0" borderId="2" xfId="0" applyNumberFormat="1" applyFont="1" applyBorder="1">
      <alignment vertical="center"/>
    </xf>
    <xf numFmtId="0" fontId="29" fillId="0" borderId="0" xfId="0" applyNumberFormat="1" applyFont="1" applyBorder="1">
      <alignment vertical="center"/>
    </xf>
    <xf numFmtId="0" fontId="30" fillId="0" borderId="2" xfId="0" applyFont="1" applyBorder="1">
      <alignment vertical="center"/>
    </xf>
    <xf numFmtId="0" fontId="30" fillId="0" borderId="28" xfId="0" applyFont="1" applyBorder="1">
      <alignment vertical="center"/>
    </xf>
    <xf numFmtId="0" fontId="29" fillId="0" borderId="2" xfId="0" applyNumberFormat="1" applyFont="1" applyBorder="1">
      <alignment vertical="center"/>
    </xf>
    <xf numFmtId="0" fontId="30" fillId="0" borderId="70" xfId="0" applyFont="1" applyBorder="1">
      <alignment vertical="center"/>
    </xf>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30" fillId="17" borderId="71" xfId="0" applyFont="1" applyFill="1" applyBorder="1" applyAlignment="1">
      <alignment horizontal="center" vertical="center"/>
    </xf>
    <xf numFmtId="0" fontId="30" fillId="17" borderId="72" xfId="0" applyFont="1" applyFill="1" applyBorder="1" applyAlignment="1">
      <alignment horizontal="center" vertical="center"/>
    </xf>
    <xf numFmtId="0" fontId="30" fillId="17" borderId="73" xfId="0" applyFont="1" applyFill="1" applyBorder="1" applyAlignment="1">
      <alignment horizontal="center" vertical="center"/>
    </xf>
    <xf numFmtId="0" fontId="34" fillId="0" borderId="0" xfId="5" applyFont="1" applyAlignment="1"/>
    <xf numFmtId="0" fontId="33" fillId="0" borderId="0" xfId="5" applyFont="1" applyAlignment="1"/>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22" xfId="0" applyBorder="1" applyAlignment="1">
      <alignment horizontal="left" vertical="center"/>
    </xf>
    <xf numFmtId="0" fontId="0" fillId="0" borderId="23" xfId="0" applyBorder="1" applyAlignment="1">
      <alignment horizontal="left" vertical="center"/>
    </xf>
    <xf numFmtId="0" fontId="0" fillId="0" borderId="18" xfId="0" applyBorder="1" applyAlignment="1">
      <alignment horizontal="left" vertical="center"/>
    </xf>
    <xf numFmtId="0" fontId="0" fillId="0" borderId="0" xfId="0" applyBorder="1" applyAlignment="1">
      <alignment horizontal="left" vertical="center"/>
    </xf>
    <xf numFmtId="0" fontId="0" fillId="0" borderId="16" xfId="0" applyBorder="1" applyAlignment="1">
      <alignment horizontal="left" vertical="center"/>
    </xf>
    <xf numFmtId="0" fontId="0" fillId="0" borderId="20" xfId="0" applyBorder="1" applyAlignment="1">
      <alignment horizontal="left" vertical="center"/>
    </xf>
  </cellXfs>
  <cellStyles count="6">
    <cellStyle name="桁区切り 2" xfId="4" xr:uid="{00000000-0005-0000-0000-000000000000}"/>
    <cellStyle name="通貨" xfId="1" builtinId="7"/>
    <cellStyle name="標準" xfId="0" builtinId="0"/>
    <cellStyle name="標準 2" xfId="2" xr:uid="{00000000-0005-0000-0000-000003000000}"/>
    <cellStyle name="標準 2 2" xfId="3" xr:uid="{00000000-0005-0000-0000-000004000000}"/>
    <cellStyle name="標準 3" xfId="5" xr:uid="{00000000-0005-0000-0000-000005000000}"/>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4</xdr:row>
          <xdr:rowOff>28575</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4</xdr:row>
          <xdr:rowOff>28575</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200-00000E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4</xdr:row>
          <xdr:rowOff>28575</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200-00000F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4</xdr:row>
          <xdr:rowOff>28575</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200-00001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4</xdr:row>
          <xdr:rowOff>28575</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200-000013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0</xdr:row>
          <xdr:rowOff>47625</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topLeftCell="E1" workbookViewId="0">
      <selection activeCell="I1" sqref="I1"/>
    </sheetView>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256"/>
  <sheetViews>
    <sheetView workbookViewId="0">
      <selection activeCell="T2" sqref="T2:T13"/>
    </sheetView>
  </sheetViews>
  <sheetFormatPr defaultRowHeight="18.75"/>
  <cols>
    <col min="1" max="1" width="19.25"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si="1">IF(E2="","",IFERROR(LOOKUP(1,0/(AK:AK=E2),AP:AP),"旧 "&amp;E2))</f>
        <v>ＧＢ本</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1460</v>
      </c>
      <c r="AP2" s="137" t="s">
        <v>1484</v>
      </c>
      <c r="AR2" t="s">
        <v>689</v>
      </c>
      <c r="AS2" t="s">
        <v>700</v>
      </c>
      <c r="AU2" t="s">
        <v>955</v>
      </c>
    </row>
    <row r="3" spans="1:47">
      <c r="A3" s="15">
        <v>44013</v>
      </c>
      <c r="B3" t="s">
        <v>90</v>
      </c>
      <c r="C3" s="8" t="b">
        <f>IF(B3="","",COUNTIF(B$1:B2,B3)=0)</f>
        <v>1</v>
      </c>
      <c r="D3" s="8">
        <f>IF(B3="","",IF(C3,COUNTIF(C$2:C3,TRUE),""))</f>
        <v>2</v>
      </c>
      <c r="E3" s="8" t="str">
        <f t="shared" si="0"/>
        <v>ＧＢＥ</v>
      </c>
      <c r="F3" s="8" t="str">
        <f t="shared" si="1"/>
        <v>ＧＢ本</v>
      </c>
      <c r="G3" s="8" t="str">
        <f>IF(ISBLANK(E3),"",IF(COUNTIF(AK:AK,"="&amp;E3)&gt;0,"",MAX(G$1:G2)+1))</f>
        <v/>
      </c>
      <c r="H3" s="8">
        <f>IF(E3="","",COUNTIF(B:B,E3))</f>
        <v>2</v>
      </c>
      <c r="J3" s="16" t="s">
        <v>1459</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si="1"/>
        <v>ＧＢ本</v>
      </c>
      <c r="G4" s="8" t="str">
        <f>IF(ISBLANK(E4),"",IF(COUNTIF(AK:AK,"="&amp;E4)&gt;0,"",MAX(G$1:G3)+1))</f>
        <v/>
      </c>
      <c r="H4" s="8">
        <f t="shared" ref="H4:H67" si="8">IF(E4="","",COUNTIF(B:B,E4))</f>
        <v>44</v>
      </c>
      <c r="J4" s="19" t="str">
        <f t="shared" ref="J4:J42" si="9">AN6</f>
        <v>ＶＣ本</v>
      </c>
      <c r="K4" s="19">
        <f>IF(J4="","",SUMIF(F:F,"="&amp;J4,H:H))</f>
        <v>3</v>
      </c>
      <c r="L4">
        <v>3</v>
      </c>
      <c r="M4" s="8" t="b">
        <f>IF(J4="","",(SUM(K4:L4)&gt;0))</f>
        <v>1</v>
      </c>
      <c r="N4" s="8">
        <f>IF(J4="","",IF(M4,COUNTIF(M$4:M4,TRUE),0))</f>
        <v>1</v>
      </c>
      <c r="O4" s="8" t="str">
        <f>IFERROR(LOOKUP(1,0/(N$4:N$40=ROW()-ROW(O$3)),J$4:J$40),"")</f>
        <v>ＶＣ本</v>
      </c>
      <c r="P4" s="8">
        <f>IF(O4="","",IFERROR(LOOKUP(1,0/(J$4:J$40=O4),K$4:K$40),""))</f>
        <v>3</v>
      </c>
      <c r="Q4" s="8">
        <f>IF(O4="","",IFERROR(LOOKUP(1,0/(J$4:J$40=O4),L$4:L$40),""))</f>
        <v>3</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si="1"/>
        <v>ＧＢ本</v>
      </c>
      <c r="G5" s="8" t="str">
        <f>IF(ISBLANK(E5),"",IF(COUNTIF(AK:AK,"="&amp;E5)&gt;0,"",MAX(G$1:G4)+1))</f>
        <v/>
      </c>
      <c r="H5" s="8">
        <f t="shared" si="8"/>
        <v>5</v>
      </c>
      <c r="J5" s="19" t="str">
        <f t="shared" si="9"/>
        <v>西本部</v>
      </c>
      <c r="K5" s="19">
        <f t="shared" ref="K5:K40" si="12">IF(J5="","",SUMIF(F:F,"="&amp;J5,H:H))</f>
        <v>0</v>
      </c>
      <c r="M5" s="8" t="b">
        <f t="shared" ref="M5:M40" si="13">IF(J5="","",(SUM(K5:L5)&gt;0))</f>
        <v>0</v>
      </c>
      <c r="N5" s="8">
        <f>IF(J5="","",IF(M5,COUNTIF(M$4:M5,TRUE),0))</f>
        <v>0</v>
      </c>
      <c r="O5" s="8" t="str">
        <f t="shared" ref="O5:O26" si="14">IFERROR(LOOKUP(1,0/(N$4:N$40=ROW()-ROW(O$3)),J$4:J$40),"")</f>
        <v>ＧＢ本</v>
      </c>
      <c r="P5" s="8">
        <f t="shared" ref="P5:P26" si="15">IF(O5="","",IFERROR(LOOKUP(1,0/(J$4:J$40=O5),K$4:K$40),""))</f>
        <v>91</v>
      </c>
      <c r="Q5" s="8">
        <f t="shared" ref="Q5:Q26" si="16">IF(O5="","",IFERROR(LOOKUP(1,0/(J$4:J$40=O5),L$4:L$40),""))</f>
        <v>74</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si="1"/>
        <v>ＩＰＣ</v>
      </c>
      <c r="G6" s="8" t="str">
        <f>IF(ISBLANK(E6),"",IF(COUNTIF(AK:AK,"="&amp;E6)&gt;0,"",MAX(G$1:G5)+1))</f>
        <v/>
      </c>
      <c r="H6" s="8">
        <f t="shared" si="8"/>
        <v>1</v>
      </c>
      <c r="J6" s="19" t="str">
        <f t="shared" si="9"/>
        <v>ＧＢ本</v>
      </c>
      <c r="K6" s="19">
        <f t="shared" si="12"/>
        <v>91</v>
      </c>
      <c r="L6">
        <v>74</v>
      </c>
      <c r="M6" s="8" t="b">
        <f t="shared" si="13"/>
        <v>1</v>
      </c>
      <c r="N6" s="8">
        <f>IF(J6="","",IF(M6,COUNTIF(M$4:M6,TRUE),0))</f>
        <v>2</v>
      </c>
      <c r="O6" s="8" t="str">
        <f t="shared" si="14"/>
        <v>セ事本</v>
      </c>
      <c r="P6" s="8">
        <f t="shared" si="15"/>
        <v>3</v>
      </c>
      <c r="Q6" s="8">
        <f t="shared" si="16"/>
        <v>4</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1462</v>
      </c>
      <c r="AL6" s="14">
        <f>IF(セルの固定色(AK6)=セルの固定色(AK$6),1,"")</f>
        <v>1</v>
      </c>
      <c r="AM6" s="14">
        <f>IF(OR(ISBLANK(AL6),AL6=""),"",COUNTIF(AL$6:AL6,"&gt;0"))</f>
        <v>1</v>
      </c>
      <c r="AN6" s="14" t="str">
        <f t="shared" ref="AN6:AN44" si="17">IFERROR(LOOKUP(1,0/(AM:AM=ROW()-ROW(AN$5)),AK:AK),IFERROR(LOOKUP(1,0/(G:G=AO6),F:F),""))</f>
        <v>ＶＣ本</v>
      </c>
      <c r="AO6" s="14">
        <f t="shared" ref="AO6:AO44" si="18">-(MAX(AM:AM)-ROW()+ROW(AO$6)-1)</f>
        <v>-20</v>
      </c>
      <c r="AP6" s="14" t="str">
        <f>IF(ISBLANK(AK6),"",LOOKUP(1,0/(AM$6:AM6=MAX(AM$6:AM6)),AK$6:AK6))</f>
        <v>ＶＣ本</v>
      </c>
      <c r="AR6" t="s">
        <v>907</v>
      </c>
      <c r="AS6" t="s">
        <v>840</v>
      </c>
    </row>
    <row r="7" spans="1:47">
      <c r="A7" s="11">
        <f>COLUMN(B1)</f>
        <v>2</v>
      </c>
      <c r="B7" t="s">
        <v>47</v>
      </c>
      <c r="C7" s="8" t="b">
        <f>IF(B7="","",COUNTIF(B$1:B6,B7)=0)</f>
        <v>0</v>
      </c>
      <c r="D7" s="8" t="str">
        <f>IF(B7="","",IF(C7,COUNTIF(C$2:C7,TRUE),""))</f>
        <v/>
      </c>
      <c r="E7" s="8" t="str">
        <f t="shared" si="0"/>
        <v>Ｇ推進</v>
      </c>
      <c r="F7" s="8" t="str">
        <f t="shared" si="1"/>
        <v>ＧＢ本</v>
      </c>
      <c r="G7" s="8" t="str">
        <f>IF(ISBLANK(E7),"",IF(COUNTIF(AK:AK,"="&amp;E7)&gt;0,"",MAX(G$1:G6)+1))</f>
        <v/>
      </c>
      <c r="H7" s="8">
        <f t="shared" si="8"/>
        <v>5</v>
      </c>
      <c r="J7" s="19" t="str">
        <f t="shared" si="9"/>
        <v>セ事本</v>
      </c>
      <c r="K7" s="19">
        <f t="shared" si="12"/>
        <v>3</v>
      </c>
      <c r="L7">
        <v>4</v>
      </c>
      <c r="M7" s="8" t="b">
        <f t="shared" si="13"/>
        <v>1</v>
      </c>
      <c r="N7" s="8">
        <f>IF(J7="","",IF(M7,COUNTIF(M$4:M7,TRUE),0))</f>
        <v>3</v>
      </c>
      <c r="O7" s="8" t="str">
        <f t="shared" si="14"/>
        <v>ＣＩ本</v>
      </c>
      <c r="P7" s="8">
        <f t="shared" si="15"/>
        <v>0</v>
      </c>
      <c r="Q7" s="8">
        <f t="shared" si="16"/>
        <v>1</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str">
        <f>IF(セルの固定色(AK7)=セルの固定色(AK$6),1,"")</f>
        <v/>
      </c>
      <c r="AM7" s="14" t="str">
        <f>IF(OR(ISBLANK(AL7),AL7=""),"",COUNTIF(AL$6:AL7,"&gt;0"))</f>
        <v/>
      </c>
      <c r="AN7" s="14" t="str">
        <f t="shared" si="17"/>
        <v>西本部</v>
      </c>
      <c r="AO7" s="14">
        <f t="shared" si="18"/>
        <v>-19</v>
      </c>
      <c r="AP7" s="14" t="str">
        <f>IF(ISBLANK(AK7),"",LOOKUP(1,0/(AM$6:AM7=MAX(AM$6:AM7)),AK$6:AK7))</f>
        <v>ＶＣ本</v>
      </c>
      <c r="AR7" t="s">
        <v>933</v>
      </c>
      <c r="AS7" t="s">
        <v>862</v>
      </c>
    </row>
    <row r="8" spans="1:47">
      <c r="A8" s="20" t="s">
        <v>1080</v>
      </c>
      <c r="B8" t="s">
        <v>47</v>
      </c>
      <c r="C8" s="8" t="b">
        <f>IF(B8="","",COUNTIF(B$1:B7,B8)=0)</f>
        <v>0</v>
      </c>
      <c r="D8" s="8" t="str">
        <f>IF(B8="","",IF(C8,COUNTIF(C$2:C8,TRUE),""))</f>
        <v/>
      </c>
      <c r="E8" s="8" t="str">
        <f t="shared" si="0"/>
        <v>セ事Ｉ</v>
      </c>
      <c r="F8" s="8" t="str">
        <f t="shared" si="1"/>
        <v>セ事本</v>
      </c>
      <c r="G8" s="8" t="str">
        <f>IF(ISBLANK(E8),"",IF(COUNTIF(AK:AK,"="&amp;E8)&gt;0,"",MAX(G$1:G7)+1))</f>
        <v/>
      </c>
      <c r="H8" s="8">
        <f t="shared" si="8"/>
        <v>3</v>
      </c>
      <c r="J8" s="19" t="str">
        <f t="shared" si="9"/>
        <v>ＣＩ本</v>
      </c>
      <c r="K8" s="19">
        <f t="shared" si="12"/>
        <v>0</v>
      </c>
      <c r="L8">
        <v>1</v>
      </c>
      <c r="M8" s="8" t="b">
        <f t="shared" si="13"/>
        <v>1</v>
      </c>
      <c r="N8" s="8">
        <f>IF(J8="","",IF(M8,COUNTIF(M$4:M8,TRUE),0))</f>
        <v>4</v>
      </c>
      <c r="O8" s="8" t="str">
        <f t="shared" si="14"/>
        <v>ＡＩ本</v>
      </c>
      <c r="P8" s="8">
        <f t="shared" si="15"/>
        <v>6</v>
      </c>
      <c r="Q8" s="8">
        <f t="shared" si="16"/>
        <v>0</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str">
        <f>IF(セルの固定色(AK8)=セルの固定色(AK$6),1,"")</f>
        <v/>
      </c>
      <c r="AM8" s="14" t="str">
        <f>IF(OR(ISBLANK(AL8),AL8=""),"",COUNTIF(AL$6:AL8,"&gt;0"))</f>
        <v/>
      </c>
      <c r="AN8" s="14" t="str">
        <f t="shared" si="17"/>
        <v>ＧＢ本</v>
      </c>
      <c r="AO8" s="14">
        <f t="shared" si="18"/>
        <v>-18</v>
      </c>
      <c r="AP8" s="14" t="str">
        <f>IF(ISBLANK(AK8),"",LOOKUP(1,0/(AM$6:AM8=MAX(AM$6:AM8)),AK$6:AK8))</f>
        <v>ＶＣ本</v>
      </c>
      <c r="AR8" t="s">
        <v>953</v>
      </c>
      <c r="AS8" t="s">
        <v>922</v>
      </c>
    </row>
    <row r="9" spans="1:47">
      <c r="A9" s="11">
        <f>COLUMN(S1)</f>
        <v>19</v>
      </c>
      <c r="B9" t="s">
        <v>101</v>
      </c>
      <c r="C9" s="8" t="b">
        <f>IF(B9="","",COUNTIF(B$1:B8,B9)=0)</f>
        <v>1</v>
      </c>
      <c r="D9" s="8">
        <f>IF(B9="","",IF(C9,COUNTIF(C$2:C9,TRUE),""))</f>
        <v>4</v>
      </c>
      <c r="E9" s="8" t="str">
        <f t="shared" si="0"/>
        <v>ＧＢ環</v>
      </c>
      <c r="F9" s="8" t="str">
        <f t="shared" si="1"/>
        <v>ＧＢ本</v>
      </c>
      <c r="G9" s="8" t="str">
        <f>IF(ISBLANK(E9),"",IF(COUNTIF(AK:AK,"="&amp;E9)&gt;0,"",MAX(G$1:G8)+1))</f>
        <v/>
      </c>
      <c r="H9" s="8">
        <f t="shared" si="8"/>
        <v>8</v>
      </c>
      <c r="J9" s="19" t="str">
        <f t="shared" si="9"/>
        <v>ＮＩ本</v>
      </c>
      <c r="K9" s="19">
        <f t="shared" si="12"/>
        <v>0</v>
      </c>
      <c r="M9" s="8" t="b">
        <f t="shared" si="13"/>
        <v>0</v>
      </c>
      <c r="N9" s="8">
        <f>IF(J9="","",IF(M9,COUNTIF(M$4:M9,TRUE),0))</f>
        <v>0</v>
      </c>
      <c r="O9" s="8" t="str">
        <f t="shared" si="14"/>
        <v>ＩＰＣ</v>
      </c>
      <c r="P9" s="8">
        <f t="shared" si="15"/>
        <v>1</v>
      </c>
      <c r="Q9" s="8">
        <f t="shared" si="16"/>
        <v>0</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str">
        <f>IF(セルの固定色(AK9)=セルの固定色(AK$6),1,"")</f>
        <v/>
      </c>
      <c r="AM9" s="14" t="str">
        <f>IF(OR(ISBLANK(AL9),AL9=""),"",COUNTIF(AL$6:AL9,"&gt;0"))</f>
        <v/>
      </c>
      <c r="AN9" s="14" t="str">
        <f t="shared" si="17"/>
        <v>セ事本</v>
      </c>
      <c r="AO9" s="14">
        <f t="shared" si="18"/>
        <v>-17</v>
      </c>
      <c r="AP9" s="14" t="str">
        <f>IF(ISBLANK(AK9),"",LOOKUP(1,0/(AM$6:AM9=MAX(AM$6:AM9)),AK$6:AK9))</f>
        <v>ＶＣ本</v>
      </c>
      <c r="AR9" t="s">
        <v>1001</v>
      </c>
      <c r="AS9" t="s">
        <v>975</v>
      </c>
    </row>
    <row r="10" spans="1:47">
      <c r="A10" s="20" t="s">
        <v>1083</v>
      </c>
      <c r="B10" t="s">
        <v>1461</v>
      </c>
      <c r="C10" s="8" t="b">
        <f>IF(B10="","",COUNTIF(B$1:B9,B10)=0)</f>
        <v>1</v>
      </c>
      <c r="D10" s="8">
        <f>IF(B10="","",IF(C10,COUNTIF(C$2:C10,TRUE),""))</f>
        <v>5</v>
      </c>
      <c r="E10" s="8" t="str">
        <f t="shared" si="0"/>
        <v>ＡＩＲ</v>
      </c>
      <c r="F10" s="8" t="str">
        <f t="shared" si="1"/>
        <v>ＡＩ本</v>
      </c>
      <c r="G10" s="8" t="str">
        <f>IF(ISBLANK(E10),"",IF(COUNTIF(AK:AK,"="&amp;E10)&gt;0,"",MAX(G$1:G9)+1))</f>
        <v/>
      </c>
      <c r="H10" s="8">
        <f t="shared" si="8"/>
        <v>1</v>
      </c>
      <c r="J10" s="19" t="str">
        <f t="shared" si="9"/>
        <v>ＡＩ本</v>
      </c>
      <c r="K10" s="19">
        <f t="shared" si="12"/>
        <v>6</v>
      </c>
      <c r="M10" s="8" t="b">
        <f t="shared" si="13"/>
        <v>1</v>
      </c>
      <c r="N10" s="8">
        <f>IF(J10="","",IF(M10,COUNTIF(M$4:M10,TRUE),0))</f>
        <v>5</v>
      </c>
      <c r="O10" s="8" t="str">
        <f t="shared" si="14"/>
        <v>人事部</v>
      </c>
      <c r="P10" s="8">
        <f t="shared" si="15"/>
        <v>1</v>
      </c>
      <c r="Q10" s="8">
        <f t="shared" si="16"/>
        <v>0</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str">
        <f>IF(セルの固定色(AK10)=セルの固定色(AK$6),1,"")</f>
        <v/>
      </c>
      <c r="AM10" s="14" t="str">
        <f>IF(OR(ISBLANK(AL10),AL10=""),"",COUNTIF(AL$6:AL10,"&gt;0"))</f>
        <v/>
      </c>
      <c r="AN10" s="14" t="str">
        <f t="shared" si="17"/>
        <v>ＣＩ本</v>
      </c>
      <c r="AO10" s="14">
        <f t="shared" si="18"/>
        <v>-16</v>
      </c>
      <c r="AP10" s="14" t="str">
        <f>IF(ISBLANK(AK10),"",LOOKUP(1,0/(AM$6:AM10=MAX(AM$6:AM10)),AK$6:AK10))</f>
        <v>ＶＣ本</v>
      </c>
      <c r="AR10" t="s">
        <v>1004</v>
      </c>
      <c r="AS10" t="s">
        <v>1039</v>
      </c>
    </row>
    <row r="11" spans="1:47">
      <c r="A11" s="11">
        <f>COLUMN(Z1)</f>
        <v>26</v>
      </c>
      <c r="B11" t="s">
        <v>139</v>
      </c>
      <c r="C11" s="8" t="b">
        <f>IF(B11="","",COUNTIF(B$1:B10,B11)=0)</f>
        <v>1</v>
      </c>
      <c r="D11" s="8">
        <f>IF(B11="","",IF(C11,COUNTIF(C$2:C11,TRUE),""))</f>
        <v>6</v>
      </c>
      <c r="E11" s="8" t="str">
        <f t="shared" si="0"/>
        <v>ＡＩＤ</v>
      </c>
      <c r="F11" s="8" t="str">
        <f t="shared" si="1"/>
        <v>ＡＩ本</v>
      </c>
      <c r="G11" s="8" t="str">
        <f>IF(ISBLANK(E11),"",IF(COUNTIF(AK:AK,"="&amp;E11)&gt;0,"",MAX(G$1:G10)+1))</f>
        <v/>
      </c>
      <c r="H11" s="8">
        <f t="shared" si="8"/>
        <v>5</v>
      </c>
      <c r="J11" s="19" t="str">
        <f t="shared" si="9"/>
        <v>ＮＳ本</v>
      </c>
      <c r="K11" s="19">
        <f t="shared" si="12"/>
        <v>0</v>
      </c>
      <c r="M11" s="8" t="b">
        <f t="shared" si="13"/>
        <v>0</v>
      </c>
      <c r="N11" s="8">
        <f>IF(J11="","",IF(M11,COUNTIF(M$4:M11,TRUE),0))</f>
        <v>0</v>
      </c>
      <c r="O11" s="8" t="str">
        <f t="shared" si="14"/>
        <v/>
      </c>
      <c r="P11" s="8" t="str">
        <f t="shared" si="15"/>
        <v/>
      </c>
      <c r="Q11" s="8" t="str">
        <f t="shared"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str">
        <f>IF(セルの固定色(AK11)=セルの固定色(AK$6),1,"")</f>
        <v/>
      </c>
      <c r="AM11" s="14" t="str">
        <f>IF(OR(ISBLANK(AL11),AL11=""),"",COUNTIF(AL$6:AL11,"&gt;0"))</f>
        <v/>
      </c>
      <c r="AN11" s="14" t="str">
        <f t="shared" si="17"/>
        <v>ＮＩ本</v>
      </c>
      <c r="AO11" s="14">
        <f t="shared" si="18"/>
        <v>-15</v>
      </c>
      <c r="AP11" s="14" t="str">
        <f>IF(ISBLANK(AK11),"",LOOKUP(1,0/(AM$6:AM11=MAX(AM$6:AM11)),AK$6:AK11))</f>
        <v>ＶＣ本</v>
      </c>
      <c r="AR11" t="s">
        <v>1006</v>
      </c>
      <c r="AS11" t="s">
        <v>1048</v>
      </c>
    </row>
    <row r="12" spans="1:47">
      <c r="A12" s="7" t="s">
        <v>1084</v>
      </c>
      <c r="B12" t="s">
        <v>32</v>
      </c>
      <c r="C12" s="8" t="b">
        <f>IF(B12="","",COUNTIF(B$1:B11,B12)=0)</f>
        <v>0</v>
      </c>
      <c r="D12" s="8" t="str">
        <f>IF(B12="","",IF(C12,COUNTIF(C$2:C12,TRUE),""))</f>
        <v/>
      </c>
      <c r="E12" s="8" t="str">
        <f t="shared" si="0"/>
        <v>Ｖまち</v>
      </c>
      <c r="F12" s="8" t="str">
        <f t="shared" si="1"/>
        <v>ＶＣ本</v>
      </c>
      <c r="G12" s="8" t="str">
        <f>IF(ISBLANK(E12),"",IF(COUNTIF(AK:AK,"="&amp;E12)&gt;0,"",MAX(G$1:G11)+1))</f>
        <v/>
      </c>
      <c r="H12" s="8">
        <f t="shared" si="8"/>
        <v>1</v>
      </c>
      <c r="J12" s="19" t="str">
        <f t="shared" si="9"/>
        <v>ＩＰＣ</v>
      </c>
      <c r="K12" s="19">
        <f t="shared" si="12"/>
        <v>1</v>
      </c>
      <c r="M12" s="8" t="b">
        <f t="shared" si="13"/>
        <v>1</v>
      </c>
      <c r="N12" s="8">
        <f>IF(J12="","",IF(M12,COUNTIF(M$4:M12,TRUE),0))</f>
        <v>6</v>
      </c>
      <c r="O12" s="8" t="str">
        <f t="shared" si="14"/>
        <v/>
      </c>
      <c r="P12" s="8" t="str">
        <f t="shared" si="15"/>
        <v/>
      </c>
      <c r="Q12" s="8" t="str">
        <f t="shared"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str">
        <f>IF(セルの固定色(AK12)=セルの固定色(AK$6),1,"")</f>
        <v/>
      </c>
      <c r="AM12" s="14" t="str">
        <f>IF(OR(ISBLANK(AL12),AL12=""),"",COUNTIF(AL$6:AL12,"&gt;0"))</f>
        <v/>
      </c>
      <c r="AN12" s="14" t="str">
        <f t="shared" si="17"/>
        <v>ＡＩ本</v>
      </c>
      <c r="AO12" s="14">
        <f t="shared" si="18"/>
        <v>-14</v>
      </c>
      <c r="AP12" s="14" t="str">
        <f>IF(ISBLANK(AK12),"",LOOKUP(1,0/(AM$6:AM12=MAX(AM$6:AM12)),AK$6:AK12))</f>
        <v>ＶＣ本</v>
      </c>
    </row>
    <row r="13" spans="1:47" ht="19.5" thickBot="1">
      <c r="A13" s="11">
        <f>COLUMN(AR1)</f>
        <v>44</v>
      </c>
      <c r="B13" t="s">
        <v>32</v>
      </c>
      <c r="C13" s="8" t="b">
        <f>IF(B13="","",COUNTIF(B$1:B12,B13)=0)</f>
        <v>0</v>
      </c>
      <c r="D13" s="8" t="str">
        <f>IF(B13="","",IF(C13,COUNTIF(C$2:C13,TRUE),""))</f>
        <v/>
      </c>
      <c r="E13" s="8" t="str">
        <f t="shared" si="0"/>
        <v>人事部</v>
      </c>
      <c r="F13" s="8" t="str">
        <f t="shared" si="1"/>
        <v>人事部</v>
      </c>
      <c r="G13" s="8" t="str">
        <f>IF(ISBLANK(E13),"",IF(COUNTIF(AK:AK,"="&amp;E13)&gt;0,"",MAX(G$1:G12)+1))</f>
        <v/>
      </c>
      <c r="H13" s="8">
        <f t="shared" si="8"/>
        <v>1</v>
      </c>
      <c r="J13" s="19" t="str">
        <f t="shared" si="9"/>
        <v>ＮＰＣ</v>
      </c>
      <c r="K13" s="19">
        <f t="shared" si="12"/>
        <v>0</v>
      </c>
      <c r="M13" s="8" t="b">
        <f t="shared" si="13"/>
        <v>0</v>
      </c>
      <c r="N13" s="8">
        <f>IF(J13="","",IF(M13,COUNTIF(M$4:M13,TRUE),0))</f>
        <v>0</v>
      </c>
      <c r="O13" s="8" t="str">
        <f t="shared" si="14"/>
        <v/>
      </c>
      <c r="P13" s="8" t="str">
        <f t="shared" si="15"/>
        <v/>
      </c>
      <c r="Q13" s="8" t="str">
        <f t="shared"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str">
        <f>IF(セルの固定色(AK13)=セルの固定色(AK$6),1,"")</f>
        <v/>
      </c>
      <c r="AM13" s="14" t="str">
        <f>IF(OR(ISBLANK(AL13),AL13=""),"",COUNTIF(AL$6:AL13,"&gt;0"))</f>
        <v/>
      </c>
      <c r="AN13" s="14" t="str">
        <f t="shared" si="17"/>
        <v>ＮＳ本</v>
      </c>
      <c r="AO13" s="14">
        <f t="shared" si="18"/>
        <v>-13</v>
      </c>
      <c r="AP13" s="14" t="str">
        <f>IF(ISBLANK(AK13),"",LOOKUP(1,0/(AM$6:AM13=MAX(AM$6:AM13)),AK$6:AK13))</f>
        <v>ＶＣ本</v>
      </c>
    </row>
    <row r="14" spans="1:47" ht="19.5" thickTop="1">
      <c r="A14" s="21">
        <f ca="1">COUNTIF(INDIRECT("C"&amp;包括抽出&amp;":C"&amp;包括抽出,FALSE),"技輸審*")</f>
        <v>10</v>
      </c>
      <c r="B14" t="s">
        <v>191</v>
      </c>
      <c r="C14" s="8" t="b">
        <f>IF(B14="","",COUNTIF(B$1:B13,B14)=0)</f>
        <v>1</v>
      </c>
      <c r="D14" s="8">
        <f>IF(B14="","",IF(C14,COUNTIF(C$2:C14,TRUE),""))</f>
        <v>7</v>
      </c>
      <c r="E14" s="8" t="str">
        <f t="shared" si="0"/>
        <v>ＧＩＯ</v>
      </c>
      <c r="F14" s="8" t="str">
        <f t="shared" si="1"/>
        <v>ＧＢ本</v>
      </c>
      <c r="G14" s="8" t="str">
        <f>IF(ISBLANK(E14),"",IF(COUNTIF(AK:AK,"="&amp;E14)&gt;0,"",MAX(G$1:G13)+1))</f>
        <v/>
      </c>
      <c r="H14" s="8">
        <f t="shared" si="8"/>
        <v>2</v>
      </c>
      <c r="J14" s="19" t="str">
        <f t="shared" si="9"/>
        <v>ＲＤＣ</v>
      </c>
      <c r="K14" s="19">
        <f t="shared" si="12"/>
        <v>0</v>
      </c>
      <c r="M14" s="8" t="b">
        <f t="shared" si="13"/>
        <v>0</v>
      </c>
      <c r="N14" s="8">
        <f>IF(J14="","",IF(M14,COUNTIF(M$4:M14,TRUE),0))</f>
        <v>0</v>
      </c>
      <c r="O14" s="8" t="str">
        <f t="shared" si="14"/>
        <v/>
      </c>
      <c r="P14" s="8" t="str">
        <f t="shared" si="15"/>
        <v/>
      </c>
      <c r="Q14" s="8" t="str">
        <f t="shared"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str">
        <f>IF(セルの固定色(AK14)=セルの固定色(AK$6),1,"")</f>
        <v/>
      </c>
      <c r="AM14" s="14" t="str">
        <f>IF(OR(ISBLANK(AL14),AL14=""),"",COUNTIF(AL$6:AL14,"&gt;0"))</f>
        <v/>
      </c>
      <c r="AN14" s="14" t="str">
        <f t="shared" si="17"/>
        <v>ＩＰＣ</v>
      </c>
      <c r="AO14" s="14">
        <f t="shared" si="18"/>
        <v>-12</v>
      </c>
      <c r="AP14" s="14" t="str">
        <f>IF(ISBLANK(AK14),"",LOOKUP(1,0/(AM$6:AM14=MAX(AM$6:AM14)),AK$6:AK14))</f>
        <v>ＶＣ本</v>
      </c>
    </row>
    <row r="15" spans="1:47">
      <c r="A15" s="7" t="s">
        <v>1088</v>
      </c>
      <c r="B15" t="s">
        <v>101</v>
      </c>
      <c r="C15" s="8" t="b">
        <f>IF(B15="","",COUNTIF(B$1:B14,B15)=0)</f>
        <v>0</v>
      </c>
      <c r="D15" s="8" t="str">
        <f>IF(B15="","",IF(C15,COUNTIF(C$2:C15,TRUE),""))</f>
        <v/>
      </c>
      <c r="E15" s="8" t="str">
        <f t="shared" si="0"/>
        <v>ＶＴＳ</v>
      </c>
      <c r="F15" s="8" t="str">
        <f t="shared" si="1"/>
        <v>ＶＣ本</v>
      </c>
      <c r="G15" s="8" t="str">
        <f>IF(ISBLANK(E15),"",IF(COUNTIF(AK:AK,"="&amp;E15)&gt;0,"",MAX(G$1:G14)+1))</f>
        <v/>
      </c>
      <c r="H15" s="8">
        <f t="shared" si="8"/>
        <v>2</v>
      </c>
      <c r="J15" s="19" t="str">
        <f t="shared" si="9"/>
        <v>２０推</v>
      </c>
      <c r="K15" s="19">
        <f t="shared" si="12"/>
        <v>0</v>
      </c>
      <c r="M15" s="8" t="b">
        <f t="shared" si="13"/>
        <v>0</v>
      </c>
      <c r="N15" s="8">
        <f>IF(J15="","",IF(M15,COUNTIF(M$4:M15,TRUE),0))</f>
        <v>0</v>
      </c>
      <c r="O15" s="8" t="str">
        <f t="shared" si="14"/>
        <v/>
      </c>
      <c r="P15" s="8" t="str">
        <f t="shared" si="15"/>
        <v/>
      </c>
      <c r="Q15" s="8" t="str">
        <f t="shared" si="16"/>
        <v/>
      </c>
      <c r="S15" t="s">
        <v>54</v>
      </c>
      <c r="Z15" t="s">
        <v>83</v>
      </c>
      <c r="AB15" s="11" t="s">
        <v>59</v>
      </c>
      <c r="AC15" s="10">
        <f t="shared" si="7"/>
        <v>4</v>
      </c>
      <c r="AD15" s="12">
        <f t="shared" si="19"/>
        <v>4</v>
      </c>
      <c r="AE15" s="8">
        <f t="shared" si="4"/>
        <v>6</v>
      </c>
      <c r="AF15" s="8">
        <f>IF(AE15="","",AE15+COUNTIF(AE$2:AE15,AE15)-1)</f>
        <v>6</v>
      </c>
      <c r="AK15" s="18" t="s">
        <v>604</v>
      </c>
      <c r="AL15" s="14" t="str">
        <f>IF(セルの固定色(AK15)=セルの固定色(AK$6),1,"")</f>
        <v/>
      </c>
      <c r="AM15" s="14" t="str">
        <f>IF(OR(ISBLANK(AL15),AL15=""),"",COUNTIF(AL$6:AL15,"&gt;0"))</f>
        <v/>
      </c>
      <c r="AN15" s="14" t="str">
        <f t="shared" si="17"/>
        <v>ＮＰＣ</v>
      </c>
      <c r="AO15" s="14">
        <f t="shared" si="18"/>
        <v>-11</v>
      </c>
      <c r="AP15" s="14" t="str">
        <f>IF(ISBLANK(AK15),"",LOOKUP(1,0/(AM$6:AM15=MAX(AM$6:AM15)),AK$6:AK15))</f>
        <v>ＶＣ本</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si="9"/>
        <v>ＩＯ推</v>
      </c>
      <c r="K16" s="19">
        <f t="shared" si="12"/>
        <v>0</v>
      </c>
      <c r="M16" s="8" t="b">
        <f t="shared" si="13"/>
        <v>0</v>
      </c>
      <c r="N16" s="8">
        <f>IF(J16="","",IF(M16,COUNTIF(M$4:M16,TRUE),0))</f>
        <v>0</v>
      </c>
      <c r="O16" s="8" t="str">
        <f t="shared" si="14"/>
        <v/>
      </c>
      <c r="P16" s="8" t="str">
        <f t="shared" si="15"/>
        <v/>
      </c>
      <c r="Q16" s="8" t="str">
        <f t="shared" si="16"/>
        <v/>
      </c>
      <c r="S16" t="s">
        <v>54</v>
      </c>
      <c r="Z16" t="s">
        <v>68</v>
      </c>
      <c r="AB16" s="11" t="s">
        <v>795</v>
      </c>
      <c r="AC16" s="10">
        <f t="shared" si="7"/>
        <v>1</v>
      </c>
      <c r="AD16" s="12">
        <f t="shared" si="19"/>
        <v>1</v>
      </c>
      <c r="AE16" s="8">
        <f t="shared" si="4"/>
        <v>15</v>
      </c>
      <c r="AF16" s="8">
        <f>IF(AE16="","",AE16+COUNTIF(AE$2:AE16,AE16)-1)</f>
        <v>19</v>
      </c>
      <c r="AK16" s="18" t="s">
        <v>408</v>
      </c>
      <c r="AL16" s="14" t="str">
        <f>IF(セルの固定色(AK16)=セルの固定色(AK$6),1,"")</f>
        <v/>
      </c>
      <c r="AM16" s="14" t="str">
        <f>IF(OR(ISBLANK(AL16),AL16=""),"",COUNTIF(AL$6:AL16,"&gt;0"))</f>
        <v/>
      </c>
      <c r="AN16" s="14" t="str">
        <f t="shared" si="17"/>
        <v>ＲＤＣ</v>
      </c>
      <c r="AO16" s="14">
        <f t="shared" si="18"/>
        <v>-10</v>
      </c>
      <c r="AP16" s="14" t="str">
        <f>IF(ISBLANK(AK16),"",LOOKUP(1,0/(AM$6:AM16=MAX(AM$6:AM16)),AK$6:AK16))</f>
        <v>ＶＣ本</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si="9"/>
        <v>営推部</v>
      </c>
      <c r="K17" s="19">
        <f t="shared" si="12"/>
        <v>0</v>
      </c>
      <c r="M17" s="8" t="b">
        <f t="shared" si="13"/>
        <v>0</v>
      </c>
      <c r="N17" s="8">
        <f>IF(J17="","",IF(M17,COUNTIF(M$4:M17,TRUE),0))</f>
        <v>0</v>
      </c>
      <c r="O17" s="8" t="str">
        <f t="shared" si="14"/>
        <v/>
      </c>
      <c r="P17" s="8" t="str">
        <f t="shared" si="15"/>
        <v/>
      </c>
      <c r="Q17" s="8" t="str">
        <f t="shared" si="16"/>
        <v/>
      </c>
      <c r="S17" t="s">
        <v>27</v>
      </c>
      <c r="Z17" t="s">
        <v>246</v>
      </c>
      <c r="AB17" s="11" t="s">
        <v>532</v>
      </c>
      <c r="AC17" s="10">
        <f t="shared" si="7"/>
        <v>2</v>
      </c>
      <c r="AD17" s="12">
        <f t="shared" si="19"/>
        <v>2</v>
      </c>
      <c r="AE17" s="8">
        <f t="shared" si="4"/>
        <v>10</v>
      </c>
      <c r="AF17" s="8">
        <f>IF(AE17="","",AE17+COUNTIF(AE$2:AE17,AE17)-1)</f>
        <v>11</v>
      </c>
      <c r="AK17" s="18" t="s">
        <v>1086</v>
      </c>
      <c r="AL17" s="14" t="str">
        <f>IF(セルの固定色(AK17)=セルの固定色(AK$6),1,"")</f>
        <v/>
      </c>
      <c r="AM17" s="14" t="str">
        <f>IF(OR(ISBLANK(AL17),AL17=""),"",COUNTIF(AL$6:AL17,"&gt;0"))</f>
        <v/>
      </c>
      <c r="AN17" s="14" t="str">
        <f t="shared" si="17"/>
        <v>２０推</v>
      </c>
      <c r="AO17" s="14">
        <f t="shared" si="18"/>
        <v>-9</v>
      </c>
      <c r="AP17" s="14" t="str">
        <f>IF(ISBLANK(AK17),"",LOOKUP(1,0/(AM$6:AM17=MAX(AM$6:AM17)),AK$6:AK17))</f>
        <v>ＶＣ本</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si="9"/>
        <v>情セ部</v>
      </c>
      <c r="K18" s="19">
        <f t="shared" si="12"/>
        <v>0</v>
      </c>
      <c r="M18" s="8" t="b">
        <f t="shared" si="13"/>
        <v>0</v>
      </c>
      <c r="N18" s="8">
        <f>IF(J18="","",IF(M18,COUNTIF(M$4:M18,TRUE),0))</f>
        <v>0</v>
      </c>
      <c r="O18" s="8" t="str">
        <f t="shared" si="14"/>
        <v/>
      </c>
      <c r="P18" s="8" t="str">
        <f t="shared" si="15"/>
        <v/>
      </c>
      <c r="Q18" s="8" t="str">
        <f t="shared" si="16"/>
        <v/>
      </c>
      <c r="S18" t="s">
        <v>27</v>
      </c>
      <c r="Z18" t="s">
        <v>83</v>
      </c>
      <c r="AB18" s="11" t="s">
        <v>208</v>
      </c>
      <c r="AC18" s="10">
        <f t="shared" si="7"/>
        <v>2</v>
      </c>
      <c r="AD18" s="12">
        <f t="shared" si="19"/>
        <v>2</v>
      </c>
      <c r="AE18" s="8">
        <f t="shared" si="4"/>
        <v>10</v>
      </c>
      <c r="AF18" s="8">
        <f>IF(AE18="","",AE18+COUNTIF(AE$2:AE18,AE18)-1)</f>
        <v>12</v>
      </c>
      <c r="AK18" s="22" t="s">
        <v>1087</v>
      </c>
      <c r="AL18" s="14" t="str">
        <f>IF(セルの固定色(AK18)=セルの固定色(AK$6),1,"")</f>
        <v/>
      </c>
      <c r="AM18" s="14" t="str">
        <f>IF(OR(ISBLANK(AL18),AL18=""),"",COUNTIF(AL$6:AL18,"&gt;0"))</f>
        <v/>
      </c>
      <c r="AN18" s="14" t="str">
        <f t="shared" si="17"/>
        <v>ＩＯ推</v>
      </c>
      <c r="AO18" s="14">
        <f t="shared" si="18"/>
        <v>-8</v>
      </c>
      <c r="AP18" s="14" t="str">
        <f>IF(ISBLANK(AK18),"",LOOKUP(1,0/(AM$6:AM18=MAX(AM$6:AM18)),AK$6:AK18))</f>
        <v>ＶＣ本</v>
      </c>
    </row>
    <row r="19" spans="1:42" ht="19.5"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si="9"/>
        <v>ＤＸ部</v>
      </c>
      <c r="K19" s="19">
        <f t="shared" si="12"/>
        <v>0</v>
      </c>
      <c r="M19" s="8" t="b">
        <f t="shared" si="13"/>
        <v>0</v>
      </c>
      <c r="N19" s="8">
        <f>IF(J19="","",IF(M19,COUNTIF(M$4:M19,TRUE),0))</f>
        <v>0</v>
      </c>
      <c r="O19" s="8" t="str">
        <f t="shared" si="14"/>
        <v/>
      </c>
      <c r="P19" s="8" t="str">
        <f t="shared" si="15"/>
        <v/>
      </c>
      <c r="Q19" s="8" t="str">
        <f t="shared" si="16"/>
        <v/>
      </c>
      <c r="S19" t="s">
        <v>54</v>
      </c>
      <c r="Z19" t="s">
        <v>83</v>
      </c>
      <c r="AB19" s="11" t="s">
        <v>826</v>
      </c>
      <c r="AC19" s="10">
        <f t="shared" si="7"/>
        <v>1</v>
      </c>
      <c r="AD19" s="12">
        <f t="shared" si="19"/>
        <v>1</v>
      </c>
      <c r="AE19" s="8">
        <f t="shared" si="4"/>
        <v>15</v>
      </c>
      <c r="AF19" s="8">
        <f>IF(AE19="","",AE19+COUNTIF(AE$2:AE19,AE19)-1)</f>
        <v>20</v>
      </c>
      <c r="AK19" s="22" t="s">
        <v>1089</v>
      </c>
      <c r="AL19" s="14" t="str">
        <f>IF(セルの固定色(AK19)=セルの固定色(AK$6),1,"")</f>
        <v/>
      </c>
      <c r="AM19" s="14" t="str">
        <f>IF(OR(ISBLANK(AL19),AL19=""),"",COUNTIF(AL$6:AL19,"&gt;0"))</f>
        <v/>
      </c>
      <c r="AN19" s="14" t="str">
        <f t="shared" si="17"/>
        <v>営推部</v>
      </c>
      <c r="AO19" s="14">
        <f t="shared" si="18"/>
        <v>-7</v>
      </c>
      <c r="AP19" s="14" t="str">
        <f>IF(ISBLANK(AK19),"",LOOKUP(1,0/(AM$6:AM19=MAX(AM$6:AM19)),AK$6:AK19))</f>
        <v>ＶＣ本</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si="9"/>
        <v>経企部</v>
      </c>
      <c r="K20" s="19">
        <f t="shared" si="12"/>
        <v>0</v>
      </c>
      <c r="M20" s="8" t="b">
        <f t="shared" si="13"/>
        <v>0</v>
      </c>
      <c r="N20" s="8">
        <f>IF(J20="","",IF(M20,COUNTIF(M$4:M20,TRUE),0))</f>
        <v>0</v>
      </c>
      <c r="O20" s="8" t="str">
        <f t="shared" si="14"/>
        <v/>
      </c>
      <c r="P20" s="8" t="str">
        <f t="shared" si="15"/>
        <v/>
      </c>
      <c r="Q20" s="8" t="str">
        <f t="shared" si="16"/>
        <v/>
      </c>
      <c r="S20" t="s">
        <v>54</v>
      </c>
      <c r="Z20" t="s">
        <v>68</v>
      </c>
      <c r="AB20" s="11" t="s">
        <v>222</v>
      </c>
      <c r="AC20" s="10">
        <f t="shared" si="7"/>
        <v>7</v>
      </c>
      <c r="AD20" s="12">
        <f t="shared" si="19"/>
        <v>7</v>
      </c>
      <c r="AE20" s="8">
        <f t="shared" si="4"/>
        <v>4</v>
      </c>
      <c r="AF20" s="8">
        <f>IF(AE20="","",AE20+COUNTIF(AE$2:AE20,AE20)-1)</f>
        <v>4</v>
      </c>
      <c r="AK20" s="23" t="s">
        <v>1463</v>
      </c>
      <c r="AL20" s="14">
        <f>IF(セルの固定色(AK20)=セルの固定色(AK$6),1,"")</f>
        <v>1</v>
      </c>
      <c r="AM20" s="14">
        <f>IF(OR(ISBLANK(AL20),AL20=""),"",COUNTIF(AL$6:AL20,"&gt;0"))</f>
        <v>2</v>
      </c>
      <c r="AN20" s="14" t="str">
        <f t="shared" si="17"/>
        <v>情セ部</v>
      </c>
      <c r="AO20" s="14">
        <f t="shared" si="18"/>
        <v>-6</v>
      </c>
      <c r="AP20" s="14" t="str">
        <f>IF(ISBLANK(AK20),"",LOOKUP(1,0/(AM$6:AM20=MAX(AM$6:AM20)),AK$6:AK20))</f>
        <v>西本部</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si="9"/>
        <v>総務部</v>
      </c>
      <c r="K21" s="19">
        <f t="shared" si="12"/>
        <v>0</v>
      </c>
      <c r="M21" s="8" t="b">
        <f t="shared" si="13"/>
        <v>0</v>
      </c>
      <c r="N21" s="8">
        <f>IF(J21="","",IF(M21,COUNTIF(M$4:M21,TRUE),0))</f>
        <v>0</v>
      </c>
      <c r="O21" s="8" t="str">
        <f t="shared" si="14"/>
        <v/>
      </c>
      <c r="P21" s="8" t="str">
        <f t="shared" si="15"/>
        <v/>
      </c>
      <c r="Q21" s="8" t="str">
        <f t="shared" si="16"/>
        <v/>
      </c>
      <c r="S21" t="s">
        <v>27</v>
      </c>
      <c r="Z21" t="s">
        <v>68</v>
      </c>
      <c r="AB21" s="11" t="s">
        <v>105</v>
      </c>
      <c r="AC21" s="10">
        <f t="shared" si="7"/>
        <v>1</v>
      </c>
      <c r="AD21" s="12">
        <f t="shared" si="19"/>
        <v>1</v>
      </c>
      <c r="AE21" s="8">
        <f t="shared" si="4"/>
        <v>15</v>
      </c>
      <c r="AF21" s="8">
        <f>IF(AE21="","",AE21+COUNTIF(AE$2:AE21,AE21)-1)</f>
        <v>21</v>
      </c>
      <c r="AK21" s="18" t="s">
        <v>1090</v>
      </c>
      <c r="AL21" s="14" t="str">
        <f>IF(セルの固定色(AK21)=セルの固定色(AK$6),1,"")</f>
        <v/>
      </c>
      <c r="AM21" s="14" t="str">
        <f>IF(OR(ISBLANK(AL21),AL21=""),"",COUNTIF(AL$6:AL21,"&gt;0"))</f>
        <v/>
      </c>
      <c r="AN21" s="14" t="str">
        <f t="shared" si="17"/>
        <v>ＤＸ部</v>
      </c>
      <c r="AO21" s="14">
        <f t="shared" si="18"/>
        <v>-5</v>
      </c>
      <c r="AP21" s="14" t="str">
        <f>IF(ISBLANK(AK21),"",LOOKUP(1,0/(AM$6:AM21=MAX(AM$6:AM21)),AK$6:AK21))</f>
        <v>西本部</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si="9"/>
        <v>人事部</v>
      </c>
      <c r="K22" s="19">
        <f t="shared" si="12"/>
        <v>1</v>
      </c>
      <c r="M22" s="8" t="b">
        <f t="shared" si="13"/>
        <v>1</v>
      </c>
      <c r="N22" s="8">
        <f>IF(J22="","",IF(M22,COUNTIF(M$4:M22,TRUE),0))</f>
        <v>7</v>
      </c>
      <c r="O22" s="8" t="str">
        <f t="shared" si="14"/>
        <v/>
      </c>
      <c r="P22" s="8" t="str">
        <f t="shared" si="15"/>
        <v/>
      </c>
      <c r="Q22" s="8" t="str">
        <f t="shared" si="16"/>
        <v/>
      </c>
      <c r="S22" t="s">
        <v>494</v>
      </c>
      <c r="Z22" t="s">
        <v>44</v>
      </c>
      <c r="AB22" s="11" t="s">
        <v>903</v>
      </c>
      <c r="AC22" s="10">
        <f t="shared" si="7"/>
        <v>2</v>
      </c>
      <c r="AD22" s="12">
        <f t="shared" si="19"/>
        <v>2</v>
      </c>
      <c r="AE22" s="8">
        <f t="shared" si="4"/>
        <v>10</v>
      </c>
      <c r="AF22" s="8">
        <f>IF(AE22="","",AE22+COUNTIF(AE$2:AE22,AE22)-1)</f>
        <v>13</v>
      </c>
      <c r="AK22" s="18" t="s">
        <v>1092</v>
      </c>
      <c r="AL22" s="14" t="str">
        <f>IF(セルの固定色(AK22)=セルの固定色(AK$6),1,"")</f>
        <v/>
      </c>
      <c r="AM22" s="14" t="str">
        <f>IF(OR(ISBLANK(AL22),AL22=""),"",COUNTIF(AL$6:AL22,"&gt;0"))</f>
        <v/>
      </c>
      <c r="AN22" s="14" t="str">
        <f t="shared" si="17"/>
        <v>経企部</v>
      </c>
      <c r="AO22" s="14">
        <f t="shared" si="18"/>
        <v>-4</v>
      </c>
      <c r="AP22" s="14" t="str">
        <f>IF(ISBLANK(AK22),"",LOOKUP(1,0/(AM$6:AM22=MAX(AM$6:AM22)),AK$6:AK22))</f>
        <v>西本部</v>
      </c>
    </row>
    <row r="23" spans="1:42">
      <c r="A23" s="7" t="s">
        <v>1457</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si="9"/>
        <v>考査部</v>
      </c>
      <c r="K23" s="19">
        <f t="shared" si="12"/>
        <v>0</v>
      </c>
      <c r="M23" s="8" t="b">
        <f t="shared" si="13"/>
        <v>0</v>
      </c>
      <c r="N23" s="8">
        <f>IF(J23="","",IF(M23,COUNTIF(M$4:M23,TRUE),0))</f>
        <v>0</v>
      </c>
      <c r="O23" s="8" t="str">
        <f t="shared" si="14"/>
        <v/>
      </c>
      <c r="P23" s="8" t="str">
        <f t="shared" si="15"/>
        <v/>
      </c>
      <c r="Q23" s="8" t="str">
        <f t="shared" si="16"/>
        <v/>
      </c>
      <c r="S23" t="s">
        <v>54</v>
      </c>
      <c r="Z23" t="s">
        <v>37</v>
      </c>
      <c r="AB23" s="11" t="s">
        <v>911</v>
      </c>
      <c r="AC23" s="10">
        <f t="shared" si="7"/>
        <v>1</v>
      </c>
      <c r="AD23" s="12">
        <f t="shared" si="19"/>
        <v>1</v>
      </c>
      <c r="AE23" s="8">
        <f t="shared" si="4"/>
        <v>15</v>
      </c>
      <c r="AF23" s="8">
        <f>IF(AE23="","",AE23+COUNTIF(AE$2:AE23,AE23)-1)</f>
        <v>22</v>
      </c>
      <c r="AK23" s="18" t="s">
        <v>1093</v>
      </c>
      <c r="AL23" s="14" t="str">
        <f>IF(セルの固定色(AK23)=セルの固定色(AK$6),1,"")</f>
        <v/>
      </c>
      <c r="AM23" s="14" t="str">
        <f>IF(OR(ISBLANK(AL23),AL23=""),"",COUNTIF(AL$6:AL23,"&gt;0"))</f>
        <v/>
      </c>
      <c r="AN23" s="14" t="str">
        <f t="shared" si="17"/>
        <v>総務部</v>
      </c>
      <c r="AO23" s="14">
        <f t="shared" si="18"/>
        <v>-3</v>
      </c>
      <c r="AP23" s="14" t="str">
        <f>IF(ISBLANK(AK23),"",LOOKUP(1,0/(AM$6:AM23=MAX(AM$6:AM23)),AK$6:AK23))</f>
        <v>西本部</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si="9"/>
        <v>監査室</v>
      </c>
      <c r="K24" s="19">
        <f t="shared" si="12"/>
        <v>0</v>
      </c>
      <c r="M24" s="8" t="b">
        <f t="shared" si="13"/>
        <v>0</v>
      </c>
      <c r="N24" s="8">
        <f>IF(J24="","",IF(M24,COUNTIF(M$4:M24,TRUE),0))</f>
        <v>0</v>
      </c>
      <c r="O24" s="8" t="str">
        <f t="shared" si="14"/>
        <v/>
      </c>
      <c r="P24" s="8" t="str">
        <f t="shared" si="15"/>
        <v/>
      </c>
      <c r="Q24" s="8" t="str">
        <f t="shared" si="16"/>
        <v/>
      </c>
      <c r="S24" t="s">
        <v>494</v>
      </c>
      <c r="Z24" t="s">
        <v>773</v>
      </c>
      <c r="AB24" s="11" t="s">
        <v>985</v>
      </c>
      <c r="AC24" s="10">
        <f t="shared" si="7"/>
        <v>1</v>
      </c>
      <c r="AD24" s="12">
        <f>SUM(AC24)</f>
        <v>1</v>
      </c>
      <c r="AE24" s="8">
        <f t="shared" si="4"/>
        <v>15</v>
      </c>
      <c r="AF24" s="8">
        <f>IF(AE24="","",AE24+COUNTIF(AE$2:AE24,AE24)-1)</f>
        <v>23</v>
      </c>
      <c r="AK24" s="24" t="s">
        <v>1094</v>
      </c>
      <c r="AL24" s="14" t="str">
        <f>IF(セルの固定色(AK24)=セルの固定色(AK$6),1,"")</f>
        <v/>
      </c>
      <c r="AM24" s="14" t="str">
        <f>IF(OR(ISBLANK(AL24),AL24=""),"",COUNTIF(AL$6:AL24,"&gt;0"))</f>
        <v/>
      </c>
      <c r="AN24" s="14" t="str">
        <f t="shared" si="17"/>
        <v>人事部</v>
      </c>
      <c r="AO24" s="14">
        <f t="shared" si="18"/>
        <v>-2</v>
      </c>
      <c r="AP24" s="14" t="str">
        <f>IF(ISBLANK(AK24),"",LOOKUP(1,0/(AM$6:AM24=MAX(AM$6:AM24)),AK$6:AK24))</f>
        <v>西本部</v>
      </c>
    </row>
    <row r="25" spans="1:42">
      <c r="A25" t="s">
        <v>1458</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si="9"/>
        <v/>
      </c>
      <c r="K25" s="19" t="str">
        <f t="shared" si="12"/>
        <v/>
      </c>
      <c r="M25" s="8" t="str">
        <f t="shared" si="13"/>
        <v/>
      </c>
      <c r="N25" s="8" t="str">
        <f>IF(J25="","",IF(M25,COUNTIF(M$4:M25,TRUE),0))</f>
        <v/>
      </c>
      <c r="O25" s="8" t="str">
        <f t="shared" si="14"/>
        <v/>
      </c>
      <c r="P25" s="8" t="str">
        <f t="shared" si="15"/>
        <v/>
      </c>
      <c r="Q25" s="8" t="str">
        <f t="shared" si="16"/>
        <v/>
      </c>
      <c r="S25" t="s">
        <v>779</v>
      </c>
      <c r="Z25" t="s">
        <v>780</v>
      </c>
      <c r="AB25" s="11" t="s">
        <v>477</v>
      </c>
      <c r="AC25" s="10">
        <f t="shared" si="7"/>
        <v>1</v>
      </c>
      <c r="AD25" s="12">
        <f t="shared" ref="AD25" si="21">SUM(AC25)</f>
        <v>1</v>
      </c>
      <c r="AE25" s="8">
        <f t="shared" si="4"/>
        <v>15</v>
      </c>
      <c r="AF25" s="8">
        <f>IF(AE25="","",AE25+COUNTIF(AE$2:AE25,AE25)-1)</f>
        <v>24</v>
      </c>
      <c r="AK25" s="24" t="s">
        <v>1096</v>
      </c>
      <c r="AL25" s="14" t="str">
        <f>IF(セルの固定色(AK25)=セルの固定色(AK$6),1,"")</f>
        <v/>
      </c>
      <c r="AM25" s="14" t="str">
        <f>IF(OR(ISBLANK(AL25),AL25=""),"",COUNTIF(AL$6:AL25,"&gt;0"))</f>
        <v/>
      </c>
      <c r="AN25" s="14" t="str">
        <f t="shared" si="17"/>
        <v>考査部</v>
      </c>
      <c r="AO25" s="14">
        <f t="shared" si="18"/>
        <v>-1</v>
      </c>
      <c r="AP25" s="14" t="str">
        <f>IF(ISBLANK(AK25),"",LOOKUP(1,0/(AM$6:AM25=MAX(AM$6:AM25)),AK$6:AK25))</f>
        <v>西本部</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si="9"/>
        <v/>
      </c>
      <c r="K26" s="19" t="str">
        <f t="shared" si="12"/>
        <v/>
      </c>
      <c r="M26" s="8" t="str">
        <f t="shared" si="13"/>
        <v/>
      </c>
      <c r="N26" s="8" t="str">
        <f>IF(J26="","",IF(M26,COUNTIF(M$4:M26,TRUE),0))</f>
        <v/>
      </c>
      <c r="O26" s="8" t="str">
        <f t="shared" si="14"/>
        <v/>
      </c>
      <c r="P26" s="8" t="str">
        <f t="shared" si="15"/>
        <v/>
      </c>
      <c r="Q26" s="8" t="str">
        <f t="shared" si="16"/>
        <v/>
      </c>
      <c r="S26" t="s">
        <v>87</v>
      </c>
      <c r="Z26" t="s">
        <v>68</v>
      </c>
      <c r="AB26" s="11" t="s">
        <v>999</v>
      </c>
      <c r="AC26" s="10">
        <f t="shared" si="7"/>
        <v>1</v>
      </c>
      <c r="AD26" s="12">
        <f>SUM(AC26)</f>
        <v>1</v>
      </c>
      <c r="AE26" s="8">
        <f t="shared" si="4"/>
        <v>15</v>
      </c>
      <c r="AF26" s="8">
        <f>IF(AE26="","",AE26+COUNTIF(AE$2:AE26,AE26)-1)</f>
        <v>25</v>
      </c>
      <c r="AK26" s="24" t="s">
        <v>1097</v>
      </c>
      <c r="AL26" s="14" t="str">
        <f>IF(セルの固定色(AK26)=セルの固定色(AK$6),1,"")</f>
        <v/>
      </c>
      <c r="AM26" s="14" t="str">
        <f>IF(OR(ISBLANK(AL26),AL26=""),"",COUNTIF(AL$6:AL26,"&gt;0"))</f>
        <v/>
      </c>
      <c r="AN26" s="14" t="str">
        <f t="shared" si="17"/>
        <v>監査室</v>
      </c>
      <c r="AO26" s="14">
        <f t="shared" si="18"/>
        <v>0</v>
      </c>
      <c r="AP26" s="14" t="str">
        <f>IF(ISBLANK(AK26),"",LOOKUP(1,0/(AM$6:AM26=MAX(AM$6:AM26)),AK$6:AK26))</f>
        <v>西本部</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si="9"/>
        <v/>
      </c>
      <c r="K27" s="19" t="str">
        <f t="shared" si="12"/>
        <v/>
      </c>
      <c r="M27" s="8" t="str">
        <f t="shared" si="13"/>
        <v/>
      </c>
      <c r="N27" s="8" t="str">
        <f>IF(J27="","",IF(M27,COUNTIF(M$4:M27,TRUE),0))</f>
        <v/>
      </c>
      <c r="P27" s="27">
        <f>SUM(P4:P26)</f>
        <v>105</v>
      </c>
      <c r="Q27" s="27">
        <f>SUM(Q4:Q26)</f>
        <v>82</v>
      </c>
      <c r="S27" t="s">
        <v>27</v>
      </c>
      <c r="Z27" t="s">
        <v>59</v>
      </c>
      <c r="AB27" s="11" t="s">
        <v>639</v>
      </c>
      <c r="AC27" s="10">
        <f t="shared" si="7"/>
        <v>1</v>
      </c>
      <c r="AD27" s="12">
        <f>SUM(AC27)</f>
        <v>1</v>
      </c>
      <c r="AE27" s="8">
        <f t="shared" si="4"/>
        <v>15</v>
      </c>
      <c r="AF27" s="8">
        <f>IF(AE27="","",AE27+COUNTIF(AE$2:AE27,AE27)-1)</f>
        <v>26</v>
      </c>
      <c r="AK27" s="25" t="s">
        <v>1098</v>
      </c>
      <c r="AL27" s="14" t="str">
        <f>IF(セルの固定色(AK27)=セルの固定色(AK$6),1,"")</f>
        <v/>
      </c>
      <c r="AM27" s="14" t="str">
        <f>IF(OR(ISBLANK(AL27),AL27=""),"",COUNTIF(AL$6:AL27,"&gt;0"))</f>
        <v/>
      </c>
      <c r="AN27" s="14" t="str">
        <f t="shared" si="17"/>
        <v/>
      </c>
      <c r="AO27" s="14">
        <f t="shared" si="18"/>
        <v>1</v>
      </c>
      <c r="AP27" s="14" t="str">
        <f>IF(ISBLANK(AK27),"",LOOKUP(1,0/(AM$6:AM27=MAX(AM$6:AM27)),AK$6:AK27))</f>
        <v>西本部</v>
      </c>
    </row>
    <row r="28" spans="1:42" ht="20.25"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si="9"/>
        <v/>
      </c>
      <c r="K28" s="19" t="str">
        <f t="shared" si="12"/>
        <v/>
      </c>
      <c r="M28" s="8" t="str">
        <f t="shared" si="13"/>
        <v/>
      </c>
      <c r="N28" s="8" t="str">
        <f>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str">
        <f>IF(セルの固定色(AK28)=セルの固定色(AK$6),1,"")</f>
        <v/>
      </c>
      <c r="AM28" s="14" t="str">
        <f>IF(OR(ISBLANK(AL28),AL28=""),"",COUNTIF(AL$6:AL28,"&gt;0"))</f>
        <v/>
      </c>
      <c r="AN28" s="14" t="str">
        <f t="shared" si="17"/>
        <v/>
      </c>
      <c r="AO28" s="14">
        <f t="shared" si="18"/>
        <v>2</v>
      </c>
      <c r="AP28" s="14" t="str">
        <f>IF(ISBLANK(AK28),"",LOOKUP(1,0/(AM$6:AM28=MAX(AM$6:AM28)),AK$6:AK28))</f>
        <v>西本部</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si="9"/>
        <v/>
      </c>
      <c r="K29" s="19" t="str">
        <f t="shared" si="12"/>
        <v/>
      </c>
      <c r="M29" s="8" t="str">
        <f t="shared" si="13"/>
        <v/>
      </c>
      <c r="N29" s="8" t="str">
        <f>IF(J29="","",IF(M29,COUNTIF(M$4:M29,TRUE),0))</f>
        <v/>
      </c>
      <c r="S29" t="s">
        <v>27</v>
      </c>
      <c r="Z29" t="s">
        <v>37</v>
      </c>
      <c r="AC29" s="8" t="str">
        <f t="shared" si="7"/>
        <v/>
      </c>
      <c r="AE29" s="8" t="str">
        <f t="shared" si="4"/>
        <v/>
      </c>
      <c r="AF29" s="8" t="str">
        <f>IF(AE29="","",AE29+COUNTIF(AE$2:AE29,AE29)-1)</f>
        <v/>
      </c>
      <c r="AK29" s="23" t="s">
        <v>1464</v>
      </c>
      <c r="AL29" s="14">
        <f>IF(セルの固定色(AK29)=セルの固定色(AK$6),1,"")</f>
        <v>1</v>
      </c>
      <c r="AM29" s="14">
        <f>IF(OR(ISBLANK(AL29),AL29=""),"",COUNTIF(AL$6:AL29,"&gt;0"))</f>
        <v>3</v>
      </c>
      <c r="AN29" s="14" t="str">
        <f t="shared" si="17"/>
        <v/>
      </c>
      <c r="AO29" s="14">
        <f t="shared" si="18"/>
        <v>3</v>
      </c>
      <c r="AP29" s="14" t="str">
        <f>IF(ISBLANK(AK29),"",LOOKUP(1,0/(AM$6:AM29=MAX(AM$6:AM29)),AK$6:AK29))</f>
        <v>ＧＢ本</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si="9"/>
        <v/>
      </c>
      <c r="K30" s="19" t="str">
        <f t="shared" si="12"/>
        <v/>
      </c>
      <c r="M30" s="8" t="str">
        <f t="shared" si="13"/>
        <v/>
      </c>
      <c r="N30" s="8" t="str">
        <f>IF(J30="","",IF(M30,COUNTIF(M$4:M30,TRUE),0))</f>
        <v/>
      </c>
      <c r="S30" t="s">
        <v>27</v>
      </c>
      <c r="Z30" t="s">
        <v>795</v>
      </c>
      <c r="AB30" s="28" t="s">
        <v>715</v>
      </c>
      <c r="AC30" s="8">
        <f t="shared" si="7"/>
        <v>1</v>
      </c>
      <c r="AD30" s="12">
        <f>SUM(AC30)</f>
        <v>1</v>
      </c>
      <c r="AE30" s="8">
        <f t="shared" si="4"/>
        <v>15</v>
      </c>
      <c r="AF30" s="8">
        <f>IF(AE30="","",AE30+COUNTIF(AE$2:AE30,AE30)-1)</f>
        <v>28</v>
      </c>
      <c r="AK30" s="18" t="s">
        <v>1101</v>
      </c>
      <c r="AL30" s="14" t="str">
        <f>IF(セルの固定色(AK30)=セルの固定色(AK$6),1,"")</f>
        <v/>
      </c>
      <c r="AM30" s="14" t="str">
        <f>IF(OR(ISBLANK(AL30),AL30=""),"",COUNTIF(AL$6:AL30,"&gt;0"))</f>
        <v/>
      </c>
      <c r="AN30" s="14" t="str">
        <f t="shared" si="17"/>
        <v/>
      </c>
      <c r="AO30" s="14">
        <f t="shared" si="18"/>
        <v>4</v>
      </c>
      <c r="AP30" s="14" t="str">
        <f>IF(ISBLANK(AK30),"",LOOKUP(1,0/(AM$6:AM30=MAX(AM$6:AM30)),AK$6:AK30))</f>
        <v>ＧＢ本</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si="9"/>
        <v/>
      </c>
      <c r="K31" s="19" t="str">
        <f t="shared" si="12"/>
        <v/>
      </c>
      <c r="M31" s="8" t="str">
        <f t="shared" si="13"/>
        <v/>
      </c>
      <c r="N31" s="8" t="str">
        <f>IF(J31="","",IF(M31,COUNTIF(M$4:M31,TRUE),0))</f>
        <v/>
      </c>
      <c r="S31" t="s">
        <v>27</v>
      </c>
      <c r="Z31" t="s">
        <v>246</v>
      </c>
      <c r="AB31" s="28" t="s">
        <v>733</v>
      </c>
      <c r="AC31" s="8">
        <f t="shared" si="7"/>
        <v>1</v>
      </c>
      <c r="AD31" s="12">
        <f>SUM(AC31)</f>
        <v>1</v>
      </c>
      <c r="AE31" s="8">
        <f t="shared" si="4"/>
        <v>15</v>
      </c>
      <c r="AF31" s="8">
        <f>IF(AE31="","",AE31+COUNTIF(AE$2:AE31,AE31)-1)</f>
        <v>29</v>
      </c>
      <c r="AK31" s="18" t="s">
        <v>47</v>
      </c>
      <c r="AL31" s="14" t="str">
        <f>IF(セルの固定色(AK31)=セルの固定色(AK$6),1,"")</f>
        <v/>
      </c>
      <c r="AM31" s="14" t="str">
        <f>IF(OR(ISBLANK(AL31),AL31=""),"",COUNTIF(AL$6:AL31,"&gt;0"))</f>
        <v/>
      </c>
      <c r="AN31" s="14" t="str">
        <f t="shared" si="17"/>
        <v/>
      </c>
      <c r="AO31" s="14">
        <f t="shared" si="18"/>
        <v>5</v>
      </c>
      <c r="AP31" s="14" t="str">
        <f>IF(ISBLANK(AK31),"",LOOKUP(1,0/(AM$6:AM31=MAX(AM$6:AM31)),AK$6:AK31))</f>
        <v>ＧＢ本</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si="9"/>
        <v/>
      </c>
      <c r="K32" s="19" t="str">
        <f t="shared" si="12"/>
        <v/>
      </c>
      <c r="M32" s="8" t="str">
        <f t="shared" si="13"/>
        <v/>
      </c>
      <c r="N32" s="8" t="str">
        <f>IF(J32="","",IF(M32,COUNTIF(M$4:M32,TRUE),0))</f>
        <v/>
      </c>
      <c r="S32" t="s">
        <v>54</v>
      </c>
      <c r="Z32" t="s">
        <v>532</v>
      </c>
      <c r="AB32" s="28" t="s">
        <v>242</v>
      </c>
      <c r="AC32" s="8">
        <f t="shared" si="7"/>
        <v>1</v>
      </c>
      <c r="AD32" s="12">
        <f>SUM(AC32)</f>
        <v>1</v>
      </c>
      <c r="AE32" s="8">
        <f t="shared" si="4"/>
        <v>15</v>
      </c>
      <c r="AF32" s="8">
        <f>IF(AE32="","",AE32+COUNTIF(AE$2:AE32,AE32)-1)</f>
        <v>30</v>
      </c>
      <c r="AK32" s="18" t="s">
        <v>1102</v>
      </c>
      <c r="AL32" s="14" t="str">
        <f>IF(セルの固定色(AK32)=セルの固定色(AK$6),1,"")</f>
        <v/>
      </c>
      <c r="AM32" s="14" t="str">
        <f>IF(OR(ISBLANK(AL32),AL32=""),"",COUNTIF(AL$6:AL32,"&gt;0"))</f>
        <v/>
      </c>
      <c r="AN32" s="14" t="str">
        <f t="shared" si="17"/>
        <v/>
      </c>
      <c r="AO32" s="14">
        <f t="shared" si="18"/>
        <v>6</v>
      </c>
      <c r="AP32" s="14" t="str">
        <f>IF(ISBLANK(AK32),"",LOOKUP(1,0/(AM$6:AM32=MAX(AM$6:AM32)),AK$6:AK32))</f>
        <v>ＧＢ本</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si="9"/>
        <v/>
      </c>
      <c r="K33" s="19" t="str">
        <f t="shared" si="12"/>
        <v/>
      </c>
      <c r="M33" s="8" t="str">
        <f t="shared" si="13"/>
        <v/>
      </c>
      <c r="N33" s="8" t="str">
        <f>IF(J33="","",IF(M33,COUNTIF(M$4:M33,TRUE),0))</f>
        <v/>
      </c>
      <c r="S33" t="s">
        <v>27</v>
      </c>
      <c r="Z33" t="s">
        <v>208</v>
      </c>
      <c r="AB33" s="28" t="s">
        <v>925</v>
      </c>
      <c r="AC33" s="8">
        <f t="shared" si="7"/>
        <v>2</v>
      </c>
      <c r="AD33" s="12">
        <f>SUM(AC33)</f>
        <v>2</v>
      </c>
      <c r="AE33" s="8">
        <f t="shared" si="4"/>
        <v>10</v>
      </c>
      <c r="AF33" s="8">
        <f>IF(AE33="","",AE33+COUNTIF(AE$2:AE33,AE33)-1)</f>
        <v>14</v>
      </c>
      <c r="AK33" s="18" t="s">
        <v>1103</v>
      </c>
      <c r="AL33" s="14" t="str">
        <f>IF(セルの固定色(AK33)=セルの固定色(AK$6),1,"")</f>
        <v/>
      </c>
      <c r="AM33" s="14" t="str">
        <f>IF(OR(ISBLANK(AL33),AL33=""),"",COUNTIF(AL$6:AL33,"&gt;0"))</f>
        <v/>
      </c>
      <c r="AN33" s="14" t="str">
        <f t="shared" si="17"/>
        <v/>
      </c>
      <c r="AO33" s="14">
        <f t="shared" si="18"/>
        <v>7</v>
      </c>
      <c r="AP33" s="14" t="str">
        <f>IF(ISBLANK(AK33),"",LOOKUP(1,0/(AM$6:AM33=MAX(AM$6:AM33)),AK$6:AK33))</f>
        <v>ＧＢ本</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si="9"/>
        <v/>
      </c>
      <c r="K34" s="19" t="str">
        <f t="shared" si="12"/>
        <v/>
      </c>
      <c r="M34" s="8" t="str">
        <f t="shared" si="13"/>
        <v/>
      </c>
      <c r="N34" s="8" t="str">
        <f>IF(J34="","",IF(M34,COUNTIF(M$4:M34,TRUE),0))</f>
        <v/>
      </c>
      <c r="S34" t="s">
        <v>27</v>
      </c>
      <c r="Z34" t="s">
        <v>532</v>
      </c>
      <c r="AC34" s="8" t="str">
        <f t="shared" si="7"/>
        <v/>
      </c>
      <c r="AE34" s="8" t="str">
        <f t="shared" si="4"/>
        <v/>
      </c>
      <c r="AF34" s="8" t="str">
        <f>IF(AE34="","",AE34+COUNTIF(AE$2:AE34,AE34)-1)</f>
        <v/>
      </c>
      <c r="AK34" s="18" t="s">
        <v>1104</v>
      </c>
      <c r="AL34" s="14" t="str">
        <f>IF(セルの固定色(AK34)=セルの固定色(AK$6),1,"")</f>
        <v/>
      </c>
      <c r="AM34" s="14" t="str">
        <f>IF(OR(ISBLANK(AL34),AL34=""),"",COUNTIF(AL$6:AL34,"&gt;0"))</f>
        <v/>
      </c>
      <c r="AN34" s="14" t="str">
        <f t="shared" si="17"/>
        <v/>
      </c>
      <c r="AO34" s="14">
        <f t="shared" si="18"/>
        <v>8</v>
      </c>
      <c r="AP34" s="14" t="str">
        <f>IF(ISBLANK(AK34),"",LOOKUP(1,0/(AM$6:AM34=MAX(AM$6:AM34)),AK$6:AK34))</f>
        <v>ＧＢ本</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si="9"/>
        <v/>
      </c>
      <c r="K35" s="19" t="str">
        <f t="shared" si="12"/>
        <v/>
      </c>
      <c r="M35" s="8" t="str">
        <f t="shared" si="13"/>
        <v/>
      </c>
      <c r="N35" s="8" t="str">
        <f>IF(J35="","",IF(M35,COUNTIF(M$4:M35,TRUE),0))</f>
        <v/>
      </c>
      <c r="S35" t="s">
        <v>27</v>
      </c>
      <c r="Z35" t="s">
        <v>37</v>
      </c>
      <c r="AC35" s="8" t="str">
        <f t="shared" si="7"/>
        <v/>
      </c>
      <c r="AE35" s="8" t="str">
        <f t="shared" si="4"/>
        <v/>
      </c>
      <c r="AF35" s="8" t="str">
        <f>IF(AE35="","",AE35+COUNTIF(AE$2:AE35,AE35)-1)</f>
        <v/>
      </c>
      <c r="AK35" s="18" t="s">
        <v>101</v>
      </c>
      <c r="AL35" s="14" t="str">
        <f>IF(セルの固定色(AK35)=セルの固定色(AK$6),1,"")</f>
        <v/>
      </c>
      <c r="AM35" s="14" t="str">
        <f>IF(OR(ISBLANK(AL35),AL35=""),"",COUNTIF(AL$6:AL35,"&gt;0"))</f>
        <v/>
      </c>
      <c r="AN35" s="14" t="str">
        <f t="shared" si="17"/>
        <v/>
      </c>
      <c r="AO35" s="14">
        <f t="shared" si="18"/>
        <v>9</v>
      </c>
      <c r="AP35" s="14" t="str">
        <f>IF(ISBLANK(AK35),"",LOOKUP(1,0/(AM$6:AM35=MAX(AM$6:AM35)),AK$6:AK35))</f>
        <v>ＧＢ本</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si="9"/>
        <v/>
      </c>
      <c r="K36" s="19" t="str">
        <f t="shared" si="12"/>
        <v/>
      </c>
      <c r="M36" s="8" t="str">
        <f t="shared" si="13"/>
        <v/>
      </c>
      <c r="N36" s="8" t="str">
        <f>IF(J36="","",IF(M36,COUNTIF(M$4:M36,TRUE),0))</f>
        <v/>
      </c>
      <c r="S36" t="s">
        <v>54</v>
      </c>
      <c r="Z36" t="s">
        <v>37</v>
      </c>
      <c r="AC36" s="8" t="str">
        <f t="shared" si="7"/>
        <v/>
      </c>
      <c r="AE36" s="8" t="str">
        <f t="shared" si="4"/>
        <v/>
      </c>
      <c r="AF36" s="8" t="str">
        <f>IF(AE36="","",AE36+COUNTIF(AE$2:AE36,AE36)-1)</f>
        <v/>
      </c>
      <c r="AK36" s="18" t="s">
        <v>1105</v>
      </c>
      <c r="AL36" s="14" t="str">
        <f>IF(セルの固定色(AK36)=セルの固定色(AK$6),1,"")</f>
        <v/>
      </c>
      <c r="AM36" s="14" t="str">
        <f>IF(OR(ISBLANK(AL36),AL36=""),"",COUNTIF(AL$6:AL36,"&gt;0"))</f>
        <v/>
      </c>
      <c r="AN36" s="14" t="str">
        <f t="shared" si="17"/>
        <v/>
      </c>
      <c r="AO36" s="14">
        <f t="shared" si="18"/>
        <v>10</v>
      </c>
      <c r="AP36" s="14" t="str">
        <f>IF(ISBLANK(AK36),"",LOOKUP(1,0/(AM$6:AM36=MAX(AM$6:AM36)),AK$6:AK36))</f>
        <v>ＧＢ本</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si="9"/>
        <v/>
      </c>
      <c r="K37" s="19" t="str">
        <f t="shared" si="12"/>
        <v/>
      </c>
      <c r="M37" s="8" t="str">
        <f t="shared" si="13"/>
        <v/>
      </c>
      <c r="N37" s="8" t="str">
        <f>IF(J37="","",IF(M37,COUNTIF(M$4:M37,TRUE),0))</f>
        <v/>
      </c>
      <c r="S37" t="s">
        <v>27</v>
      </c>
      <c r="Z37" t="s">
        <v>68</v>
      </c>
      <c r="AC37" s="8" t="str">
        <f t="shared" si="7"/>
        <v/>
      </c>
      <c r="AE37" s="8" t="str">
        <f t="shared" si="4"/>
        <v/>
      </c>
      <c r="AF37" s="8" t="str">
        <f>IF(AE37="","",AE37+COUNTIF(AE$2:AE37,AE37)-1)</f>
        <v/>
      </c>
      <c r="AK37" s="18" t="s">
        <v>32</v>
      </c>
      <c r="AL37" s="14" t="str">
        <f>IF(セルの固定色(AK37)=セルの固定色(AK$6),1,"")</f>
        <v/>
      </c>
      <c r="AM37" s="14" t="str">
        <f>IF(OR(ISBLANK(AL37),AL37=""),"",COUNTIF(AL$6:AL37,"&gt;0"))</f>
        <v/>
      </c>
      <c r="AN37" s="14" t="str">
        <f t="shared" si="17"/>
        <v/>
      </c>
      <c r="AO37" s="14">
        <f t="shared" si="18"/>
        <v>11</v>
      </c>
      <c r="AP37" s="14" t="str">
        <f>IF(ISBLANK(AK37),"",LOOKUP(1,0/(AM$6:AM37=MAX(AM$6:AM37)),AK$6:AK37))</f>
        <v>ＧＢ本</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si="9"/>
        <v/>
      </c>
      <c r="K38" s="19" t="str">
        <f t="shared" si="12"/>
        <v/>
      </c>
      <c r="M38" s="8" t="str">
        <f t="shared" si="13"/>
        <v/>
      </c>
      <c r="N38" s="8" t="str">
        <f>IF(J38="","",IF(M38,COUNTIF(M$4:M38,TRUE),0))</f>
        <v/>
      </c>
      <c r="S38" t="s">
        <v>27</v>
      </c>
      <c r="Z38" t="s">
        <v>242</v>
      </c>
      <c r="AC38" s="8" t="str">
        <f t="shared" si="7"/>
        <v/>
      </c>
      <c r="AE38" s="8" t="str">
        <f t="shared" si="4"/>
        <v/>
      </c>
      <c r="AF38" s="8" t="str">
        <f>IF(AE38="","",AE38+COUNTIF(AE$2:AE38,AE38)-1)</f>
        <v/>
      </c>
      <c r="AK38" s="18" t="s">
        <v>128</v>
      </c>
      <c r="AL38" s="14" t="str">
        <f>IF(セルの固定色(AK38)=セルの固定色(AK$6),1,"")</f>
        <v/>
      </c>
      <c r="AM38" s="14" t="str">
        <f>IF(OR(ISBLANK(AL38),AL38=""),"",COUNTIF(AL$6:AL38,"&gt;0"))</f>
        <v/>
      </c>
      <c r="AN38" s="14" t="str">
        <f t="shared" si="17"/>
        <v/>
      </c>
      <c r="AO38" s="14">
        <f t="shared" si="18"/>
        <v>12</v>
      </c>
      <c r="AP38" s="14" t="str">
        <f>IF(ISBLANK(AK38),"",LOOKUP(1,0/(AM$6:AM38=MAX(AM$6:AM38)),AK$6:AK38))</f>
        <v>ＧＢ本</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si="9"/>
        <v/>
      </c>
      <c r="K39" s="19" t="str">
        <f t="shared" si="12"/>
        <v/>
      </c>
      <c r="M39" s="8" t="str">
        <f t="shared" si="13"/>
        <v/>
      </c>
      <c r="N39" s="8" t="str">
        <f>IF(J39="","",IF(M39,COUNTIF(M$4:M39,TRUE),0))</f>
        <v/>
      </c>
      <c r="S39" t="s">
        <v>27</v>
      </c>
      <c r="Z39" t="s">
        <v>826</v>
      </c>
      <c r="AC39" s="8" t="str">
        <f t="shared" si="7"/>
        <v/>
      </c>
      <c r="AE39" s="8" t="str">
        <f t="shared" si="4"/>
        <v/>
      </c>
      <c r="AF39" s="8" t="str">
        <f>IF(AE39="","",AE39+COUNTIF(AE$2:AE39,AE39)-1)</f>
        <v/>
      </c>
      <c r="AK39" s="18" t="s">
        <v>1106</v>
      </c>
      <c r="AL39" s="14" t="str">
        <f>IF(セルの固定色(AK39)=セルの固定色(AK$6),1,"")</f>
        <v/>
      </c>
      <c r="AM39" s="14" t="str">
        <f>IF(OR(ISBLANK(AL39),AL39=""),"",COUNTIF(AL$6:AL39,"&gt;0"))</f>
        <v/>
      </c>
      <c r="AN39" s="14" t="str">
        <f t="shared" si="17"/>
        <v/>
      </c>
      <c r="AO39" s="14">
        <f t="shared" si="18"/>
        <v>13</v>
      </c>
      <c r="AP39" s="14" t="str">
        <f>IF(ISBLANK(AK39),"",LOOKUP(1,0/(AM$6:AM39=MAX(AM$6:AM39)),AK$6:AK39))</f>
        <v>ＧＢ本</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si="9"/>
        <v/>
      </c>
      <c r="K40" s="19" t="str">
        <f t="shared" si="12"/>
        <v/>
      </c>
      <c r="M40" s="8" t="str">
        <f t="shared" si="13"/>
        <v/>
      </c>
      <c r="N40" s="8" t="str">
        <f>IF(J40="","",IF(M40,COUNTIF(M$4:M40,TRUE),0))</f>
        <v/>
      </c>
      <c r="S40" t="s">
        <v>54</v>
      </c>
      <c r="Z40" t="s">
        <v>44</v>
      </c>
      <c r="AC40" s="8" t="str">
        <f t="shared" si="7"/>
        <v/>
      </c>
      <c r="AE40" s="8" t="str">
        <f t="shared" si="4"/>
        <v/>
      </c>
      <c r="AF40" s="8" t="str">
        <f>IF(AE40="","",AE40+COUNTIF(AE$2:AE40,AE40)-1)</f>
        <v/>
      </c>
      <c r="AK40" s="18" t="s">
        <v>1107</v>
      </c>
      <c r="AL40" s="14" t="str">
        <f>IF(セルの固定色(AK40)=セルの固定色(AK$6),1,"")</f>
        <v/>
      </c>
      <c r="AM40" s="14" t="str">
        <f>IF(OR(ISBLANK(AL40),AL40=""),"",COUNTIF(AL$6:AL40,"&gt;0"))</f>
        <v/>
      </c>
      <c r="AN40" s="14" t="str">
        <f t="shared" si="17"/>
        <v/>
      </c>
      <c r="AO40" s="14">
        <f t="shared" si="18"/>
        <v>14</v>
      </c>
      <c r="AP40" s="14" t="str">
        <f>IF(ISBLANK(AK40),"",LOOKUP(1,0/(AM$6:AM40=MAX(AM$6:AM40)),AK$6:AK40))</f>
        <v>ＧＢ本</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si="9"/>
        <v/>
      </c>
      <c r="S41" t="s">
        <v>27</v>
      </c>
      <c r="Z41" t="s">
        <v>59</v>
      </c>
      <c r="AC41" s="8" t="str">
        <f t="shared" si="7"/>
        <v/>
      </c>
      <c r="AE41" s="8" t="str">
        <f t="shared" si="4"/>
        <v/>
      </c>
      <c r="AF41" s="8" t="str">
        <f>IF(AE41="","",AE41+COUNTIF(AE$2:AE41,AE41)-1)</f>
        <v/>
      </c>
      <c r="AK41" s="18" t="s">
        <v>1108</v>
      </c>
      <c r="AL41" s="14" t="str">
        <f>IF(セルの固定色(AK41)=セルの固定色(AK$6),1,"")</f>
        <v/>
      </c>
      <c r="AM41" s="14" t="str">
        <f>IF(OR(ISBLANK(AL41),AL41=""),"",COUNTIF(AL$6:AL41,"&gt;0"))</f>
        <v/>
      </c>
      <c r="AN41" s="14" t="str">
        <f t="shared" si="17"/>
        <v/>
      </c>
      <c r="AO41" s="14">
        <f t="shared" si="18"/>
        <v>15</v>
      </c>
      <c r="AP41" s="14" t="str">
        <f>IF(ISBLANK(AK41),"",LOOKUP(1,0/(AM$6:AM41=MAX(AM$6:AM41)),AK$6:AK41))</f>
        <v>ＧＢ本</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si="9"/>
        <v/>
      </c>
      <c r="S42" t="s">
        <v>116</v>
      </c>
      <c r="Z42" t="s">
        <v>68</v>
      </c>
      <c r="AC42" s="8" t="str">
        <f t="shared" si="7"/>
        <v/>
      </c>
      <c r="AE42" s="8" t="str">
        <f t="shared" si="4"/>
        <v/>
      </c>
      <c r="AF42" s="8" t="str">
        <f>IF(AE42="","",AE42+COUNTIF(AE$2:AE42,AE42)-1)</f>
        <v/>
      </c>
      <c r="AK42" s="18" t="s">
        <v>1109</v>
      </c>
      <c r="AL42" s="14" t="str">
        <f>IF(セルの固定色(AK42)=セルの固定色(AK$6),1,"")</f>
        <v/>
      </c>
      <c r="AM42" s="14" t="str">
        <f>IF(OR(ISBLANK(AL42),AL42=""),"",COUNTIF(AL$6:AL42,"&gt;0"))</f>
        <v/>
      </c>
      <c r="AN42" s="14" t="str">
        <f t="shared" si="17"/>
        <v/>
      </c>
      <c r="AO42" s="14">
        <f t="shared" si="18"/>
        <v>16</v>
      </c>
      <c r="AP42" s="14" t="str">
        <f>IF(ISBLANK(AK42),"",LOOKUP(1,0/(AM$6:AM42=MAX(AM$6:AM42)),AK$6:AK42))</f>
        <v>ＧＢ本</v>
      </c>
    </row>
    <row r="43" spans="2:42" ht="19.5"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str">
        <f>IF(セルの固定色(AK43)=セルの固定色(AK$6),1,"")</f>
        <v/>
      </c>
      <c r="AM43" s="14" t="str">
        <f>IF(OR(ISBLANK(AL43),AL43=""),"",COUNTIF(AL$6:AL43,"&gt;0"))</f>
        <v/>
      </c>
      <c r="AN43" s="14" t="str">
        <f t="shared" si="17"/>
        <v/>
      </c>
      <c r="AO43" s="14">
        <f t="shared" si="18"/>
        <v>17</v>
      </c>
      <c r="AP43" s="14" t="str">
        <f>IF(ISBLANK(AK43),"",LOOKUP(1,0/(AM$6:AM43=MAX(AM$6:AM43)),AK$6:AK43))</f>
        <v>ＧＢ本</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1465</v>
      </c>
      <c r="AL44" s="14">
        <f>IF(セルの固定色(AK44)=セルの固定色(AK$6),1,"")</f>
        <v>1</v>
      </c>
      <c r="AM44" s="14">
        <f>IF(OR(ISBLANK(AL44),AL44=""),"",COUNTIF(AL$6:AL44,"&gt;0"))</f>
        <v>4</v>
      </c>
      <c r="AN44" s="14" t="str">
        <f t="shared" si="17"/>
        <v/>
      </c>
      <c r="AO44" s="14">
        <f t="shared" si="18"/>
        <v>18</v>
      </c>
      <c r="AP44" s="14" t="str">
        <f>IF(ISBLANK(AK44),"",LOOKUP(1,0/(AM$6:AM44=MAX(AM$6:AM44)),AK$6:AK44))</f>
        <v>セ事本</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str">
        <f>IF(セルの固定色(AK45)=セルの固定色(AK$6),1,"")</f>
        <v/>
      </c>
      <c r="AM45" s="14" t="str">
        <f>IF(OR(ISBLANK(AL45),AL45=""),"",COUNTIF(AL$6:AL45,"&gt;0"))</f>
        <v/>
      </c>
      <c r="AP45" s="14" t="str">
        <f>IF(ISBLANK(AK45),"",LOOKUP(1,0/(AM$6:AM45=MAX(AM$6:AM45)),AK$6:AK45))</f>
        <v>セ事本</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str">
        <f>IF(セルの固定色(AK46)=セルの固定色(AK$6),1,"")</f>
        <v/>
      </c>
      <c r="AM46" s="14" t="str">
        <f>IF(OR(ISBLANK(AL46),AL46=""),"",COUNTIF(AL$6:AL46,"&gt;0"))</f>
        <v/>
      </c>
      <c r="AP46" s="14" t="str">
        <f>IF(ISBLANK(AK46),"",LOOKUP(1,0/(AM$6:AM46=MAX(AM$6:AM46)),AK$6:AK46))</f>
        <v>セ事本</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str">
        <f>IF(セルの固定色(AK47)=セルの固定色(AK$6),1,"")</f>
        <v/>
      </c>
      <c r="AM47" s="14" t="str">
        <f>IF(OR(ISBLANK(AL47),AL47=""),"",COUNTIF(AL$6:AL47,"&gt;0"))</f>
        <v/>
      </c>
      <c r="AP47" s="14" t="str">
        <f>IF(ISBLANK(AK47),"",LOOKUP(1,0/(AM$6:AM47=MAX(AM$6:AM47)),AK$6:AK47))</f>
        <v>セ事本</v>
      </c>
    </row>
    <row r="48" spans="2:42" ht="19.5"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str">
        <f>IF(セルの固定色(AK48)=セルの固定色(AK$6),1,"")</f>
        <v/>
      </c>
      <c r="AM48" s="14" t="str">
        <f>IF(OR(ISBLANK(AL48),AL48=""),"",COUNTIF(AL$6:AL48,"&gt;0"))</f>
        <v/>
      </c>
      <c r="AP48" s="14" t="str">
        <f>IF(ISBLANK(AK48),"",LOOKUP(1,0/(AM$6:AM48=MAX(AM$6:AM48)),AK$6:AK48))</f>
        <v>セ事本</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1466</v>
      </c>
      <c r="AL49" s="14">
        <f>IF(セルの固定色(AK49)=セルの固定色(AK$6),1,"")</f>
        <v>1</v>
      </c>
      <c r="AM49" s="14">
        <f>IF(OR(ISBLANK(AL49),AL49=""),"",COUNTIF(AL$6:AL49,"&gt;0"))</f>
        <v>5</v>
      </c>
      <c r="AP49" s="14" t="str">
        <f>IF(ISBLANK(AK49),"",LOOKUP(1,0/(AM$6:AM49=MAX(AM$6:AM49)),AK$6:AK49))</f>
        <v>ＣＩ本</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str">
        <f>IF(セルの固定色(AK50)=セルの固定色(AK$6),1,"")</f>
        <v/>
      </c>
      <c r="AM50" s="14" t="str">
        <f>IF(OR(ISBLANK(AL50),AL50=""),"",COUNTIF(AL$6:AL50,"&gt;0"))</f>
        <v/>
      </c>
      <c r="AP50" s="14" t="str">
        <f>IF(ISBLANK(AK50),"",LOOKUP(1,0/(AM$6:AM50=MAX(AM$6:AM50)),AK$6:AK50))</f>
        <v>ＣＩ本</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str">
        <f>IF(セルの固定色(AK51)=セルの固定色(AK$6),1,"")</f>
        <v/>
      </c>
      <c r="AM51" s="14" t="str">
        <f>IF(OR(ISBLANK(AL51),AL51=""),"",COUNTIF(AL$6:AL51,"&gt;0"))</f>
        <v/>
      </c>
      <c r="AP51" s="14" t="str">
        <f>IF(ISBLANK(AK51),"",LOOKUP(1,0/(AM$6:AM51=MAX(AM$6:AM51)),AK$6:AK51))</f>
        <v>ＣＩ本</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str">
        <f>IF(セルの固定色(AK52)=セルの固定色(AK$6),1,"")</f>
        <v/>
      </c>
      <c r="AM52" s="14" t="str">
        <f>IF(OR(ISBLANK(AL52),AL52=""),"",COUNTIF(AL$6:AL52,"&gt;0"))</f>
        <v/>
      </c>
      <c r="AP52" s="14" t="str">
        <f>IF(ISBLANK(AK52),"",LOOKUP(1,0/(AM$6:AM52=MAX(AM$6:AM52)),AK$6:AK52))</f>
        <v>ＣＩ本</v>
      </c>
    </row>
    <row r="53" spans="2:42" ht="19.5"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str">
        <f>IF(セルの固定色(AK53)=セルの固定色(AK$6),1,"")</f>
        <v/>
      </c>
      <c r="AM53" s="14" t="str">
        <f>IF(OR(ISBLANK(AL53),AL53=""),"",COUNTIF(AL$6:AL53,"&gt;0"))</f>
        <v/>
      </c>
      <c r="AP53" s="14" t="str">
        <f>IF(ISBLANK(AK53),"",LOOKUP(1,0/(AM$6:AM53=MAX(AM$6:AM53)),AK$6:AK53))</f>
        <v>ＣＩ本</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1467</v>
      </c>
      <c r="AL54" s="14">
        <f>IF(セルの固定色(AK54)=セルの固定色(AK$6),1,"")</f>
        <v>1</v>
      </c>
      <c r="AM54" s="14">
        <f>IF(OR(ISBLANK(AL54),AL54=""),"",COUNTIF(AL$6:AL54,"&gt;0"))</f>
        <v>6</v>
      </c>
      <c r="AP54" s="14" t="str">
        <f>IF(ISBLANK(AK54),"",LOOKUP(1,0/(AM$6:AM54=MAX(AM$6:AM54)),AK$6:AK54))</f>
        <v>ＮＩ本</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str">
        <f>IF(セルの固定色(AK55)=セルの固定色(AK$6),1,"")</f>
        <v/>
      </c>
      <c r="AM55" s="14" t="str">
        <f>IF(OR(ISBLANK(AL55),AL55=""),"",COUNTIF(AL$6:AL55,"&gt;0"))</f>
        <v/>
      </c>
      <c r="AP55" s="14" t="str">
        <f>IF(ISBLANK(AK55),"",LOOKUP(1,0/(AM$6:AM55=MAX(AM$6:AM55)),AK$6:AK55))</f>
        <v>ＮＩ本</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str">
        <f>IF(セルの固定色(AK56)=セルの固定色(AK$6),1,"")</f>
        <v/>
      </c>
      <c r="AM56" s="14" t="str">
        <f>IF(OR(ISBLANK(AL56),AL56=""),"",COUNTIF(AL$6:AL56,"&gt;0"))</f>
        <v/>
      </c>
      <c r="AP56" s="14" t="str">
        <f>IF(ISBLANK(AK56),"",LOOKUP(1,0/(AM$6:AM56=MAX(AM$6:AM56)),AK$6:AK56))</f>
        <v>ＮＩ本</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str">
        <f>IF(セルの固定色(AK57)=セルの固定色(AK$6),1,"")</f>
        <v/>
      </c>
      <c r="AM57" s="14" t="str">
        <f>IF(OR(ISBLANK(AL57),AL57=""),"",COUNTIF(AL$6:AL57,"&gt;0"))</f>
        <v/>
      </c>
      <c r="AP57" s="14" t="str">
        <f>IF(ISBLANK(AK57),"",LOOKUP(1,0/(AM$6:AM57=MAX(AM$6:AM57)),AK$6:AK57))</f>
        <v>ＮＩ本</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str">
        <f>IF(セルの固定色(AK58)=セルの固定色(AK$6),1,"")</f>
        <v/>
      </c>
      <c r="AM58" s="14" t="str">
        <f>IF(OR(ISBLANK(AL58),AL58=""),"",COUNTIF(AL$6:AL58,"&gt;0"))</f>
        <v/>
      </c>
      <c r="AP58" s="14" t="str">
        <f>IF(ISBLANK(AK58),"",LOOKUP(1,0/(AM$6:AM58=MAX(AM$6:AM58)),AK$6:AK58))</f>
        <v>ＮＩ本</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str">
        <f>IF(セルの固定色(AK59)=セルの固定色(AK$6),1,"")</f>
        <v/>
      </c>
      <c r="AM59" s="14" t="str">
        <f>IF(OR(ISBLANK(AL59),AL59=""),"",COUNTIF(AL$6:AL59,"&gt;0"))</f>
        <v/>
      </c>
      <c r="AP59" s="14" t="str">
        <f>IF(ISBLANK(AK59),"",LOOKUP(1,0/(AM$6:AM59=MAX(AM$6:AM59)),AK$6:AK59))</f>
        <v>ＮＩ本</v>
      </c>
    </row>
    <row r="60" spans="2:42" ht="19.5"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str">
        <f>IF(セルの固定色(AK60)=セルの固定色(AK$6),1,"")</f>
        <v/>
      </c>
      <c r="AM60" s="14" t="str">
        <f>IF(OR(ISBLANK(AL60),AL60=""),"",COUNTIF(AL$6:AL60,"&gt;0"))</f>
        <v/>
      </c>
      <c r="AP60" s="14" t="str">
        <f>IF(ISBLANK(AK60),"",LOOKUP(1,0/(AM$6:AM60=MAX(AM$6:AM60)),AK$6:AK60))</f>
        <v>ＮＩ本</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1468</v>
      </c>
      <c r="AL61" s="14">
        <f>IF(セルの固定色(AK61)=セルの固定色(AK$6),1,"")</f>
        <v>1</v>
      </c>
      <c r="AM61" s="14">
        <f>IF(OR(ISBLANK(AL61),AL61=""),"",COUNTIF(AL$6:AL61,"&gt;0"))</f>
        <v>7</v>
      </c>
      <c r="AP61" s="14" t="str">
        <f>IF(ISBLANK(AK61),"",LOOKUP(1,0/(AM$6:AM61=MAX(AM$6:AM61)),AK$6:AK61))</f>
        <v>ＡＩ本</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str">
        <f>IF(セルの固定色(AK62)=セルの固定色(AK$6),1,"")</f>
        <v/>
      </c>
      <c r="AM62" s="14" t="str">
        <f>IF(OR(ISBLANK(AL62),AL62=""),"",COUNTIF(AL$6:AL62,"&gt;0"))</f>
        <v/>
      </c>
      <c r="AP62" s="14" t="str">
        <f>IF(ISBLANK(AK62),"",LOOKUP(1,0/(AM$6:AM62=MAX(AM$6:AM62)),AK$6:AK62))</f>
        <v>ＡＩ本</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str">
        <f>IF(セルの固定色(AK63)=セルの固定色(AK$6),1,"")</f>
        <v/>
      </c>
      <c r="AM63" s="14" t="str">
        <f>IF(OR(ISBLANK(AL63),AL63=""),"",COUNTIF(AL$6:AL63,"&gt;0"))</f>
        <v/>
      </c>
      <c r="AP63" s="14" t="str">
        <f>IF(ISBLANK(AK63),"",LOOKUP(1,0/(AM$6:AM63=MAX(AM$6:AM63)),AK$6:AK63))</f>
        <v>ＡＩ本</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str">
        <f>IF(セルの固定色(AK64)=セルの固定色(AK$6),1,"")</f>
        <v/>
      </c>
      <c r="AM64" s="14" t="str">
        <f>IF(OR(ISBLANK(AL64),AL64=""),"",COUNTIF(AL$6:AL64,"&gt;0"))</f>
        <v/>
      </c>
      <c r="AP64" s="14" t="str">
        <f>IF(ISBLANK(AK64),"",LOOKUP(1,0/(AM$6:AM64=MAX(AM$6:AM64)),AK$6:AK64))</f>
        <v>ＡＩ本</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str">
        <f>IF(セルの固定色(AK65)=セルの固定色(AK$6),1,"")</f>
        <v/>
      </c>
      <c r="AM65" s="14" t="str">
        <f>IF(OR(ISBLANK(AL65),AL65=""),"",COUNTIF(AL$6:AL65,"&gt;0"))</f>
        <v/>
      </c>
      <c r="AP65" s="14" t="str">
        <f>IF(ISBLANK(AK65),"",LOOKUP(1,0/(AM$6:AM65=MAX(AM$6:AM65)),AK$6:AK65))</f>
        <v>ＡＩ本</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str">
        <f>IF(セルの固定色(AK66)=セルの固定色(AK$6),1,"")</f>
        <v/>
      </c>
      <c r="AM66" s="14" t="str">
        <f>IF(OR(ISBLANK(AL66),AL66=""),"",COUNTIF(AL$6:AL66,"&gt;0"))</f>
        <v/>
      </c>
      <c r="AP66" s="14" t="str">
        <f>IF(ISBLANK(AK66),"",LOOKUP(1,0/(AM$6:AM66=MAX(AM$6:AM66)),AK$6:AK66))</f>
        <v>ＡＩ本</v>
      </c>
    </row>
    <row r="67" spans="2:42" ht="19.5"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str">
        <f>IF(セルの固定色(AK67)=セルの固定色(AK$6),1,"")</f>
        <v/>
      </c>
      <c r="AM67" s="14" t="str">
        <f>IF(OR(ISBLANK(AL67),AL67=""),"",COUNTIF(AL$6:AL67,"&gt;0"))</f>
        <v/>
      </c>
      <c r="AP67" s="14" t="str">
        <f>IF(ISBLANK(AK67),"",LOOKUP(1,0/(AM$6:AM67=MAX(AM$6:AM67)),AK$6:AK67))</f>
        <v>ＡＩ本</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1469</v>
      </c>
      <c r="AL68" s="14">
        <f>IF(セルの固定色(AK68)=セルの固定色(AK$6),1,"")</f>
        <v>1</v>
      </c>
      <c r="AM68" s="14">
        <f>IF(OR(ISBLANK(AL68),AL68=""),"",COUNTIF(AL$6:AL68,"&gt;0"))</f>
        <v>8</v>
      </c>
      <c r="AP68" s="14" t="str">
        <f>IF(ISBLANK(AK68),"",LOOKUP(1,0/(AM$6:AM68=MAX(AM$6:AM68)),AK$6:AK68))</f>
        <v>ＮＳ本</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str">
        <f>IF(セルの固定色(AK69)=セルの固定色(AK$6),1,"")</f>
        <v/>
      </c>
      <c r="AM69" s="14" t="str">
        <f>IF(OR(ISBLANK(AL69),AL69=""),"",COUNTIF(AL$6:AL69,"&gt;0"))</f>
        <v/>
      </c>
      <c r="AP69" s="14" t="str">
        <f>IF(ISBLANK(AK69),"",LOOKUP(1,0/(AM$6:AM69=MAX(AM$6:AM69)),AK$6:AK69))</f>
        <v>ＮＳ本</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str">
        <f>IF(セルの固定色(AK70)=セルの固定色(AK$6),1,"")</f>
        <v/>
      </c>
      <c r="AM70" s="14" t="str">
        <f>IF(OR(ISBLANK(AL70),AL70=""),"",COUNTIF(AL$6:AL70,"&gt;0"))</f>
        <v/>
      </c>
      <c r="AP70" s="14" t="str">
        <f>IF(ISBLANK(AK70),"",LOOKUP(1,0/(AM$6:AM70=MAX(AM$6:AM70)),AK$6:AK70))</f>
        <v>ＮＳ本</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str">
        <f>IF(セルの固定色(AK71)=セルの固定色(AK$6),1,"")</f>
        <v/>
      </c>
      <c r="AM71" s="14" t="str">
        <f>IF(OR(ISBLANK(AL71),AL71=""),"",COUNTIF(AL$6:AL71,"&gt;0"))</f>
        <v/>
      </c>
      <c r="AP71" s="14" t="str">
        <f>IF(ISBLANK(AK71),"",LOOKUP(1,0/(AM$6:AM71=MAX(AM$6:AM71)),AK$6:AK71))</f>
        <v>ＮＳ本</v>
      </c>
    </row>
    <row r="72" spans="2:42" ht="19.5"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str">
        <f>IF(セルの固定色(AK72)=セルの固定色(AK$6),1,"")</f>
        <v/>
      </c>
      <c r="AM72" s="14" t="str">
        <f>IF(OR(ISBLANK(AL72),AL72=""),"",COUNTIF(AL$6:AL72,"&gt;0"))</f>
        <v/>
      </c>
      <c r="AP72" s="14" t="str">
        <f>IF(ISBLANK(AK72),"",LOOKUP(1,0/(AM$6:AM72=MAX(AM$6:AM72)),AK$6:AK72))</f>
        <v>ＮＳ本</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1470</v>
      </c>
      <c r="AL73" s="14">
        <f>IF(セルの固定色(AK73)=セルの固定色(AK$6),1,"")</f>
        <v>1</v>
      </c>
      <c r="AM73" s="14">
        <f>IF(OR(ISBLANK(AL73),AL73=""),"",COUNTIF(AL$6:AL73,"&gt;0"))</f>
        <v>9</v>
      </c>
      <c r="AP73" s="14" t="str">
        <f>IF(ISBLANK(AK73),"",LOOKUP(1,0/(AM$6:AM73=MAX(AM$6:AM73)),AK$6:AK73))</f>
        <v>ＩＰＣ</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str">
        <f>IF(セルの固定色(AK74)=セルの固定色(AK$6),1,"")</f>
        <v/>
      </c>
      <c r="AM74" s="14" t="str">
        <f>IF(OR(ISBLANK(AL74),AL74=""),"",COUNTIF(AL$6:AL74,"&gt;0"))</f>
        <v/>
      </c>
      <c r="AP74" s="14" t="str">
        <f>IF(ISBLANK(AK74),"",LOOKUP(1,0/(AM$6:AM74=MAX(AM$6:AM74)),AK$6:AK74))</f>
        <v>ＩＰＣ</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str">
        <f>IF(セルの固定色(AK75)=セルの固定色(AK$6),1,"")</f>
        <v/>
      </c>
      <c r="AM75" s="14" t="str">
        <f>IF(OR(ISBLANK(AL75),AL75=""),"",COUNTIF(AL$6:AL75,"&gt;0"))</f>
        <v/>
      </c>
      <c r="AP75" s="14" t="str">
        <f>IF(ISBLANK(AK75),"",LOOKUP(1,0/(AM$6:AM75=MAX(AM$6:AM75)),AK$6:AK75))</f>
        <v>ＩＰＣ</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str">
        <f>IF(セルの固定色(AK76)=セルの固定色(AK$6),1,"")</f>
        <v/>
      </c>
      <c r="AM76" s="14" t="str">
        <f>IF(OR(ISBLANK(AL76),AL76=""),"",COUNTIF(AL$6:AL76,"&gt;0"))</f>
        <v/>
      </c>
      <c r="AP76" s="14" t="str">
        <f>IF(ISBLANK(AK76),"",LOOKUP(1,0/(AM$6:AM76=MAX(AM$6:AM76)),AK$6:AK76))</f>
        <v>ＩＰＣ</v>
      </c>
    </row>
    <row r="77" spans="2:42" ht="19.5"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str">
        <f>IF(セルの固定色(AK77)=セルの固定色(AK$6),1,"")</f>
        <v/>
      </c>
      <c r="AM77" s="14" t="str">
        <f>IF(OR(ISBLANK(AL77),AL77=""),"",COUNTIF(AL$6:AL77,"&gt;0"))</f>
        <v/>
      </c>
      <c r="AP77" s="14" t="str">
        <f>IF(ISBLANK(AK77),"",LOOKUP(1,0/(AM$6:AM77=MAX(AM$6:AM77)),AK$6:AK77))</f>
        <v>ＩＰＣ</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1471</v>
      </c>
      <c r="AL78" s="14">
        <f>IF(セルの固定色(AK78)=セルの固定色(AK$6),1,"")</f>
        <v>1</v>
      </c>
      <c r="AM78" s="14">
        <f>IF(OR(ISBLANK(AL78),AL78=""),"",COUNTIF(AL$6:AL78,"&gt;0"))</f>
        <v>10</v>
      </c>
      <c r="AP78" s="14" t="str">
        <f>IF(ISBLANK(AK78),"",LOOKUP(1,0/(AM$6:AM78=MAX(AM$6:AM78)),AK$6:AK78))</f>
        <v>ＮＰＣ</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str">
        <f>IF(セルの固定色(AK79)=セルの固定色(AK$6),1,"")</f>
        <v/>
      </c>
      <c r="AM79" s="14" t="str">
        <f>IF(OR(ISBLANK(AL79),AL79=""),"",COUNTIF(AL$6:AL79,"&gt;0"))</f>
        <v/>
      </c>
      <c r="AP79" s="14" t="str">
        <f>IF(ISBLANK(AK79),"",LOOKUP(1,0/(AM$6:AM79=MAX(AM$6:AM79)),AK$6:AK79))</f>
        <v>ＮＰＣ</v>
      </c>
    </row>
    <row r="80" spans="2:42" ht="19.5"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str">
        <f>IF(セルの固定色(AK80)=セルの固定色(AK$6),1,"")</f>
        <v/>
      </c>
      <c r="AM80" s="14" t="str">
        <f>IF(OR(ISBLANK(AL80),AL80=""),"",COUNTIF(AL$6:AL80,"&gt;0"))</f>
        <v/>
      </c>
      <c r="AP80" s="14" t="str">
        <f>IF(ISBLANK(AK80),"",LOOKUP(1,0/(AM$6:AM80=MAX(AM$6:AM80)),AK$6:AK80))</f>
        <v>ＮＰＣ</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1472</v>
      </c>
      <c r="AL81" s="14">
        <f>IF(セルの固定色(AK81)=セルの固定色(AK$6),1,"")</f>
        <v>1</v>
      </c>
      <c r="AM81" s="14">
        <f>IF(OR(ISBLANK(AL81),AL81=""),"",COUNTIF(AL$6:AL81,"&gt;0"))</f>
        <v>11</v>
      </c>
      <c r="AP81" s="14" t="str">
        <f>IF(ISBLANK(AK81),"",LOOKUP(1,0/(AM$6:AM81=MAX(AM$6:AM81)),AK$6:AK81))</f>
        <v>ＲＤＣ</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str">
        <f>IF(セルの固定色(AK82)=セルの固定色(AK$6),1,"")</f>
        <v/>
      </c>
      <c r="AM82" s="14" t="str">
        <f>IF(OR(ISBLANK(AL82),AL82=""),"",COUNTIF(AL$6:AL82,"&gt;0"))</f>
        <v/>
      </c>
      <c r="AP82" s="14" t="str">
        <f>IF(ISBLANK(AK82),"",LOOKUP(1,0/(AM$6:AM82=MAX(AM$6:AM82)),AK$6:AK82))</f>
        <v>ＲＤＣ</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str">
        <f>IF(セルの固定色(AK83)=セルの固定色(AK$6),1,"")</f>
        <v/>
      </c>
      <c r="AM83" s="14" t="str">
        <f>IF(OR(ISBLANK(AL83),AL83=""),"",COUNTIF(AL$6:AL83,"&gt;0"))</f>
        <v/>
      </c>
      <c r="AP83" s="14" t="str">
        <f>IF(ISBLANK(AK83),"",LOOKUP(1,0/(AM$6:AM83=MAX(AM$6:AM83)),AK$6:AK83))</f>
        <v>ＲＤＣ</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str">
        <f>IF(セルの固定色(AK84)=セルの固定色(AK$6),1,"")</f>
        <v/>
      </c>
      <c r="AM84" s="14" t="str">
        <f>IF(OR(ISBLANK(AL84),AL84=""),"",COUNTIF(AL$6:AL84,"&gt;0"))</f>
        <v/>
      </c>
      <c r="AP84" s="14" t="str">
        <f>IF(ISBLANK(AK84),"",LOOKUP(1,0/(AM$6:AM84=MAX(AM$6:AM84)),AK$6:AK84))</f>
        <v>ＲＤＣ</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str">
        <f>IF(セルの固定色(AK85)=セルの固定色(AK$6),1,"")</f>
        <v/>
      </c>
      <c r="AM85" s="14" t="str">
        <f>IF(OR(ISBLANK(AL85),AL85=""),"",COUNTIF(AL$6:AL85,"&gt;0"))</f>
        <v/>
      </c>
      <c r="AP85" s="14" t="str">
        <f>IF(ISBLANK(AK85),"",LOOKUP(1,0/(AM$6:AM85=MAX(AM$6:AM85)),AK$6:AK85))</f>
        <v>ＲＤＣ</v>
      </c>
    </row>
    <row r="86" spans="2:42" ht="19.5"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str">
        <f>IF(セルの固定色(AK86)=セルの固定色(AK$6),1,"")</f>
        <v/>
      </c>
      <c r="AM86" s="14" t="str">
        <f>IF(OR(ISBLANK(AL86),AL86=""),"",COUNTIF(AL$6:AL86,"&gt;0"))</f>
        <v/>
      </c>
      <c r="AP86" s="14" t="str">
        <f>IF(ISBLANK(AK86),"",LOOKUP(1,0/(AM$6:AM86=MAX(AM$6:AM86)),AK$6:AK86))</f>
        <v>ＲＤＣ</v>
      </c>
    </row>
    <row r="87" spans="2:42" ht="19.5"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1473</v>
      </c>
      <c r="AL87" s="14">
        <f>IF(セルの固定色(AK87)=セルの固定色(AK$6),1,"")</f>
        <v>1</v>
      </c>
      <c r="AM87" s="14">
        <f>IF(OR(ISBLANK(AL87),AL87=""),"",COUNTIF(AL$6:AL87,"&gt;0"))</f>
        <v>12</v>
      </c>
      <c r="AP87" s="14" t="str">
        <f>IF(ISBLANK(AK87),"",LOOKUP(1,0/(AM$6:AM87=MAX(AM$6:AM87)),AK$6:AK87))</f>
        <v>２０推</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1474</v>
      </c>
      <c r="AL88" s="14">
        <f>IF(セルの固定色(AK88)=セルの固定色(AK$6),1,"")</f>
        <v>1</v>
      </c>
      <c r="AM88" s="14">
        <f>IF(OR(ISBLANK(AL88),AL88=""),"",COUNTIF(AL$6:AL88,"&gt;0"))</f>
        <v>13</v>
      </c>
      <c r="AP88" s="14" t="str">
        <f>IF(ISBLANK(AK88),"",LOOKUP(1,0/(AM$6:AM88=MAX(AM$6:AM88)),AK$6:AK88))</f>
        <v>ＩＯ推</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str">
        <f>IF(セルの固定色(AK89)=セルの固定色(AK$6),1,"")</f>
        <v/>
      </c>
      <c r="AM89" s="14" t="str">
        <f>IF(OR(ISBLANK(AL89),AL89=""),"",COUNTIF(AL$6:AL89,"&gt;0"))</f>
        <v/>
      </c>
      <c r="AP89" s="14" t="str">
        <f>IF(ISBLANK(AK89),"",LOOKUP(1,0/(AM$6:AM89=MAX(AM$6:AM89)),AK$6:AK89))</f>
        <v>ＩＯ推</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str">
        <f>IF(セルの固定色(AK90)=セルの固定色(AK$6),1,"")</f>
        <v/>
      </c>
      <c r="AM90" s="14" t="str">
        <f>IF(OR(ISBLANK(AL90),AL90=""),"",COUNTIF(AL$6:AL90,"&gt;0"))</f>
        <v/>
      </c>
      <c r="AP90" s="14" t="str">
        <f>IF(ISBLANK(AK90),"",LOOKUP(1,0/(AM$6:AM90=MAX(AM$6:AM90)),AK$6:AK90))</f>
        <v>ＩＯ推</v>
      </c>
    </row>
    <row r="91" spans="2:42" ht="19.5"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str">
        <f>IF(セルの固定色(AK91)=セルの固定色(AK$6),1,"")</f>
        <v/>
      </c>
      <c r="AM91" s="14" t="str">
        <f>IF(OR(ISBLANK(AL91),AL91=""),"",COUNTIF(AL$6:AL91,"&gt;0"))</f>
        <v/>
      </c>
      <c r="AP91" s="14" t="str">
        <f>IF(ISBLANK(AK91),"",LOOKUP(1,0/(AM$6:AM91=MAX(AM$6:AM91)),AK$6:AK91))</f>
        <v>ＩＯ推</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1475</v>
      </c>
      <c r="AL92" s="14">
        <f>IF(セルの固定色(AK92)=セルの固定色(AK$6),1,"")</f>
        <v>1</v>
      </c>
      <c r="AM92" s="14">
        <f>IF(OR(ISBLANK(AL92),AL92=""),"",COUNTIF(AL$6:AL92,"&gt;0"))</f>
        <v>14</v>
      </c>
      <c r="AP92" s="14" t="str">
        <f>IF(ISBLANK(AK92),"",LOOKUP(1,0/(AM$6:AM92=MAX(AM$6:AM92)),AK$6:AK92))</f>
        <v>営推部</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str">
        <f>IF(セルの固定色(AK93)=セルの固定色(AK$6),1,"")</f>
        <v/>
      </c>
      <c r="AM93" s="14" t="str">
        <f>IF(OR(ISBLANK(AL93),AL93=""),"",COUNTIF(AL$6:AL93,"&gt;0"))</f>
        <v/>
      </c>
      <c r="AP93" s="14" t="str">
        <f>IF(ISBLANK(AK93),"",LOOKUP(1,0/(AM$6:AM93=MAX(AM$6:AM93)),AK$6:AK93))</f>
        <v>営推部</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str">
        <f>IF(セルの固定色(AK94)=セルの固定色(AK$6),1,"")</f>
        <v/>
      </c>
      <c r="AM94" s="14" t="str">
        <f>IF(OR(ISBLANK(AL94),AL94=""),"",COUNTIF(AL$6:AL94,"&gt;0"))</f>
        <v/>
      </c>
      <c r="AP94" s="14" t="str">
        <f>IF(ISBLANK(AK94),"",LOOKUP(1,0/(AM$6:AM94=MAX(AM$6:AM94)),AK$6:AK94))</f>
        <v>営推部</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str">
        <f>IF(セルの固定色(AK95)=セルの固定色(AK$6),1,"")</f>
        <v/>
      </c>
      <c r="AM95" s="14" t="str">
        <f>IF(OR(ISBLANK(AL95),AL95=""),"",COUNTIF(AL$6:AL95,"&gt;0"))</f>
        <v/>
      </c>
      <c r="AP95" s="14" t="str">
        <f>IF(ISBLANK(AK95),"",LOOKUP(1,0/(AM$6:AM95=MAX(AM$6:AM95)),AK$6:AK95))</f>
        <v>営推部</v>
      </c>
    </row>
    <row r="96" spans="2:42" ht="19.5"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str">
        <f>IF(セルの固定色(AK96)=セルの固定色(AK$6),1,"")</f>
        <v/>
      </c>
      <c r="AM96" s="14" t="str">
        <f>IF(OR(ISBLANK(AL96),AL96=""),"",COUNTIF(AL$6:AL96,"&gt;0"))</f>
        <v/>
      </c>
      <c r="AP96" s="14" t="str">
        <f>IF(ISBLANK(AK96),"",LOOKUP(1,0/(AM$6:AM96=MAX(AM$6:AM96)),AK$6:AK96))</f>
        <v>営推部</v>
      </c>
    </row>
    <row r="97" spans="2:42" ht="19.5"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1476</v>
      </c>
      <c r="AL97" s="14">
        <f>IF(セルの固定色(AK97)=セルの固定色(AK$6),1,"")</f>
        <v>1</v>
      </c>
      <c r="AM97" s="14">
        <f>IF(OR(ISBLANK(AL97),AL97=""),"",COUNTIF(AL$6:AL97,"&gt;0"))</f>
        <v>15</v>
      </c>
      <c r="AP97" s="14" t="str">
        <f>IF(ISBLANK(AK97),"",LOOKUP(1,0/(AM$6:AM97=MAX(AM$6:AM97)),AK$6:AK97))</f>
        <v>情セ部</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1477</v>
      </c>
      <c r="AL98" s="14">
        <f>IF(セルの固定色(AK98)=セルの固定色(AK$6),1,"")</f>
        <v>1</v>
      </c>
      <c r="AM98" s="14">
        <f>IF(OR(ISBLANK(AL98),AL98=""),"",COUNTIF(AL$6:AL98,"&gt;0"))</f>
        <v>16</v>
      </c>
      <c r="AP98" s="14" t="str">
        <f>IF(ISBLANK(AK98),"",LOOKUP(1,0/(AM$6:AM98=MAX(AM$6:AM98)),AK$6:AK98))</f>
        <v>ＤＸ部</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str">
        <f>IF(セルの固定色(AK99)=セルの固定色(AK$6),1,"")</f>
        <v/>
      </c>
      <c r="AM99" s="14" t="str">
        <f>IF(OR(ISBLANK(AL99),AL99=""),"",COUNTIF(AL$6:AL99,"&gt;0"))</f>
        <v/>
      </c>
      <c r="AP99" s="14" t="str">
        <f>IF(ISBLANK(AK99),"",LOOKUP(1,0/(AM$6:AM99=MAX(AM$6:AM99)),AK$6:AK99))</f>
        <v>ＤＸ部</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str">
        <f>IF(セルの固定色(AK100)=セルの固定色(AK$6),1,"")</f>
        <v/>
      </c>
      <c r="AM100" s="14" t="str">
        <f>IF(OR(ISBLANK(AL100),AL100=""),"",COUNTIF(AL$6:AL100,"&gt;0"))</f>
        <v/>
      </c>
      <c r="AP100" s="14" t="str">
        <f>IF(ISBLANK(AK100),"",LOOKUP(1,0/(AM$6:AM100=MAX(AM$6:AM100)),AK$6:AK100))</f>
        <v>ＤＸ部</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str">
        <f>IF(セルの固定色(AK101)=セルの固定色(AK$6),1,"")</f>
        <v/>
      </c>
      <c r="AM101" s="14" t="str">
        <f>IF(OR(ISBLANK(AL101),AL101=""),"",COUNTIF(AL$6:AL101,"&gt;0"))</f>
        <v/>
      </c>
      <c r="AP101" s="14" t="str">
        <f>IF(ISBLANK(AK101),"",LOOKUP(1,0/(AM$6:AM101=MAX(AM$6:AM101)),AK$6:AK101))</f>
        <v>ＤＸ部</v>
      </c>
    </row>
    <row r="102" spans="2:42" ht="19.5"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str">
        <f>IF(セルの固定色(AK102)=セルの固定色(AK$6),1,"")</f>
        <v/>
      </c>
      <c r="AM102" s="14" t="str">
        <f>IF(OR(ISBLANK(AL102),AL102=""),"",COUNTIF(AL$6:AL102,"&gt;0"))</f>
        <v/>
      </c>
      <c r="AP102" s="14" t="str">
        <f>IF(ISBLANK(AK102),"",LOOKUP(1,0/(AM$6:AM102=MAX(AM$6:AM102)),AK$6:AK102))</f>
        <v>ＤＸ部</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1478</v>
      </c>
      <c r="AL103" s="14">
        <f>IF(セルの固定色(AK103)=セルの固定色(AK$6),1,"")</f>
        <v>1</v>
      </c>
      <c r="AM103" s="14">
        <f>IF(OR(ISBLANK(AL103),AL103=""),"",COUNTIF(AL$6:AL103,"&gt;0"))</f>
        <v>17</v>
      </c>
      <c r="AP103" s="14" t="str">
        <f>IF(ISBLANK(AK103),"",LOOKUP(1,0/(AM$6:AM103=MAX(AM$6:AM103)),AK$6:AK103))</f>
        <v>経企部</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str">
        <f>IF(セルの固定色(AK104)=セルの固定色(AK$6),1,"")</f>
        <v/>
      </c>
      <c r="AM104" s="14" t="str">
        <f>IF(OR(ISBLANK(AL104),AL104=""),"",COUNTIF(AL$6:AL104,"&gt;0"))</f>
        <v/>
      </c>
      <c r="AP104" s="14" t="str">
        <f>IF(ISBLANK(AK104),"",LOOKUP(1,0/(AM$6:AM104=MAX(AM$6:AM104)),AK$6:AK104))</f>
        <v>経企部</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str">
        <f>IF(セルの固定色(AK105)=セルの固定色(AK$6),1,"")</f>
        <v/>
      </c>
      <c r="AM105" s="14" t="str">
        <f>IF(OR(ISBLANK(AL105),AL105=""),"",COUNTIF(AL$6:AL105,"&gt;0"))</f>
        <v/>
      </c>
      <c r="AP105" s="14" t="str">
        <f>IF(ISBLANK(AK105),"",LOOKUP(1,0/(AM$6:AM105=MAX(AM$6:AM105)),AK$6:AK105))</f>
        <v>経企部</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str">
        <f>IF(セルの固定色(AK106)=セルの固定色(AK$6),1,"")</f>
        <v/>
      </c>
      <c r="AM106" s="14" t="str">
        <f>IF(OR(ISBLANK(AL106),AL106=""),"",COUNTIF(AL$6:AL106,"&gt;0"))</f>
        <v/>
      </c>
      <c r="AP106" s="14" t="str">
        <f>IF(ISBLANK(AK106),"",LOOKUP(1,0/(AM$6:AM106=MAX(AM$6:AM106)),AK$6:AK106))</f>
        <v>経企部</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str">
        <f>IF(セルの固定色(AK107)=セルの固定色(AK$6),1,"")</f>
        <v/>
      </c>
      <c r="AM107" s="14" t="str">
        <f>IF(OR(ISBLANK(AL107),AL107=""),"",COUNTIF(AL$6:AL107,"&gt;0"))</f>
        <v/>
      </c>
      <c r="AP107" s="14" t="str">
        <f>IF(ISBLANK(AK107),"",LOOKUP(1,0/(AM$6:AM107=MAX(AM$6:AM107)),AK$6:AK107))</f>
        <v>経企部</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str">
        <f>IF(セルの固定色(AK108)=セルの固定色(AK$6),1,"")</f>
        <v/>
      </c>
      <c r="AM108" s="14" t="str">
        <f>IF(OR(ISBLANK(AL108),AL108=""),"",COUNTIF(AL$6:AL108,"&gt;0"))</f>
        <v/>
      </c>
      <c r="AP108" s="14" t="str">
        <f>IF(ISBLANK(AK108),"",LOOKUP(1,0/(AM$6:AM108=MAX(AM$6:AM108)),AK$6:AK108))</f>
        <v>経企部</v>
      </c>
    </row>
    <row r="109" spans="2:42">
      <c r="C109" s="8" t="str">
        <f>IF(B109="","",COUNTIF(B$1:B108,B109)=0)</f>
        <v/>
      </c>
      <c r="D109" s="8" t="str">
        <f>IF(B109="","",IF(C109,COUNTIF(C$2:C109,TRUE),""))</f>
        <v/>
      </c>
      <c r="AC109" s="8" t="str">
        <f t="shared" si="29"/>
        <v/>
      </c>
      <c r="AE109" s="8" t="str">
        <f t="shared" si="24"/>
        <v/>
      </c>
      <c r="AF109" s="8" t="str">
        <f>IF(AE109="","",AE109+COUNTIF(AE$2:AE109,AE109)-1)</f>
        <v/>
      </c>
      <c r="AK109" s="18" t="s">
        <v>1479</v>
      </c>
      <c r="AL109" s="14" t="str">
        <f>IF(セルの固定色(AK109)=セルの固定色(AK$6),1,"")</f>
        <v/>
      </c>
      <c r="AM109" s="14" t="str">
        <f>IF(OR(ISBLANK(AL109),AL109=""),"",COUNTIF(AL$6:AL109,"&gt;0"))</f>
        <v/>
      </c>
      <c r="AP109" s="14" t="str">
        <f>IF(ISBLANK(AK109),"",LOOKUP(1,0/(AM$6:AM109=MAX(AM$6:AM109)),AK$6:AK109))</f>
        <v>経企部</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str">
        <f>IF(セルの固定色(AK110)=セルの固定色(AK$6),1,"")</f>
        <v/>
      </c>
      <c r="AM110" s="14" t="str">
        <f>IF(OR(ISBLANK(AL110),AL110=""),"",COUNTIF(AL$6:AL110,"&gt;0"))</f>
        <v/>
      </c>
      <c r="AP110" s="14" t="str">
        <f>IF(ISBLANK(AK110),"",LOOKUP(1,0/(AM$6:AM110=MAX(AM$6:AM110)),AK$6:AK110))</f>
        <v>経企部</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str">
        <f>IF(セルの固定色(AK111)=セルの固定色(AK$6),1,"")</f>
        <v/>
      </c>
      <c r="AM111" s="14" t="str">
        <f>IF(OR(ISBLANK(AL111),AL111=""),"",COUNTIF(AL$6:AL111,"&gt;0"))</f>
        <v/>
      </c>
      <c r="AP111" s="14" t="str">
        <f>IF(ISBLANK(AK111),"",LOOKUP(1,0/(AM$6:AM111=MAX(AM$6:AM111)),AK$6:AK111))</f>
        <v>経企部</v>
      </c>
    </row>
    <row r="112" spans="2:42" ht="19.5" thickBot="1">
      <c r="C112" s="8" t="str">
        <f>IF(B112="","",COUNTIF(B$1:B111,B112)=0)</f>
        <v/>
      </c>
      <c r="D112" s="8" t="str">
        <f>IF(B112="","",IF(C112,COUNTIF(C$2:C112,TRUE),""))</f>
        <v/>
      </c>
      <c r="AC112" s="8" t="str">
        <f t="shared" si="29"/>
        <v/>
      </c>
      <c r="AE112" s="8" t="str">
        <f t="shared" si="24"/>
        <v/>
      </c>
      <c r="AF112" s="8" t="str">
        <f>IF(AE112="","",AE112+COUNTIF(AE$2:AE112,AE112)-1)</f>
        <v/>
      </c>
      <c r="AK112" s="22" t="s">
        <v>1163</v>
      </c>
      <c r="AL112" s="14" t="str">
        <f>IF(セルの固定色(AK112)=セルの固定色(AK$6),1,"")</f>
        <v/>
      </c>
      <c r="AM112" s="14" t="str">
        <f>IF(OR(ISBLANK(AL112),AL112=""),"",COUNTIF(AL$6:AL112,"&gt;0"))</f>
        <v/>
      </c>
      <c r="AP112" s="14" t="str">
        <f>IF(ISBLANK(AK112),"",LOOKUP(1,0/(AM$6:AM112=MAX(AM$6:AM112)),AK$6:AK112))</f>
        <v>経企部</v>
      </c>
    </row>
    <row r="113" spans="3:42">
      <c r="C113" s="8" t="str">
        <f>IF(B113="","",COUNTIF(B$1:B112,B113)=0)</f>
        <v/>
      </c>
      <c r="D113" s="8" t="str">
        <f>IF(B113="","",IF(C113,COUNTIF(C$2:C113,TRUE),""))</f>
        <v/>
      </c>
      <c r="AC113" s="8" t="str">
        <f t="shared" si="29"/>
        <v/>
      </c>
      <c r="AE113" s="8" t="str">
        <f t="shared" si="24"/>
        <v/>
      </c>
      <c r="AF113" s="8" t="str">
        <f>IF(AE113="","",AE113+COUNTIF(AE$2:AE113,AE113)-1)</f>
        <v/>
      </c>
      <c r="AK113" s="23" t="s">
        <v>1480</v>
      </c>
      <c r="AL113" s="14">
        <f>IF(セルの固定色(AK113)=セルの固定色(AK$6),1,"")</f>
        <v>1</v>
      </c>
      <c r="AM113" s="14">
        <f>IF(OR(ISBLANK(AL113),AL113=""),"",COUNTIF(AL$6:AL113,"&gt;0"))</f>
        <v>18</v>
      </c>
      <c r="AP113" s="14" t="str">
        <f>IF(ISBLANK(AK113),"",LOOKUP(1,0/(AM$6:AM113=MAX(AM$6:AM113)),AK$6:AK113))</f>
        <v>総務部</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str">
        <f>IF(セルの固定色(AK114)=セルの固定色(AK$6),1,"")</f>
        <v/>
      </c>
      <c r="AM114" s="14" t="str">
        <f>IF(OR(ISBLANK(AL114),AL114=""),"",COUNTIF(AL$6:AL114,"&gt;0"))</f>
        <v/>
      </c>
      <c r="AP114" s="14" t="str">
        <f>IF(ISBLANK(AK114),"",LOOKUP(1,0/(AM$6:AM114=MAX(AM$6:AM114)),AK$6:AK114))</f>
        <v>総務部</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str">
        <f>IF(セルの固定色(AK115)=セルの固定色(AK$6),1,"")</f>
        <v/>
      </c>
      <c r="AM115" s="14" t="str">
        <f>IF(OR(ISBLANK(AL115),AL115=""),"",COUNTIF(AL$6:AL115,"&gt;0"))</f>
        <v/>
      </c>
      <c r="AP115" s="14" t="str">
        <f>IF(ISBLANK(AK115),"",LOOKUP(1,0/(AM$6:AM115=MAX(AM$6:AM115)),AK$6:AK115))</f>
        <v>総務部</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str">
        <f>IF(セルの固定色(AK116)=セルの固定色(AK$6),1,"")</f>
        <v/>
      </c>
      <c r="AM116" s="14" t="str">
        <f>IF(OR(ISBLANK(AL116),AL116=""),"",COUNTIF(AL$6:AL116,"&gt;0"))</f>
        <v/>
      </c>
      <c r="AP116" s="14" t="str">
        <f>IF(ISBLANK(AK116),"",LOOKUP(1,0/(AM$6:AM116=MAX(AM$6:AM116)),AK$6:AK116))</f>
        <v>総務部</v>
      </c>
    </row>
    <row r="117" spans="3:42" ht="19.5" thickBot="1">
      <c r="C117" s="8" t="str">
        <f>IF(B117="","",COUNTIF(B$1:B116,B117)=0)</f>
        <v/>
      </c>
      <c r="D117" s="8" t="str">
        <f>IF(B117="","",IF(C117,COUNTIF(C$2:C117,TRUE),""))</f>
        <v/>
      </c>
      <c r="AC117" s="8" t="str">
        <f t="shared" si="29"/>
        <v/>
      </c>
      <c r="AE117" s="8" t="str">
        <f t="shared" si="24"/>
        <v/>
      </c>
      <c r="AF117" s="8" t="str">
        <f>IF(AE117="","",AE117+COUNTIF(AE$2:AE117,AE117)-1)</f>
        <v/>
      </c>
      <c r="AK117" s="22" t="s">
        <v>1167</v>
      </c>
      <c r="AL117" s="14" t="str">
        <f>IF(セルの固定色(AK117)=セルの固定色(AK$6),1,"")</f>
        <v/>
      </c>
      <c r="AM117" s="14" t="str">
        <f>IF(OR(ISBLANK(AL117),AL117=""),"",COUNTIF(AL$6:AL117,"&gt;0"))</f>
        <v/>
      </c>
      <c r="AP117" s="14" t="str">
        <f>IF(ISBLANK(AK117),"",LOOKUP(1,0/(AM$6:AM117=MAX(AM$6:AM117)),AK$6:AK117))</f>
        <v>総務部</v>
      </c>
    </row>
    <row r="118" spans="3:42">
      <c r="C118" s="8" t="str">
        <f>IF(B118="","",COUNTIF(B$1:B117,B118)=0)</f>
        <v/>
      </c>
      <c r="D118" s="8" t="str">
        <f>IF(B118="","",IF(C118,COUNTIF(C$2:C118,TRUE),""))</f>
        <v/>
      </c>
      <c r="AC118" s="8" t="str">
        <f t="shared" si="29"/>
        <v/>
      </c>
      <c r="AE118" s="8" t="str">
        <f t="shared" si="24"/>
        <v/>
      </c>
      <c r="AF118" s="8" t="str">
        <f>IF(AE118="","",AE118+COUNTIF(AE$2:AE118,AE118)-1)</f>
        <v/>
      </c>
      <c r="AK118" s="23" t="s">
        <v>1481</v>
      </c>
      <c r="AL118" s="14">
        <f>IF(セルの固定色(AK118)=セルの固定色(AK$6),1,"")</f>
        <v>1</v>
      </c>
      <c r="AM118" s="14">
        <f>IF(OR(ISBLANK(AL118),AL118=""),"",COUNTIF(AL$6:AL118,"&gt;0"))</f>
        <v>19</v>
      </c>
      <c r="AP118" s="14" t="str">
        <f>IF(ISBLANK(AK118),"",LOOKUP(1,0/(AM$6:AM118=MAX(AM$6:AM118)),AK$6:AK118))</f>
        <v>人事部</v>
      </c>
    </row>
    <row r="119" spans="3:42" ht="19.5" thickBot="1">
      <c r="C119" s="8" t="str">
        <f>IF(B119="","",COUNTIF(B$1:B118,B119)=0)</f>
        <v/>
      </c>
      <c r="D119" s="8" t="str">
        <f>IF(B119="","",IF(C119,COUNTIF(C$2:C119,TRUE),""))</f>
        <v/>
      </c>
      <c r="AC119" s="8" t="str">
        <f t="shared" si="29"/>
        <v/>
      </c>
      <c r="AE119" s="8" t="str">
        <f t="shared" si="24"/>
        <v/>
      </c>
      <c r="AF119" s="8" t="str">
        <f>IF(AE119="","",AE119+COUNTIF(AE$2:AE119,AE119)-1)</f>
        <v/>
      </c>
      <c r="AK119" s="29" t="s">
        <v>1168</v>
      </c>
      <c r="AL119" s="14" t="str">
        <f>IF(セルの固定色(AK119)=セルの固定色(AK$6),1,"")</f>
        <v/>
      </c>
      <c r="AM119" s="14" t="str">
        <f>IF(OR(ISBLANK(AL119),AL119=""),"",COUNTIF(AL$6:AL119,"&gt;0"))</f>
        <v/>
      </c>
      <c r="AP119" s="14" t="str">
        <f>IF(ISBLANK(AK119),"",LOOKUP(1,0/(AM$6:AM119=MAX(AM$6:AM119)),AK$6:AK119))</f>
        <v>人事部</v>
      </c>
    </row>
    <row r="120" spans="3:42" ht="19.5" thickBot="1">
      <c r="C120" s="8" t="str">
        <f>IF(B120="","",COUNTIF(B$1:B119,B120)=0)</f>
        <v/>
      </c>
      <c r="D120" s="8" t="str">
        <f>IF(B120="","",IF(C120,COUNTIF(C$2:C120,TRUE),""))</f>
        <v/>
      </c>
      <c r="AC120" s="8" t="str">
        <f t="shared" si="29"/>
        <v/>
      </c>
      <c r="AE120" s="8" t="str">
        <f t="shared" si="24"/>
        <v/>
      </c>
      <c r="AF120" s="8" t="str">
        <f>IF(AE120="","",AE120+COUNTIF(AE$2:AE120,AE120)-1)</f>
        <v/>
      </c>
      <c r="AK120" s="34" t="s">
        <v>1482</v>
      </c>
      <c r="AL120" s="14">
        <f>IF(セルの固定色(AK120)=セルの固定色(AK$6),1,"")</f>
        <v>1</v>
      </c>
      <c r="AM120" s="14">
        <f>IF(OR(ISBLANK(AL120),AL120=""),"",COUNTIF(AL$6:AL120,"&gt;0"))</f>
        <v>20</v>
      </c>
      <c r="AP120" s="14" t="str">
        <f>IF(ISBLANK(AK120),"",LOOKUP(1,0/(AM$6:AM120=MAX(AM$6:AM120)),AK$6:AK120))</f>
        <v>考査部</v>
      </c>
    </row>
    <row r="121" spans="3:42" ht="19.5" thickBot="1">
      <c r="C121" s="8" t="str">
        <f>IF(B121="","",COUNTIF(B$1:B120,B121)=0)</f>
        <v/>
      </c>
      <c r="D121" s="8" t="str">
        <f>IF(B121="","",IF(C121,COUNTIF(C$2:C121,TRUE),""))</f>
        <v/>
      </c>
      <c r="AC121" s="8" t="str">
        <f t="shared" si="29"/>
        <v/>
      </c>
      <c r="AE121" s="8" t="str">
        <f t="shared" si="24"/>
        <v/>
      </c>
      <c r="AF121" s="8" t="str">
        <f>IF(AE121="","",AE121+COUNTIF(AE$2:AE121,AE121)-1)</f>
        <v/>
      </c>
      <c r="AK121" s="33" t="s">
        <v>1483</v>
      </c>
      <c r="AL121" s="14">
        <f>IF(セルの固定色(AK121)=セルの固定色(AK$6),1,"")</f>
        <v>1</v>
      </c>
      <c r="AM121" s="14">
        <f>IF(OR(ISBLANK(AL121),AL121=""),"",COUNTIF(AL$6:AL121,"&gt;0"))</f>
        <v>21</v>
      </c>
      <c r="AP121" s="14" t="str">
        <f>IF(ISBLANK(AK121),"",LOOKUP(1,0/(AM$6:AM121=MAX(AM$6:AM121)),AK$6:AK121))</f>
        <v>監査室</v>
      </c>
    </row>
    <row r="122" spans="3:42">
      <c r="C122" s="8" t="str">
        <f>IF(B122="","",COUNTIF(B$1:B121,B122)=0)</f>
        <v/>
      </c>
      <c r="D122" s="8" t="str">
        <f>IF(B122="","",IF(C122,COUNTIF(C$2:C122,TRUE),""))</f>
        <v/>
      </c>
      <c r="AC122" s="8" t="str">
        <f t="shared" si="29"/>
        <v/>
      </c>
      <c r="AE122" s="8" t="str">
        <f t="shared" si="24"/>
        <v/>
      </c>
      <c r="AF122" s="8" t="str">
        <f>IF(AE122="","",AE122+COUNTIF(AE$2:AE122,AE122)-1)</f>
        <v/>
      </c>
      <c r="AL122" s="14" t="str">
        <f>IF(セルの固定色(AK122)=セルの固定色(AK$6),1,"")</f>
        <v/>
      </c>
      <c r="AM122" s="14" t="str">
        <f>IF(OR(ISBLANK(AL122),AL122=""),"",COUNTIF(AL$6:AL122,"&gt;0"))</f>
        <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str">
        <f>IF(セルの固定色(AK123)=セルの固定色(AK$6),1,"")</f>
        <v/>
      </c>
      <c r="AM123" s="14" t="str">
        <f>IF(OR(ISBLANK(AL123),AL123=""),"",COUNTIF(AL$6:AL123,"&gt;0"))</f>
        <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str">
        <f>IF(セルの固定色(AK124)=セルの固定色(AK$6),1,"")</f>
        <v/>
      </c>
      <c r="AM124" s="14" t="str">
        <f>IF(OR(ISBLANK(AL124),AL124=""),"",COUNTIF(AL$6:AL124,"&gt;0"))</f>
        <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str">
        <f>IF(セルの固定色(AK125)=セルの固定色(AK$6),1,"")</f>
        <v/>
      </c>
      <c r="AM125" s="14" t="str">
        <f>IF(OR(ISBLANK(AL125),AL125=""),"",COUNTIF(AL$6:AL125,"&gt;0"))</f>
        <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str">
        <f>IF(セルの固定色(AK126)=セルの固定色(AK$6),1,"")</f>
        <v/>
      </c>
      <c r="AM126" s="14" t="str">
        <f>IF(OR(ISBLANK(AL126),AL126=""),"",COUNTIF(AL$6:AL126,"&gt;0"))</f>
        <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str">
        <f>IF(セルの固定色(AK127)=セルの固定色(AK$6),1,"")</f>
        <v/>
      </c>
      <c r="AM127" s="14" t="str">
        <f>IF(OR(ISBLANK(AL127),AL127=""),"",COUNTIF(AL$6:AL127,"&gt;0"))</f>
        <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str">
        <f>IF(セルの固定色(AK128)=セルの固定色(AK$6),1,"")</f>
        <v/>
      </c>
      <c r="AM128" s="14" t="str">
        <f>IF(OR(ISBLANK(AL128),AL128=""),"",COUNTIF(AL$6:AL128,"&gt;0"))</f>
        <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str">
        <f>IF(セルの固定色(AK129)=セルの固定色(AK$6),1,"")</f>
        <v/>
      </c>
      <c r="AM129" s="14" t="str">
        <f>IF(OR(ISBLANK(AL129),AL129=""),"",COUNTIF(AL$6:AL129,"&gt;0"))</f>
        <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str">
        <f>IF(セルの固定色(AK130)=セルの固定色(AK$6),1,"")</f>
        <v/>
      </c>
      <c r="AM130" s="14" t="str">
        <f>IF(OR(ISBLANK(AL130),AL130=""),"",COUNTIF(AL$6:AL130,"&gt;0"))</f>
        <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str">
        <f>IF(セルの固定色(AK131)=セルの固定色(AK$6),1,"")</f>
        <v/>
      </c>
      <c r="AM131" s="14" t="str">
        <f>IF(OR(ISBLANK(AL131),AL131=""),"",COUNTIF(AL$6:AL131,"&gt;0"))</f>
        <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str">
        <f>IF(セルの固定色(AK132)=セルの固定色(AK$6),1,"")</f>
        <v/>
      </c>
      <c r="AM132" s="14" t="str">
        <f>IF(OR(ISBLANK(AL132),AL132=""),"",COUNTIF(AL$6:AL132,"&gt;0"))</f>
        <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str">
        <f>IF(セルの固定色(AK133)=セルの固定色(AK$6),1,"")</f>
        <v/>
      </c>
      <c r="AM133" s="14" t="str">
        <f>IF(OR(ISBLANK(AL133),AL133=""),"",COUNTIF(AL$6:AL133,"&gt;0"))</f>
        <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str">
        <f>IF(セルの固定色(AK134)=セルの固定色(AK$6),1,"")</f>
        <v/>
      </c>
      <c r="AM134" s="14" t="str">
        <f>IF(OR(ISBLANK(AL134),AL134=""),"",COUNTIF(AL$6:AL134,"&gt;0"))</f>
        <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str">
        <f>IF(セルの固定色(AK135)=セルの固定色(AK$6),1,"")</f>
        <v/>
      </c>
      <c r="AM135" s="14" t="str">
        <f>IF(OR(ISBLANK(AL135),AL135=""),"",COUNTIF(AL$6:AL135,"&gt;0"))</f>
        <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C27"/>
  <sheetViews>
    <sheetView tabSelected="1" zoomScaleNormal="100" workbookViewId="0">
      <selection activeCell="C15" sqref="C15"/>
    </sheetView>
  </sheetViews>
  <sheetFormatPr defaultColWidth="9" defaultRowHeight="18.75" customHeight="1"/>
  <cols>
    <col min="1" max="1" width="22.75" style="140" bestFit="1" customWidth="1"/>
    <col min="2" max="10" width="9" style="140"/>
    <col min="11" max="11" width="15.125" style="140" bestFit="1" customWidth="1"/>
    <col min="12" max="24" width="9" style="140"/>
    <col min="25" max="29" width="16.625" style="140" customWidth="1"/>
    <col min="30" max="16384" width="9" style="140"/>
  </cols>
  <sheetData>
    <row r="1" spans="1:29" ht="18.75" customHeight="1">
      <c r="A1" s="143" t="s">
        <v>1490</v>
      </c>
      <c r="B1" s="140" t="s">
        <v>1501</v>
      </c>
      <c r="D1" s="173" t="s">
        <v>1498</v>
      </c>
      <c r="E1" s="174"/>
      <c r="F1" s="175"/>
      <c r="G1" s="173" t="s">
        <v>1843</v>
      </c>
      <c r="H1" s="174"/>
      <c r="I1" s="175"/>
      <c r="K1" s="173" t="s">
        <v>1507</v>
      </c>
      <c r="L1" s="174"/>
      <c r="M1" s="175"/>
      <c r="N1" s="176" t="s">
        <v>1843</v>
      </c>
      <c r="O1" s="177"/>
      <c r="P1" s="178"/>
      <c r="R1" s="173" t="s">
        <v>1508</v>
      </c>
      <c r="S1" s="174"/>
      <c r="T1" s="175"/>
      <c r="U1" s="173" t="s">
        <v>1857</v>
      </c>
      <c r="V1" s="174"/>
      <c r="W1" s="175"/>
      <c r="Y1" s="173" t="s">
        <v>1510</v>
      </c>
      <c r="Z1" s="174"/>
      <c r="AA1" s="174"/>
      <c r="AB1" s="174"/>
      <c r="AC1" s="175"/>
    </row>
    <row r="2" spans="1:29" ht="18.75" customHeight="1">
      <c r="A2" s="141">
        <v>43952</v>
      </c>
      <c r="C2" s="140" t="s">
        <v>1493</v>
      </c>
      <c r="N2" s="169"/>
      <c r="O2" s="169"/>
      <c r="P2" s="167"/>
    </row>
    <row r="3" spans="1:29" ht="18.75" customHeight="1">
      <c r="A3" s="142">
        <v>44012</v>
      </c>
      <c r="D3" s="140" t="s">
        <v>1498</v>
      </c>
      <c r="E3" s="140" t="s">
        <v>1491</v>
      </c>
      <c r="F3" s="140" t="s">
        <v>1497</v>
      </c>
      <c r="G3" s="140" t="s">
        <v>1514</v>
      </c>
      <c r="H3" s="140" t="s">
        <v>1491</v>
      </c>
      <c r="I3" s="140" t="s">
        <v>1497</v>
      </c>
      <c r="K3" s="140" t="s">
        <v>1496</v>
      </c>
      <c r="L3" s="140" t="s">
        <v>1497</v>
      </c>
      <c r="M3" s="165" t="s">
        <v>1858</v>
      </c>
      <c r="N3" s="140" t="s">
        <v>1514</v>
      </c>
      <c r="O3" s="140" t="s">
        <v>1497</v>
      </c>
      <c r="P3" s="165" t="s">
        <v>1858</v>
      </c>
      <c r="R3" s="140" t="s">
        <v>1203</v>
      </c>
      <c r="S3" s="140" t="s">
        <v>1497</v>
      </c>
      <c r="V3" s="140" t="s">
        <v>1203</v>
      </c>
      <c r="W3" s="140" t="s">
        <v>1497</v>
      </c>
      <c r="Y3" s="140" t="s">
        <v>1497</v>
      </c>
      <c r="Z3" s="140" t="s">
        <v>1497</v>
      </c>
      <c r="AA3" s="140" t="s">
        <v>1497</v>
      </c>
      <c r="AB3" s="140" t="s">
        <v>1497</v>
      </c>
      <c r="AC3" s="140" t="s">
        <v>1497</v>
      </c>
    </row>
    <row r="4" spans="1:29" ht="18.75" customHeight="1" thickBot="1">
      <c r="D4" s="144" t="s">
        <v>1488</v>
      </c>
      <c r="E4" s="145" t="s">
        <v>1201</v>
      </c>
      <c r="F4" s="145" t="s">
        <v>1201</v>
      </c>
      <c r="G4" s="145" t="s">
        <v>1488</v>
      </c>
      <c r="H4" s="145" t="s">
        <v>1201</v>
      </c>
      <c r="I4" s="146" t="s">
        <v>1201</v>
      </c>
      <c r="K4" s="144" t="s">
        <v>1488</v>
      </c>
      <c r="L4" s="146" t="s">
        <v>1201</v>
      </c>
      <c r="M4" s="146" t="s">
        <v>1513</v>
      </c>
      <c r="N4" s="145" t="s">
        <v>1488</v>
      </c>
      <c r="O4" s="145" t="s">
        <v>1201</v>
      </c>
      <c r="P4" s="146" t="s">
        <v>1513</v>
      </c>
      <c r="R4" s="144" t="s">
        <v>1488</v>
      </c>
      <c r="S4" s="147" t="s">
        <v>1201</v>
      </c>
      <c r="T4" s="146" t="s">
        <v>1513</v>
      </c>
      <c r="U4" s="144" t="s">
        <v>1509</v>
      </c>
      <c r="V4" s="144" t="s">
        <v>1488</v>
      </c>
      <c r="W4" s="146" t="s">
        <v>1201</v>
      </c>
      <c r="Y4" s="144" t="s">
        <v>1859</v>
      </c>
      <c r="Z4" s="144" t="s">
        <v>1860</v>
      </c>
      <c r="AA4" s="145" t="s">
        <v>1454</v>
      </c>
      <c r="AB4" s="145" t="s">
        <v>1511</v>
      </c>
      <c r="AC4" s="146" t="s">
        <v>1512</v>
      </c>
    </row>
    <row r="5" spans="1:29" ht="18.75" customHeight="1" thickTop="1">
      <c r="A5" s="143" t="s">
        <v>1494</v>
      </c>
      <c r="C5" s="161"/>
      <c r="D5" s="156"/>
      <c r="E5" s="148" t="s">
        <v>1063</v>
      </c>
      <c r="F5" s="151"/>
      <c r="G5" s="152"/>
      <c r="H5" s="156"/>
      <c r="I5" s="156"/>
      <c r="K5" s="148" t="s">
        <v>1066</v>
      </c>
      <c r="M5" s="170"/>
      <c r="N5" s="172"/>
      <c r="O5" s="156"/>
      <c r="P5" s="166"/>
      <c r="T5" s="153"/>
      <c r="U5" s="154"/>
      <c r="Y5" s="156"/>
      <c r="Z5" s="156"/>
      <c r="AA5" s="156"/>
      <c r="AB5" s="156"/>
      <c r="AC5" s="156"/>
    </row>
    <row r="6" spans="1:29" ht="18.75" customHeight="1">
      <c r="A6" s="140" t="s">
        <v>1490</v>
      </c>
      <c r="B6" s="140" t="b">
        <f>ISREF(集計期間)</f>
        <v>1</v>
      </c>
      <c r="D6" s="138" t="s">
        <v>1517</v>
      </c>
      <c r="E6" s="159">
        <v>3</v>
      </c>
      <c r="F6" s="138">
        <v>2</v>
      </c>
      <c r="G6" s="168" t="s">
        <v>1517</v>
      </c>
      <c r="H6" s="168">
        <v>3</v>
      </c>
      <c r="I6" s="168">
        <v>2</v>
      </c>
      <c r="K6" s="149" t="s">
        <v>27</v>
      </c>
      <c r="L6" s="162">
        <v>36</v>
      </c>
      <c r="M6" s="163">
        <v>25691459</v>
      </c>
      <c r="N6" s="171" t="s">
        <v>27</v>
      </c>
      <c r="O6" s="171">
        <v>36</v>
      </c>
      <c r="P6" s="163">
        <v>25691459</v>
      </c>
      <c r="R6" s="150"/>
      <c r="S6" s="150"/>
      <c r="T6" s="150"/>
      <c r="U6" s="150"/>
      <c r="V6" s="150"/>
      <c r="W6" s="150"/>
    </row>
    <row r="7" spans="1:29" ht="18.75" customHeight="1">
      <c r="A7" s="140" t="s">
        <v>1492</v>
      </c>
      <c r="B7" s="140" t="b">
        <f>ISREF(組織)</f>
        <v>1</v>
      </c>
      <c r="D7" s="138" t="s">
        <v>1242</v>
      </c>
      <c r="F7" s="138">
        <v>0</v>
      </c>
      <c r="G7" s="168" t="s">
        <v>1260</v>
      </c>
      <c r="H7" s="168">
        <v>74</v>
      </c>
      <c r="I7" s="168">
        <v>56</v>
      </c>
      <c r="K7" s="149" t="s">
        <v>54</v>
      </c>
      <c r="L7" s="162">
        <v>13</v>
      </c>
      <c r="M7" s="163">
        <v>0</v>
      </c>
      <c r="N7" s="171" t="s">
        <v>54</v>
      </c>
      <c r="O7" s="171">
        <v>13</v>
      </c>
      <c r="P7" s="163">
        <v>0</v>
      </c>
    </row>
    <row r="8" spans="1:29" ht="18.75" customHeight="1">
      <c r="A8" s="140" t="s">
        <v>1495</v>
      </c>
      <c r="B8" s="140" t="b">
        <f>ISREF(承認記録)</f>
        <v>1</v>
      </c>
      <c r="D8" s="138" t="s">
        <v>1260</v>
      </c>
      <c r="E8" s="159">
        <v>74</v>
      </c>
      <c r="F8" s="138">
        <v>56</v>
      </c>
      <c r="G8" s="168" t="s">
        <v>1287</v>
      </c>
      <c r="H8" s="168">
        <v>4</v>
      </c>
      <c r="I8" s="168">
        <v>1</v>
      </c>
      <c r="K8" s="149" t="s">
        <v>779</v>
      </c>
      <c r="L8" s="162">
        <v>0</v>
      </c>
      <c r="M8" s="163">
        <v>0</v>
      </c>
      <c r="N8" s="171" t="s">
        <v>166</v>
      </c>
      <c r="O8" s="171">
        <v>2</v>
      </c>
      <c r="P8" s="163">
        <v>0</v>
      </c>
    </row>
    <row r="9" spans="1:29" ht="18.75" customHeight="1">
      <c r="A9" s="140" t="s">
        <v>1854</v>
      </c>
      <c r="B9" s="140" t="b">
        <f>ISREF(取引集計)</f>
        <v>1</v>
      </c>
      <c r="D9" s="138" t="s">
        <v>1287</v>
      </c>
      <c r="E9" s="160">
        <v>4</v>
      </c>
      <c r="F9" s="138">
        <v>1</v>
      </c>
      <c r="G9" s="168" t="s">
        <v>1296</v>
      </c>
      <c r="H9" s="168">
        <v>1</v>
      </c>
      <c r="I9" s="168">
        <v>0</v>
      </c>
      <c r="K9" s="149" t="s">
        <v>166</v>
      </c>
      <c r="L9" s="162">
        <v>2</v>
      </c>
      <c r="M9" s="163">
        <v>0</v>
      </c>
      <c r="N9" s="171" t="s">
        <v>87</v>
      </c>
      <c r="O9" s="171">
        <v>1</v>
      </c>
      <c r="P9" s="163">
        <v>0</v>
      </c>
    </row>
    <row r="10" spans="1:29" ht="18.75" customHeight="1">
      <c r="A10" s="140" t="s">
        <v>1855</v>
      </c>
      <c r="B10" s="140" t="b">
        <f>ISREF(取引集計＿非ゼロ)</f>
        <v>1</v>
      </c>
      <c r="D10" s="138" t="s">
        <v>1296</v>
      </c>
      <c r="E10" s="160">
        <v>1</v>
      </c>
      <c r="F10" s="138">
        <v>0</v>
      </c>
      <c r="G10" s="168" t="s">
        <v>1526</v>
      </c>
      <c r="H10" s="168">
        <v>0</v>
      </c>
      <c r="I10" s="168">
        <v>1</v>
      </c>
      <c r="K10" s="149" t="s">
        <v>1077</v>
      </c>
      <c r="L10" s="162">
        <v>0</v>
      </c>
      <c r="M10" s="163">
        <v>0</v>
      </c>
      <c r="N10" s="171" t="s">
        <v>494</v>
      </c>
      <c r="O10" s="171">
        <v>4</v>
      </c>
      <c r="P10" s="163">
        <v>109395000</v>
      </c>
    </row>
    <row r="11" spans="1:29" ht="18.75" customHeight="1">
      <c r="A11" s="140" t="s">
        <v>1498</v>
      </c>
      <c r="B11" s="140" t="b">
        <f>ISREF(組織集計)</f>
        <v>1</v>
      </c>
      <c r="D11" s="138" t="s">
        <v>1526</v>
      </c>
      <c r="F11" s="138">
        <v>1</v>
      </c>
      <c r="G11" s="168" t="s">
        <v>545</v>
      </c>
      <c r="H11" s="168">
        <v>0</v>
      </c>
      <c r="I11" s="168">
        <v>1</v>
      </c>
      <c r="K11" s="149" t="s">
        <v>87</v>
      </c>
      <c r="L11" s="162">
        <v>1</v>
      </c>
      <c r="M11" s="163">
        <v>0</v>
      </c>
      <c r="N11" s="171" t="s">
        <v>252</v>
      </c>
      <c r="O11" s="171">
        <v>3</v>
      </c>
      <c r="P11" s="163">
        <v>3240000</v>
      </c>
    </row>
    <row r="12" spans="1:29" ht="18.75" customHeight="1">
      <c r="A12" s="140" t="s">
        <v>1843</v>
      </c>
      <c r="B12" s="140" t="b">
        <f>ISREF(組織集計＿非ゼロ)</f>
        <v>1</v>
      </c>
      <c r="D12" s="138" t="s">
        <v>1532</v>
      </c>
      <c r="F12" s="138">
        <v>0</v>
      </c>
      <c r="G12" s="138"/>
      <c r="H12" s="138"/>
      <c r="I12" s="138"/>
      <c r="K12" s="149" t="s">
        <v>494</v>
      </c>
      <c r="L12" s="162">
        <v>4</v>
      </c>
      <c r="M12" s="163">
        <v>109395000</v>
      </c>
      <c r="N12" s="171" t="s">
        <v>116</v>
      </c>
      <c r="O12" s="171">
        <v>2</v>
      </c>
      <c r="P12" s="163">
        <v>1296000</v>
      </c>
    </row>
    <row r="13" spans="1:29" ht="18.75" customHeight="1">
      <c r="A13" s="140" t="s">
        <v>1508</v>
      </c>
      <c r="B13" s="140" t="b">
        <f>ISREF(仕向地集計)</f>
        <v>1</v>
      </c>
      <c r="D13" s="138" t="s">
        <v>1537</v>
      </c>
      <c r="F13" s="138">
        <v>0</v>
      </c>
      <c r="G13" s="138"/>
      <c r="H13" s="138"/>
      <c r="I13" s="138"/>
      <c r="K13" s="149" t="s">
        <v>73</v>
      </c>
      <c r="L13" s="162">
        <v>0</v>
      </c>
      <c r="M13" s="163">
        <v>0</v>
      </c>
      <c r="P13" s="164"/>
    </row>
    <row r="14" spans="1:29" ht="18.75" customHeight="1">
      <c r="A14" s="140" t="s">
        <v>1856</v>
      </c>
      <c r="B14" s="140" t="b">
        <f ca="1">ISREF(仕向地集計(トップ))</f>
        <v>0</v>
      </c>
      <c r="D14" s="138" t="s">
        <v>1540</v>
      </c>
      <c r="F14" s="138">
        <v>0</v>
      </c>
      <c r="G14" s="138"/>
      <c r="H14" s="138"/>
      <c r="I14" s="138"/>
      <c r="K14" s="149" t="s">
        <v>259</v>
      </c>
      <c r="L14" s="162">
        <v>0</v>
      </c>
      <c r="M14" s="163">
        <v>0</v>
      </c>
      <c r="P14" s="164"/>
    </row>
    <row r="15" spans="1:29" ht="18.75" customHeight="1">
      <c r="A15" s="140" t="s">
        <v>1510</v>
      </c>
      <c r="B15" s="140" t="b">
        <f>ISREF(該当取引)</f>
        <v>0</v>
      </c>
      <c r="D15" s="138" t="s">
        <v>1544</v>
      </c>
      <c r="F15" s="138">
        <v>0</v>
      </c>
      <c r="G15" s="138"/>
      <c r="H15" s="138"/>
      <c r="I15" s="138"/>
      <c r="K15" s="149" t="s">
        <v>252</v>
      </c>
      <c r="L15" s="162">
        <v>3</v>
      </c>
      <c r="M15" s="163">
        <v>3240000</v>
      </c>
      <c r="P15" s="164"/>
    </row>
    <row r="16" spans="1:29" ht="18.75" customHeight="1">
      <c r="A16" s="140" t="s">
        <v>1516</v>
      </c>
      <c r="B16" s="140" t="b">
        <f>ISREF(Range_組織辞書)</f>
        <v>1</v>
      </c>
      <c r="D16" s="138" t="s">
        <v>1547</v>
      </c>
      <c r="F16" s="138">
        <v>0</v>
      </c>
      <c r="G16" s="138"/>
      <c r="H16" s="138"/>
      <c r="I16" s="138"/>
      <c r="K16" s="149" t="s">
        <v>1085</v>
      </c>
      <c r="L16" s="162">
        <v>0</v>
      </c>
      <c r="M16" s="163">
        <v>0</v>
      </c>
      <c r="P16" s="164"/>
    </row>
    <row r="17" spans="1:16" ht="18.75" customHeight="1">
      <c r="D17" s="138" t="s">
        <v>1553</v>
      </c>
      <c r="F17" s="138">
        <v>0</v>
      </c>
      <c r="G17" s="138"/>
      <c r="H17" s="138"/>
      <c r="I17" s="138"/>
      <c r="K17" s="149" t="s">
        <v>116</v>
      </c>
      <c r="L17" s="162">
        <v>2</v>
      </c>
      <c r="M17" s="163">
        <v>1296000</v>
      </c>
      <c r="P17" s="164"/>
    </row>
    <row r="18" spans="1:16" ht="18.75" customHeight="1">
      <c r="D18" s="138" t="s">
        <v>1554</v>
      </c>
      <c r="F18" s="138">
        <v>0</v>
      </c>
      <c r="G18" s="138"/>
      <c r="H18" s="138"/>
      <c r="I18" s="138"/>
    </row>
    <row r="19" spans="1:16" ht="18.75" customHeight="1">
      <c r="A19" s="143" t="s">
        <v>1499</v>
      </c>
      <c r="B19" s="155"/>
      <c r="D19" s="138" t="s">
        <v>1558</v>
      </c>
      <c r="F19" s="138">
        <v>0</v>
      </c>
      <c r="G19" s="138"/>
      <c r="H19" s="138"/>
      <c r="I19" s="138"/>
    </row>
    <row r="20" spans="1:16" ht="18.75" customHeight="1">
      <c r="A20" s="140" t="s">
        <v>1500</v>
      </c>
      <c r="B20" s="155"/>
      <c r="D20" s="138" t="s">
        <v>1385</v>
      </c>
      <c r="F20" s="138">
        <v>0</v>
      </c>
      <c r="G20" s="138"/>
      <c r="H20" s="138"/>
      <c r="I20" s="138"/>
    </row>
    <row r="21" spans="1:16" ht="18.75" customHeight="1">
      <c r="A21" s="140" t="s">
        <v>1502</v>
      </c>
      <c r="B21" s="155"/>
      <c r="D21" s="138" t="s">
        <v>1560</v>
      </c>
      <c r="F21" s="138">
        <v>0</v>
      </c>
      <c r="G21" s="138"/>
      <c r="H21" s="138"/>
      <c r="I21" s="138"/>
    </row>
    <row r="22" spans="1:16" ht="18.75" customHeight="1">
      <c r="A22" s="140" t="s">
        <v>1503</v>
      </c>
      <c r="B22" s="155"/>
      <c r="D22" s="138" t="s">
        <v>1398</v>
      </c>
      <c r="F22" s="138">
        <v>0</v>
      </c>
      <c r="G22" s="138"/>
      <c r="H22" s="138"/>
      <c r="I22" s="138"/>
    </row>
    <row r="23" spans="1:16" ht="18.75" customHeight="1">
      <c r="A23" s="140" t="s">
        <v>1504</v>
      </c>
      <c r="B23" s="155"/>
      <c r="D23" s="138" t="s">
        <v>1419</v>
      </c>
      <c r="F23" s="138">
        <v>0</v>
      </c>
      <c r="G23" s="138"/>
      <c r="H23" s="138"/>
      <c r="I23" s="138"/>
    </row>
    <row r="24" spans="1:16" ht="18.75" customHeight="1">
      <c r="A24" s="140" t="s">
        <v>1505</v>
      </c>
      <c r="B24" s="155"/>
      <c r="D24" s="138" t="s">
        <v>545</v>
      </c>
      <c r="F24" s="138">
        <v>1</v>
      </c>
      <c r="G24" s="138"/>
      <c r="H24" s="138"/>
      <c r="I24" s="138"/>
    </row>
    <row r="25" spans="1:16" ht="18.75" customHeight="1">
      <c r="A25" s="140" t="s">
        <v>1506</v>
      </c>
      <c r="B25" s="155"/>
      <c r="D25" s="138" t="s">
        <v>1434</v>
      </c>
      <c r="F25" s="138">
        <v>0</v>
      </c>
      <c r="G25" s="138"/>
      <c r="H25" s="138"/>
      <c r="I25" s="138"/>
    </row>
    <row r="26" spans="1:16" ht="18.75" customHeight="1">
      <c r="D26" s="138" t="s">
        <v>1437</v>
      </c>
      <c r="F26" s="138">
        <v>0</v>
      </c>
      <c r="G26" s="138"/>
      <c r="H26" s="138"/>
      <c r="I26" s="138"/>
    </row>
    <row r="27" spans="1:16" ht="18.75" customHeight="1">
      <c r="D27" s="138" t="s">
        <v>1844</v>
      </c>
      <c r="F27" s="138">
        <v>0</v>
      </c>
      <c r="G27" s="138"/>
      <c r="H27" s="138"/>
      <c r="I27" s="138"/>
    </row>
  </sheetData>
  <dataConsolidate/>
  <mergeCells count="7">
    <mergeCell ref="Y1:AC1"/>
    <mergeCell ref="K1:M1"/>
    <mergeCell ref="N1:P1"/>
    <mergeCell ref="D1:F1"/>
    <mergeCell ref="G1:I1"/>
    <mergeCell ref="R1:T1"/>
    <mergeCell ref="U1:W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28575</xdr:colOff>
                    <xdr:row>4</xdr:row>
                    <xdr:rowOff>28575</xdr:rowOff>
                  </from>
                  <to>
                    <xdr:col>5</xdr:col>
                    <xdr:colOff>647700</xdr:colOff>
                    <xdr:row>4</xdr:row>
                    <xdr:rowOff>209550</xdr:rowOff>
                  </to>
                </anchor>
              </controlPr>
            </control>
          </mc:Choice>
        </mc:AlternateContent>
        <mc:AlternateContent xmlns:mc="http://schemas.openxmlformats.org/markup-compatibility/2006">
          <mc:Choice Requires="x14">
            <control shapeId="8206" r:id="rId7" name="Button 14">
              <controlPr defaultSize="0" print="0" autoFill="0" autoPict="0" macro="[0]!Sheet1.組織辞書初期化">
                <anchor moveWithCells="1" sizeWithCells="1">
                  <from>
                    <xdr:col>2</xdr:col>
                    <xdr:colOff>28575</xdr:colOff>
                    <xdr:row>4</xdr:row>
                    <xdr:rowOff>28575</xdr:rowOff>
                  </from>
                  <to>
                    <xdr:col>2</xdr:col>
                    <xdr:colOff>647700</xdr:colOff>
                    <xdr:row>4</xdr:row>
                    <xdr:rowOff>209550</xdr:rowOff>
                  </to>
                </anchor>
              </controlPr>
            </control>
          </mc:Choice>
        </mc:AlternateContent>
        <mc:AlternateContent xmlns:mc="http://schemas.openxmlformats.org/markup-compatibility/2006">
          <mc:Choice Requires="x14">
            <control shapeId="8193" r:id="rId8" name="Button 1">
              <controlPr defaultSize="0" print="0" autoFill="0" autoPict="0" macro="[0]!Sheet1.組織集計1列初期化">
                <anchor moveWithCells="1" sizeWithCells="1">
                  <from>
                    <xdr:col>3</xdr:col>
                    <xdr:colOff>28575</xdr:colOff>
                    <xdr:row>4</xdr:row>
                    <xdr:rowOff>28575</xdr:rowOff>
                  </from>
                  <to>
                    <xdr:col>3</xdr:col>
                    <xdr:colOff>647700</xdr:colOff>
                    <xdr:row>4</xdr:row>
                    <xdr:rowOff>209550</xdr:rowOff>
                  </to>
                </anchor>
              </controlPr>
            </control>
          </mc:Choice>
        </mc:AlternateContent>
        <mc:AlternateContent xmlns:mc="http://schemas.openxmlformats.org/markup-compatibility/2006">
          <mc:Choice Requires="x14">
            <control shapeId="8207" r:id="rId9" name="Button 15">
              <controlPr defaultSize="0" print="0" autoFill="0" autoPict="0" macro="[0]!Sheet1.組織集計_非ゼロ更新">
                <anchor moveWithCells="1" sizeWithCells="1">
                  <from>
                    <xdr:col>6</xdr:col>
                    <xdr:colOff>28575</xdr:colOff>
                    <xdr:row>4</xdr:row>
                    <xdr:rowOff>28575</xdr:rowOff>
                  </from>
                  <to>
                    <xdr:col>6</xdr:col>
                    <xdr:colOff>647700</xdr:colOff>
                    <xdr:row>4</xdr:row>
                    <xdr:rowOff>209550</xdr:rowOff>
                  </to>
                </anchor>
              </controlPr>
            </control>
          </mc:Choice>
        </mc:AlternateContent>
        <mc:AlternateContent xmlns:mc="http://schemas.openxmlformats.org/markup-compatibility/2006">
          <mc:Choice Requires="x14">
            <control shapeId="8210" r:id="rId10" name="Button 18">
              <controlPr defaultSize="0" print="0" autoFill="0" autoPict="0" macro="[0]!Sheet1.取引区分別個別審査件数集計">
                <anchor moveWithCells="1" sizeWithCells="1">
                  <from>
                    <xdr:col>11</xdr:col>
                    <xdr:colOff>28575</xdr:colOff>
                    <xdr:row>4</xdr:row>
                    <xdr:rowOff>28575</xdr:rowOff>
                  </from>
                  <to>
                    <xdr:col>11</xdr:col>
                    <xdr:colOff>647700</xdr:colOff>
                    <xdr:row>4</xdr:row>
                    <xdr:rowOff>209550</xdr:rowOff>
                  </to>
                </anchor>
              </controlPr>
            </control>
          </mc:Choice>
        </mc:AlternateContent>
        <mc:AlternateContent xmlns:mc="http://schemas.openxmlformats.org/markup-compatibility/2006">
          <mc:Choice Requires="x14">
            <control shapeId="8211" r:id="rId11" name="Button 19">
              <controlPr defaultSize="0" print="0" autoFill="0" autoPict="0" macro="[0]!Sheet1.取引集計_非ゼロ更新">
                <anchor moveWithCells="1" sizeWithCells="1">
                  <from>
                    <xdr:col>13</xdr:col>
                    <xdr:colOff>28575</xdr:colOff>
                    <xdr:row>4</xdr:row>
                    <xdr:rowOff>28575</xdr:rowOff>
                  </from>
                  <to>
                    <xdr:col>13</xdr:col>
                    <xdr:colOff>647700</xdr:colOff>
                    <xdr:row>4</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3"/>
  <sheetViews>
    <sheetView workbookViewId="0">
      <selection activeCell="D2" sqref="D2"/>
    </sheetView>
  </sheetViews>
  <sheetFormatPr defaultColWidth="9" defaultRowHeight="13.5"/>
  <cols>
    <col min="1" max="16384" width="9" style="138"/>
  </cols>
  <sheetData>
    <row r="1" spans="1:18">
      <c r="A1" s="139" t="s">
        <v>1486</v>
      </c>
      <c r="B1" s="139" t="s">
        <v>1487</v>
      </c>
      <c r="D1" s="139" t="s">
        <v>1488</v>
      </c>
      <c r="E1" s="139" t="s">
        <v>1489</v>
      </c>
    </row>
    <row r="2" spans="1:18" ht="18.75">
      <c r="D2" t="s">
        <v>1517</v>
      </c>
      <c r="E2" t="s">
        <v>1072</v>
      </c>
      <c r="F2" t="s">
        <v>1074</v>
      </c>
      <c r="G2" t="s">
        <v>1518</v>
      </c>
      <c r="H2" t="s">
        <v>1078</v>
      </c>
      <c r="I2" t="s">
        <v>1079</v>
      </c>
      <c r="J2" t="s">
        <v>1081</v>
      </c>
      <c r="K2" t="s">
        <v>1082</v>
      </c>
      <c r="L2" t="s">
        <v>886</v>
      </c>
      <c r="M2" t="s">
        <v>604</v>
      </c>
      <c r="N2" t="s">
        <v>408</v>
      </c>
      <c r="O2" t="s">
        <v>1086</v>
      </c>
      <c r="P2" t="s">
        <v>1087</v>
      </c>
      <c r="Q2" t="s">
        <v>1089</v>
      </c>
      <c r="R2"/>
    </row>
    <row r="3" spans="1:18" ht="18.75">
      <c r="D3" t="s">
        <v>1242</v>
      </c>
      <c r="E3" t="s">
        <v>1090</v>
      </c>
      <c r="F3" t="s">
        <v>1092</v>
      </c>
      <c r="G3" t="s">
        <v>1093</v>
      </c>
      <c r="H3" t="s">
        <v>1094</v>
      </c>
      <c r="I3" t="s">
        <v>1096</v>
      </c>
      <c r="J3" t="s">
        <v>1519</v>
      </c>
      <c r="K3" t="s">
        <v>1520</v>
      </c>
      <c r="L3" t="s">
        <v>1099</v>
      </c>
      <c r="M3"/>
      <c r="N3"/>
      <c r="O3"/>
      <c r="P3"/>
      <c r="Q3"/>
      <c r="R3"/>
    </row>
    <row r="4" spans="1:18" ht="18.75">
      <c r="D4" t="s">
        <v>1260</v>
      </c>
      <c r="E4" t="s">
        <v>139</v>
      </c>
      <c r="F4" t="s">
        <v>47</v>
      </c>
      <c r="G4" t="s">
        <v>1102</v>
      </c>
      <c r="H4" t="s">
        <v>1521</v>
      </c>
      <c r="I4" t="s">
        <v>1104</v>
      </c>
      <c r="J4" t="s">
        <v>101</v>
      </c>
      <c r="K4" t="s">
        <v>1105</v>
      </c>
      <c r="L4" t="s">
        <v>32</v>
      </c>
      <c r="M4" t="s">
        <v>128</v>
      </c>
      <c r="N4" t="s">
        <v>1106</v>
      </c>
      <c r="O4" t="s">
        <v>90</v>
      </c>
      <c r="P4" t="s">
        <v>596</v>
      </c>
      <c r="Q4" t="s">
        <v>1109</v>
      </c>
      <c r="R4" t="s">
        <v>1110</v>
      </c>
    </row>
    <row r="5" spans="1:18" ht="18.75">
      <c r="D5" t="s">
        <v>1287</v>
      </c>
      <c r="E5" t="s">
        <v>1522</v>
      </c>
      <c r="F5" t="s">
        <v>191</v>
      </c>
      <c r="G5" t="s">
        <v>1523</v>
      </c>
      <c r="H5" t="s">
        <v>1524</v>
      </c>
      <c r="I5"/>
      <c r="J5"/>
      <c r="K5"/>
      <c r="L5"/>
      <c r="M5"/>
      <c r="N5"/>
      <c r="O5"/>
      <c r="P5"/>
      <c r="Q5"/>
      <c r="R5"/>
    </row>
    <row r="6" spans="1:18" ht="18.75">
      <c r="D6" t="s">
        <v>1296</v>
      </c>
      <c r="E6" t="s">
        <v>1525</v>
      </c>
      <c r="F6" t="s">
        <v>368</v>
      </c>
      <c r="G6" t="s">
        <v>1195</v>
      </c>
      <c r="H6" t="s">
        <v>1117</v>
      </c>
      <c r="I6"/>
      <c r="J6"/>
      <c r="K6"/>
      <c r="L6"/>
      <c r="M6"/>
      <c r="N6"/>
      <c r="O6"/>
      <c r="P6"/>
      <c r="Q6"/>
      <c r="R6"/>
    </row>
    <row r="7" spans="1:18" ht="18.75">
      <c r="D7" t="s">
        <v>1526</v>
      </c>
      <c r="E7" t="s">
        <v>1527</v>
      </c>
      <c r="F7" t="s">
        <v>1528</v>
      </c>
      <c r="G7" t="s">
        <v>635</v>
      </c>
      <c r="H7" t="s">
        <v>1529</v>
      </c>
      <c r="I7" t="s">
        <v>1530</v>
      </c>
      <c r="J7" t="s">
        <v>1531</v>
      </c>
      <c r="K7"/>
      <c r="L7"/>
      <c r="M7"/>
      <c r="N7"/>
      <c r="O7"/>
      <c r="P7"/>
      <c r="Q7"/>
      <c r="R7"/>
    </row>
    <row r="8" spans="1:18" ht="18.75">
      <c r="D8" t="s">
        <v>1532</v>
      </c>
      <c r="E8" t="s">
        <v>1533</v>
      </c>
      <c r="F8" t="s">
        <v>271</v>
      </c>
      <c r="G8" t="s">
        <v>1534</v>
      </c>
      <c r="H8" t="s">
        <v>1535</v>
      </c>
      <c r="I8" t="s">
        <v>264</v>
      </c>
      <c r="J8" t="s">
        <v>1536</v>
      </c>
      <c r="K8"/>
      <c r="L8"/>
      <c r="M8"/>
      <c r="N8"/>
      <c r="O8"/>
      <c r="P8"/>
      <c r="Q8"/>
      <c r="R8"/>
    </row>
    <row r="9" spans="1:18" ht="18.75">
      <c r="D9" t="s">
        <v>1537</v>
      </c>
      <c r="E9" t="s">
        <v>1538</v>
      </c>
      <c r="F9" t="s">
        <v>396</v>
      </c>
      <c r="G9" t="s">
        <v>236</v>
      </c>
      <c r="H9" t="s">
        <v>1539</v>
      </c>
      <c r="I9"/>
      <c r="J9"/>
      <c r="K9"/>
      <c r="L9"/>
      <c r="M9"/>
      <c r="N9"/>
      <c r="O9"/>
      <c r="P9"/>
      <c r="Q9"/>
      <c r="R9"/>
    </row>
    <row r="10" spans="1:18" ht="18.75">
      <c r="D10" t="s">
        <v>1540</v>
      </c>
      <c r="E10" t="s">
        <v>718</v>
      </c>
      <c r="F10" t="s">
        <v>1541</v>
      </c>
      <c r="G10" t="s">
        <v>1542</v>
      </c>
      <c r="H10" t="s">
        <v>1543</v>
      </c>
      <c r="I10"/>
      <c r="J10"/>
      <c r="K10"/>
      <c r="L10"/>
      <c r="M10"/>
      <c r="N10"/>
      <c r="O10"/>
      <c r="P10"/>
      <c r="Q10"/>
      <c r="R10"/>
    </row>
    <row r="11" spans="1:18" ht="18.75">
      <c r="D11" t="s">
        <v>1544</v>
      </c>
      <c r="E11" t="s">
        <v>1545</v>
      </c>
      <c r="F11" t="s">
        <v>1546</v>
      </c>
      <c r="G11"/>
      <c r="H11"/>
      <c r="I11"/>
      <c r="J11"/>
      <c r="K11"/>
      <c r="L11"/>
      <c r="M11"/>
      <c r="N11"/>
      <c r="O11"/>
      <c r="P11"/>
      <c r="Q11"/>
      <c r="R11"/>
    </row>
    <row r="12" spans="1:18" ht="18.75">
      <c r="D12" t="s">
        <v>1547</v>
      </c>
      <c r="E12" t="s">
        <v>1548</v>
      </c>
      <c r="F12" t="s">
        <v>1549</v>
      </c>
      <c r="G12" t="s">
        <v>1550</v>
      </c>
      <c r="H12" t="s">
        <v>1551</v>
      </c>
      <c r="I12" t="s">
        <v>1552</v>
      </c>
      <c r="J12"/>
      <c r="K12"/>
      <c r="L12"/>
      <c r="M12"/>
      <c r="N12"/>
      <c r="O12"/>
      <c r="P12"/>
      <c r="Q12"/>
      <c r="R12"/>
    </row>
    <row r="13" spans="1:18" ht="18.75">
      <c r="D13" t="s">
        <v>1553</v>
      </c>
      <c r="E13"/>
      <c r="F13"/>
      <c r="G13"/>
      <c r="H13"/>
      <c r="I13"/>
      <c r="J13"/>
      <c r="K13"/>
      <c r="L13"/>
      <c r="M13"/>
      <c r="N13"/>
      <c r="O13"/>
      <c r="P13"/>
      <c r="Q13"/>
      <c r="R13"/>
    </row>
    <row r="14" spans="1:18" ht="18.75">
      <c r="D14" t="s">
        <v>1554</v>
      </c>
      <c r="E14" t="s">
        <v>1555</v>
      </c>
      <c r="F14" t="s">
        <v>1556</v>
      </c>
      <c r="G14" t="s">
        <v>1557</v>
      </c>
      <c r="H14"/>
      <c r="I14"/>
      <c r="J14"/>
      <c r="K14"/>
      <c r="L14"/>
      <c r="M14"/>
      <c r="N14"/>
      <c r="O14"/>
      <c r="P14"/>
      <c r="Q14"/>
      <c r="R14"/>
    </row>
    <row r="15" spans="1:18" ht="18.75">
      <c r="D15" t="s">
        <v>1558</v>
      </c>
      <c r="E15" t="s">
        <v>1559</v>
      </c>
      <c r="F15" t="s">
        <v>1149</v>
      </c>
      <c r="G15" t="s">
        <v>1150</v>
      </c>
      <c r="H15" t="s">
        <v>1151</v>
      </c>
      <c r="I15"/>
      <c r="J15"/>
      <c r="K15"/>
      <c r="L15"/>
      <c r="M15"/>
      <c r="N15"/>
      <c r="O15"/>
      <c r="P15"/>
      <c r="Q15"/>
      <c r="R15"/>
    </row>
    <row r="16" spans="1:18" ht="18.75">
      <c r="D16" t="s">
        <v>1385</v>
      </c>
      <c r="E16"/>
      <c r="F16"/>
      <c r="G16"/>
      <c r="H16"/>
      <c r="I16"/>
      <c r="J16"/>
      <c r="K16"/>
      <c r="L16"/>
      <c r="M16"/>
      <c r="N16"/>
      <c r="O16"/>
      <c r="P16"/>
      <c r="Q16"/>
      <c r="R16"/>
    </row>
    <row r="17" spans="4:18" ht="18.75">
      <c r="D17" t="s">
        <v>1560</v>
      </c>
      <c r="E17" t="s">
        <v>1561</v>
      </c>
      <c r="F17" t="s">
        <v>1562</v>
      </c>
      <c r="G17" t="s">
        <v>1563</v>
      </c>
      <c r="H17" t="s">
        <v>1564</v>
      </c>
      <c r="I17"/>
      <c r="J17"/>
      <c r="K17"/>
      <c r="L17"/>
      <c r="M17"/>
      <c r="N17"/>
      <c r="O17"/>
      <c r="P17"/>
      <c r="Q17"/>
      <c r="R17"/>
    </row>
    <row r="18" spans="4:18" ht="18.75">
      <c r="D18" t="s">
        <v>1398</v>
      </c>
      <c r="E18" t="s">
        <v>1156</v>
      </c>
      <c r="F18" t="s">
        <v>1157</v>
      </c>
      <c r="G18" t="s">
        <v>1565</v>
      </c>
      <c r="H18" t="s">
        <v>1159</v>
      </c>
      <c r="I18" t="s">
        <v>1160</v>
      </c>
      <c r="J18" t="s">
        <v>1410</v>
      </c>
      <c r="K18" t="s">
        <v>1161</v>
      </c>
      <c r="L18" t="s">
        <v>1566</v>
      </c>
      <c r="M18" t="s">
        <v>1567</v>
      </c>
      <c r="N18"/>
      <c r="O18"/>
      <c r="P18"/>
      <c r="Q18"/>
      <c r="R18"/>
    </row>
    <row r="19" spans="4:18" ht="18.75">
      <c r="D19" t="s">
        <v>1419</v>
      </c>
      <c r="E19" t="s">
        <v>1164</v>
      </c>
      <c r="F19" t="s">
        <v>1165</v>
      </c>
      <c r="G19" t="s">
        <v>1166</v>
      </c>
      <c r="H19" t="s">
        <v>1167</v>
      </c>
      <c r="I19"/>
      <c r="J19"/>
      <c r="K19"/>
      <c r="L19"/>
      <c r="M19"/>
      <c r="N19"/>
      <c r="O19"/>
      <c r="P19"/>
      <c r="Q19"/>
      <c r="R19"/>
    </row>
    <row r="20" spans="4:18" ht="18.75">
      <c r="D20" t="s">
        <v>545</v>
      </c>
      <c r="E20" t="s">
        <v>1568</v>
      </c>
      <c r="F20"/>
      <c r="G20"/>
      <c r="H20"/>
      <c r="I20"/>
      <c r="J20"/>
      <c r="K20"/>
      <c r="L20"/>
      <c r="M20"/>
      <c r="N20"/>
      <c r="O20"/>
      <c r="P20"/>
      <c r="Q20"/>
      <c r="R20"/>
    </row>
    <row r="21" spans="4:18" ht="18.75">
      <c r="D21" t="s">
        <v>1434</v>
      </c>
      <c r="E21"/>
      <c r="F21"/>
      <c r="G21"/>
      <c r="H21"/>
      <c r="I21"/>
      <c r="J21"/>
      <c r="K21"/>
      <c r="L21"/>
      <c r="M21"/>
      <c r="N21"/>
      <c r="O21"/>
      <c r="P21"/>
      <c r="Q21"/>
      <c r="R21"/>
    </row>
    <row r="22" spans="4:18" ht="18.75">
      <c r="D22" t="s">
        <v>1437</v>
      </c>
      <c r="E22"/>
      <c r="F22"/>
      <c r="G22"/>
      <c r="H22"/>
      <c r="I22"/>
      <c r="J22"/>
      <c r="K22"/>
      <c r="L22"/>
      <c r="M22"/>
      <c r="N22"/>
      <c r="O22"/>
      <c r="P22"/>
      <c r="Q22"/>
      <c r="R22"/>
    </row>
    <row r="23" spans="4:18" ht="18.75" customHeight="1">
      <c r="D23" t="s">
        <v>1844</v>
      </c>
      <c r="E23" t="s">
        <v>1846</v>
      </c>
      <c r="F23" t="s">
        <v>1848</v>
      </c>
      <c r="G23" t="s">
        <v>1850</v>
      </c>
      <c r="H23" t="s">
        <v>1852</v>
      </c>
      <c r="I23"/>
      <c r="J23"/>
      <c r="K23"/>
      <c r="L23"/>
      <c r="M23"/>
      <c r="N23"/>
      <c r="O23"/>
      <c r="P23"/>
      <c r="Q23"/>
      <c r="R23"/>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104775</xdr:colOff>
                    <xdr:row>0</xdr:row>
                    <xdr:rowOff>47625</xdr:rowOff>
                  </from>
                  <to>
                    <xdr:col>2</xdr:col>
                    <xdr:colOff>552450</xdr:colOff>
                    <xdr:row>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I200"/>
  <sheetViews>
    <sheetView workbookViewId="0">
      <selection activeCell="D2" sqref="D2"/>
    </sheetView>
  </sheetViews>
  <sheetFormatPr defaultColWidth="9" defaultRowHeight="13.5"/>
  <cols>
    <col min="1" max="3" width="9" style="138"/>
    <col min="4" max="9" width="20.125" style="138" customWidth="1"/>
    <col min="10" max="16384" width="9" style="138"/>
  </cols>
  <sheetData>
    <row r="1" spans="1:9">
      <c r="A1" s="139" t="s">
        <v>1486</v>
      </c>
      <c r="B1" s="139" t="s">
        <v>1487</v>
      </c>
      <c r="D1" s="139" t="s">
        <v>1488</v>
      </c>
      <c r="E1" s="139" t="s">
        <v>1489</v>
      </c>
    </row>
    <row r="2" spans="1:9" ht="18.75">
      <c r="D2" s="157" t="s">
        <v>1569</v>
      </c>
      <c r="E2" s="157"/>
      <c r="F2" s="157"/>
      <c r="G2" s="157"/>
      <c r="H2" s="157"/>
      <c r="I2" s="157"/>
    </row>
    <row r="3" spans="1:9" ht="18.75">
      <c r="D3" s="157" t="s">
        <v>1570</v>
      </c>
      <c r="E3" s="157" t="s">
        <v>68</v>
      </c>
      <c r="F3" s="157" t="s">
        <v>1571</v>
      </c>
      <c r="G3" s="157" t="s">
        <v>1572</v>
      </c>
      <c r="H3" s="157"/>
      <c r="I3" s="157"/>
    </row>
    <row r="4" spans="1:9" ht="18.75">
      <c r="D4" s="157" t="s">
        <v>1573</v>
      </c>
      <c r="E4" s="157"/>
      <c r="F4" s="157"/>
      <c r="G4" s="157"/>
      <c r="H4" s="157"/>
      <c r="I4" s="157"/>
    </row>
    <row r="5" spans="1:9" ht="18.75">
      <c r="D5" s="157" t="s">
        <v>514</v>
      </c>
      <c r="E5" s="157" t="s">
        <v>1574</v>
      </c>
      <c r="F5" s="157"/>
      <c r="G5" s="157"/>
      <c r="H5" s="157"/>
      <c r="I5" s="157"/>
    </row>
    <row r="6" spans="1:9" ht="18.75">
      <c r="D6" s="157" t="s">
        <v>1575</v>
      </c>
      <c r="E6" s="157" t="s">
        <v>79</v>
      </c>
      <c r="F6" s="157"/>
      <c r="G6" s="157"/>
      <c r="H6" s="157"/>
      <c r="I6" s="157"/>
    </row>
    <row r="7" spans="1:9" ht="18.75">
      <c r="D7" s="157" t="s">
        <v>780</v>
      </c>
      <c r="E7" s="157" t="s">
        <v>1576</v>
      </c>
      <c r="F7" s="157"/>
      <c r="G7" s="157"/>
      <c r="H7" s="157"/>
      <c r="I7" s="157"/>
    </row>
    <row r="8" spans="1:9" ht="18.75">
      <c r="D8" s="157" t="s">
        <v>1577</v>
      </c>
      <c r="E8" s="157" t="s">
        <v>1578</v>
      </c>
      <c r="F8" s="157"/>
      <c r="G8" s="157"/>
      <c r="H8" s="157"/>
      <c r="I8" s="157"/>
    </row>
    <row r="9" spans="1:9" ht="18.75">
      <c r="D9" s="157" t="s">
        <v>639</v>
      </c>
      <c r="E9" s="157" t="s">
        <v>1579</v>
      </c>
      <c r="F9" s="157" t="s">
        <v>1580</v>
      </c>
      <c r="G9" s="157" t="s">
        <v>1581</v>
      </c>
      <c r="H9" s="157"/>
      <c r="I9" s="157"/>
    </row>
    <row r="10" spans="1:9" ht="18.75">
      <c r="D10" s="157" t="s">
        <v>105</v>
      </c>
      <c r="E10" s="157"/>
      <c r="F10" s="157"/>
      <c r="G10" s="157"/>
      <c r="H10" s="157"/>
      <c r="I10" s="157"/>
    </row>
    <row r="11" spans="1:9" ht="18.75">
      <c r="D11" s="157" t="s">
        <v>1582</v>
      </c>
      <c r="E11" s="157"/>
      <c r="F11" s="157"/>
      <c r="G11" s="157"/>
      <c r="H11" s="157"/>
      <c r="I11" s="157"/>
    </row>
    <row r="12" spans="1:9" ht="18.75">
      <c r="D12" s="157" t="s">
        <v>28</v>
      </c>
      <c r="E12" s="157"/>
      <c r="F12" s="157"/>
      <c r="G12" s="157"/>
      <c r="H12" s="157"/>
      <c r="I12" s="157"/>
    </row>
    <row r="13" spans="1:9" ht="18.75">
      <c r="D13" s="157" t="s">
        <v>1583</v>
      </c>
      <c r="E13" s="157" t="s">
        <v>1584</v>
      </c>
      <c r="F13" s="157" t="s">
        <v>1585</v>
      </c>
      <c r="G13" s="157" t="s">
        <v>1586</v>
      </c>
      <c r="H13" s="157"/>
      <c r="I13" s="157"/>
    </row>
    <row r="14" spans="1:9" ht="18.75">
      <c r="D14" s="157" t="s">
        <v>903</v>
      </c>
      <c r="E14" s="157"/>
      <c r="F14" s="157"/>
      <c r="G14" s="157"/>
      <c r="H14" s="157"/>
      <c r="I14" s="157"/>
    </row>
    <row r="15" spans="1:9" ht="18.75">
      <c r="D15" s="157" t="s">
        <v>1587</v>
      </c>
      <c r="E15" s="157" t="s">
        <v>124</v>
      </c>
      <c r="F15" s="157"/>
      <c r="G15" s="157"/>
      <c r="H15" s="157"/>
      <c r="I15" s="157"/>
    </row>
    <row r="16" spans="1:9" ht="18.75">
      <c r="D16" s="157" t="s">
        <v>999</v>
      </c>
      <c r="E16" s="157"/>
      <c r="F16" s="157"/>
      <c r="G16" s="157"/>
      <c r="H16" s="157"/>
      <c r="I16" s="157"/>
    </row>
    <row r="17" spans="4:9" ht="18.75">
      <c r="D17" s="157" t="s">
        <v>1588</v>
      </c>
      <c r="E17" s="157"/>
      <c r="F17" s="157"/>
      <c r="G17" s="157"/>
      <c r="H17" s="157"/>
      <c r="I17" s="157"/>
    </row>
    <row r="18" spans="4:9" ht="18.75">
      <c r="D18" s="157" t="s">
        <v>222</v>
      </c>
      <c r="E18" s="157"/>
      <c r="F18" s="157"/>
      <c r="G18" s="157"/>
      <c r="H18" s="157"/>
      <c r="I18" s="157"/>
    </row>
    <row r="19" spans="4:9" ht="18.75">
      <c r="D19" s="157" t="s">
        <v>1589</v>
      </c>
      <c r="E19" s="157"/>
      <c r="F19" s="157"/>
      <c r="G19" s="157"/>
      <c r="H19" s="157"/>
      <c r="I19" s="157"/>
    </row>
    <row r="20" spans="4:9" ht="18.75">
      <c r="D20" s="157" t="s">
        <v>826</v>
      </c>
      <c r="E20" s="157" t="s">
        <v>1590</v>
      </c>
      <c r="F20" s="157" t="s">
        <v>1591</v>
      </c>
      <c r="G20" s="157" t="s">
        <v>1592</v>
      </c>
      <c r="H20" s="157"/>
      <c r="I20" s="157"/>
    </row>
    <row r="21" spans="4:9" ht="18.75">
      <c r="D21" s="157" t="s">
        <v>167</v>
      </c>
      <c r="E21" s="157" t="s">
        <v>1593</v>
      </c>
      <c r="F21" s="157"/>
      <c r="G21" s="157"/>
      <c r="H21" s="157"/>
      <c r="I21" s="157"/>
    </row>
    <row r="22" spans="4:9" ht="18.75">
      <c r="D22" s="157" t="s">
        <v>985</v>
      </c>
      <c r="E22" s="157" t="s">
        <v>1594</v>
      </c>
      <c r="F22" s="157"/>
      <c r="G22" s="157"/>
      <c r="H22" s="157"/>
      <c r="I22" s="157"/>
    </row>
    <row r="23" spans="4:9" ht="18.75">
      <c r="D23" s="157" t="s">
        <v>669</v>
      </c>
      <c r="E23" s="157"/>
      <c r="F23" s="157"/>
      <c r="G23" s="157"/>
      <c r="H23" s="157"/>
      <c r="I23" s="157"/>
    </row>
    <row r="24" spans="4:9" ht="18.75">
      <c r="D24" s="157" t="s">
        <v>1595</v>
      </c>
      <c r="E24" s="157" t="s">
        <v>1596</v>
      </c>
      <c r="F24" s="157"/>
      <c r="G24" s="157"/>
      <c r="H24" s="157"/>
      <c r="I24" s="157"/>
    </row>
    <row r="25" spans="4:9" ht="18.75">
      <c r="D25" s="157" t="s">
        <v>1597</v>
      </c>
      <c r="E25" s="157"/>
      <c r="F25" s="157"/>
      <c r="G25" s="157"/>
      <c r="H25" s="157"/>
      <c r="I25" s="157"/>
    </row>
    <row r="26" spans="4:9" ht="18.75">
      <c r="D26" s="157" t="s">
        <v>378</v>
      </c>
      <c r="E26" s="157"/>
      <c r="F26" s="157"/>
      <c r="G26" s="157"/>
      <c r="H26" s="157"/>
      <c r="I26" s="157"/>
    </row>
    <row r="27" spans="4:9" ht="18.75">
      <c r="D27" s="157" t="s">
        <v>1598</v>
      </c>
      <c r="E27" s="157"/>
      <c r="F27" s="157"/>
      <c r="G27" s="157"/>
      <c r="H27" s="157"/>
      <c r="I27" s="157"/>
    </row>
    <row r="28" spans="4:9" ht="18.75">
      <c r="D28" s="157" t="s">
        <v>1599</v>
      </c>
      <c r="E28" s="157" t="s">
        <v>1600</v>
      </c>
      <c r="F28" s="157"/>
      <c r="G28" s="157"/>
      <c r="H28" s="157"/>
      <c r="I28" s="157"/>
    </row>
    <row r="29" spans="4:9" ht="18.75">
      <c r="D29" s="157" t="s">
        <v>1601</v>
      </c>
      <c r="E29" s="157"/>
      <c r="F29" s="157"/>
      <c r="G29" s="157"/>
      <c r="H29" s="157"/>
      <c r="I29" s="157"/>
    </row>
    <row r="30" spans="4:9" ht="18.75">
      <c r="D30" s="157" t="s">
        <v>1602</v>
      </c>
      <c r="E30" s="157" t="s">
        <v>1603</v>
      </c>
      <c r="F30" s="157"/>
      <c r="G30" s="157"/>
      <c r="H30" s="157"/>
      <c r="I30" s="157"/>
    </row>
    <row r="31" spans="4:9" ht="18.75">
      <c r="D31" s="157" t="s">
        <v>1604</v>
      </c>
      <c r="E31" s="157"/>
      <c r="F31" s="157"/>
      <c r="G31" s="157"/>
      <c r="H31" s="157"/>
      <c r="I31" s="157"/>
    </row>
    <row r="32" spans="4:9" ht="18.75">
      <c r="D32" s="157" t="s">
        <v>1605</v>
      </c>
      <c r="E32" s="157"/>
      <c r="F32" s="157"/>
      <c r="G32" s="157"/>
      <c r="H32" s="157"/>
      <c r="I32" s="157"/>
    </row>
    <row r="33" spans="4:9" ht="18.75">
      <c r="D33" s="157" t="s">
        <v>1606</v>
      </c>
      <c r="E33" s="157" t="s">
        <v>1607</v>
      </c>
      <c r="F33" s="157"/>
      <c r="G33" s="157"/>
      <c r="H33" s="157"/>
      <c r="I33" s="157"/>
    </row>
    <row r="34" spans="4:9" ht="18.75">
      <c r="D34" s="157" t="s">
        <v>1608</v>
      </c>
      <c r="E34" s="157" t="s">
        <v>1609</v>
      </c>
      <c r="F34" s="157"/>
      <c r="G34" s="157"/>
      <c r="H34" s="157"/>
      <c r="I34" s="157"/>
    </row>
    <row r="35" spans="4:9" ht="18.75">
      <c r="D35" s="157" t="s">
        <v>1610</v>
      </c>
      <c r="E35" s="157"/>
      <c r="F35" s="157"/>
      <c r="G35" s="157"/>
      <c r="H35" s="157"/>
      <c r="I35" s="157"/>
    </row>
    <row r="36" spans="4:9" ht="18.75">
      <c r="D36" s="157" t="s">
        <v>795</v>
      </c>
      <c r="E36" s="157"/>
      <c r="F36" s="157"/>
      <c r="G36" s="157"/>
      <c r="H36" s="157"/>
      <c r="I36" s="157"/>
    </row>
    <row r="37" spans="4:9" ht="18.75">
      <c r="D37" s="157" t="s">
        <v>1611</v>
      </c>
      <c r="E37" s="157"/>
      <c r="F37" s="157"/>
      <c r="G37" s="157"/>
      <c r="H37" s="157"/>
      <c r="I37" s="157"/>
    </row>
    <row r="38" spans="4:9" ht="18.75">
      <c r="D38" s="157" t="s">
        <v>1612</v>
      </c>
      <c r="E38" s="157"/>
      <c r="F38" s="157"/>
      <c r="G38" s="157"/>
      <c r="H38" s="157"/>
      <c r="I38" s="157"/>
    </row>
    <row r="39" spans="4:9" ht="18.75">
      <c r="D39" s="157" t="s">
        <v>99</v>
      </c>
      <c r="E39" s="157" t="s">
        <v>1613</v>
      </c>
      <c r="F39" s="157"/>
      <c r="G39" s="157"/>
      <c r="H39" s="157"/>
      <c r="I39" s="157"/>
    </row>
    <row r="40" spans="4:9" ht="18.75">
      <c r="D40" s="157" t="s">
        <v>1037</v>
      </c>
      <c r="E40" s="157" t="s">
        <v>1614</v>
      </c>
      <c r="F40" s="157"/>
      <c r="G40" s="157"/>
      <c r="H40" s="157"/>
      <c r="I40" s="157"/>
    </row>
    <row r="41" spans="4:9" ht="18.75">
      <c r="D41" s="157" t="s">
        <v>1615</v>
      </c>
      <c r="E41" s="157" t="s">
        <v>1616</v>
      </c>
      <c r="F41" s="157"/>
      <c r="G41" s="157"/>
      <c r="H41" s="157"/>
      <c r="I41" s="157"/>
    </row>
    <row r="42" spans="4:9" ht="18.75">
      <c r="D42" s="157" t="s">
        <v>1617</v>
      </c>
      <c r="E42" s="157" t="s">
        <v>1618</v>
      </c>
      <c r="F42" s="157"/>
      <c r="G42" s="157"/>
      <c r="H42" s="157"/>
      <c r="I42" s="157"/>
    </row>
    <row r="43" spans="4:9" ht="18.75">
      <c r="D43" s="157" t="s">
        <v>1619</v>
      </c>
      <c r="E43" s="157"/>
      <c r="F43" s="157"/>
      <c r="G43" s="157"/>
      <c r="H43" s="157"/>
      <c r="I43" s="157"/>
    </row>
    <row r="44" spans="4:9" ht="18.75">
      <c r="D44" s="157" t="s">
        <v>1620</v>
      </c>
      <c r="E44" s="157"/>
      <c r="F44" s="157"/>
      <c r="G44" s="157"/>
      <c r="H44" s="157"/>
      <c r="I44" s="157"/>
    </row>
    <row r="45" spans="4:9" ht="18.75">
      <c r="D45" s="157" t="s">
        <v>1621</v>
      </c>
      <c r="E45" s="157"/>
      <c r="F45" s="157"/>
      <c r="G45" s="157"/>
      <c r="H45" s="157"/>
      <c r="I45" s="157"/>
    </row>
    <row r="46" spans="4:9" ht="18.75">
      <c r="D46" s="157" t="s">
        <v>1622</v>
      </c>
      <c r="E46" s="157" t="s">
        <v>1623</v>
      </c>
      <c r="F46" s="157" t="s">
        <v>1624</v>
      </c>
      <c r="G46" s="157" t="s">
        <v>1625</v>
      </c>
      <c r="H46" s="157" t="s">
        <v>1626</v>
      </c>
      <c r="I46" s="157" t="s">
        <v>1627</v>
      </c>
    </row>
    <row r="47" spans="4:9" ht="18.75">
      <c r="D47" s="157" t="s">
        <v>1628</v>
      </c>
      <c r="E47" s="157" t="s">
        <v>1629</v>
      </c>
      <c r="F47" s="157"/>
      <c r="G47" s="157"/>
      <c r="H47" s="157"/>
      <c r="I47" s="157"/>
    </row>
    <row r="48" spans="4:9" ht="18.75">
      <c r="D48" s="157" t="s">
        <v>1630</v>
      </c>
      <c r="E48" s="157" t="s">
        <v>1631</v>
      </c>
      <c r="F48" s="157"/>
      <c r="G48" s="157"/>
      <c r="H48" s="157"/>
      <c r="I48" s="157"/>
    </row>
    <row r="49" spans="4:9" ht="18.75">
      <c r="D49" s="157" t="s">
        <v>1632</v>
      </c>
      <c r="E49" s="157" t="s">
        <v>1633</v>
      </c>
      <c r="F49" s="157"/>
      <c r="G49" s="157"/>
      <c r="H49" s="157"/>
      <c r="I49" s="157"/>
    </row>
    <row r="50" spans="4:9" ht="18.75">
      <c r="D50" s="157" t="s">
        <v>1634</v>
      </c>
      <c r="E50" s="157"/>
      <c r="F50" s="157"/>
      <c r="G50" s="157"/>
      <c r="H50" s="157"/>
      <c r="I50" s="157"/>
    </row>
    <row r="51" spans="4:9" ht="18.75">
      <c r="D51" s="157" t="s">
        <v>1635</v>
      </c>
      <c r="E51" s="157"/>
      <c r="F51" s="157"/>
      <c r="G51" s="157"/>
      <c r="H51" s="157"/>
      <c r="I51" s="157"/>
    </row>
    <row r="52" spans="4:9" ht="18.75">
      <c r="D52" s="157" t="s">
        <v>1636</v>
      </c>
      <c r="E52" s="157"/>
      <c r="F52" s="157"/>
      <c r="G52" s="157"/>
      <c r="H52" s="157"/>
      <c r="I52" s="157"/>
    </row>
    <row r="53" spans="4:9" ht="18.75">
      <c r="D53" s="157" t="s">
        <v>1637</v>
      </c>
      <c r="E53" s="157"/>
      <c r="F53" s="157"/>
      <c r="G53" s="157"/>
      <c r="H53" s="157"/>
      <c r="I53" s="157"/>
    </row>
    <row r="54" spans="4:9" ht="18.75">
      <c r="D54" s="157" t="s">
        <v>189</v>
      </c>
      <c r="E54" s="157"/>
      <c r="F54" s="157"/>
      <c r="G54" s="157"/>
      <c r="H54" s="157"/>
      <c r="I54" s="157"/>
    </row>
    <row r="55" spans="4:9" ht="18.75">
      <c r="D55" s="157" t="s">
        <v>1638</v>
      </c>
      <c r="E55" s="157"/>
      <c r="F55" s="157"/>
      <c r="G55" s="157"/>
      <c r="H55" s="157"/>
      <c r="I55" s="157"/>
    </row>
    <row r="56" spans="4:9" ht="18.75">
      <c r="D56" s="157" t="s">
        <v>1639</v>
      </c>
      <c r="E56" s="157"/>
      <c r="F56" s="157"/>
      <c r="G56" s="157"/>
      <c r="H56" s="157"/>
      <c r="I56" s="157"/>
    </row>
    <row r="57" spans="4:9" ht="18.75">
      <c r="D57" s="157" t="s">
        <v>246</v>
      </c>
      <c r="E57" s="157"/>
      <c r="F57" s="157"/>
      <c r="G57" s="157"/>
      <c r="H57" s="157"/>
      <c r="I57" s="157"/>
    </row>
    <row r="58" spans="4:9" ht="18.75">
      <c r="D58" s="157" t="s">
        <v>1640</v>
      </c>
      <c r="E58" s="157" t="s">
        <v>1641</v>
      </c>
      <c r="F58" s="157"/>
      <c r="G58" s="157"/>
      <c r="H58" s="157"/>
      <c r="I58" s="157"/>
    </row>
    <row r="59" spans="4:9" ht="18.75">
      <c r="D59" s="157" t="s">
        <v>1642</v>
      </c>
      <c r="E59" s="157"/>
      <c r="F59" s="157"/>
      <c r="G59" s="157"/>
      <c r="H59" s="157"/>
      <c r="I59" s="157"/>
    </row>
    <row r="60" spans="4:9" ht="18.75">
      <c r="D60" s="157" t="s">
        <v>1643</v>
      </c>
      <c r="E60" s="157"/>
      <c r="F60" s="157"/>
      <c r="G60" s="157"/>
      <c r="H60" s="157"/>
      <c r="I60" s="157"/>
    </row>
    <row r="61" spans="4:9" ht="18.75">
      <c r="D61" s="157" t="s">
        <v>1644</v>
      </c>
      <c r="E61" s="157"/>
      <c r="F61" s="157"/>
      <c r="G61" s="157"/>
      <c r="H61" s="157"/>
      <c r="I61" s="157"/>
    </row>
    <row r="62" spans="4:9" ht="18.75">
      <c r="D62" s="157" t="s">
        <v>1645</v>
      </c>
      <c r="E62" s="157"/>
      <c r="F62" s="157"/>
      <c r="G62" s="157"/>
      <c r="H62" s="157"/>
      <c r="I62" s="157"/>
    </row>
    <row r="63" spans="4:9" ht="18.75">
      <c r="D63" s="157" t="s">
        <v>710</v>
      </c>
      <c r="E63" s="157"/>
      <c r="F63" s="157"/>
      <c r="G63" s="157"/>
      <c r="H63" s="157"/>
      <c r="I63" s="157"/>
    </row>
    <row r="64" spans="4:9" ht="18.75">
      <c r="D64" s="157" t="s">
        <v>1646</v>
      </c>
      <c r="E64" s="157" t="s">
        <v>1647</v>
      </c>
      <c r="F64" s="157"/>
      <c r="G64" s="157"/>
      <c r="H64" s="157"/>
      <c r="I64" s="157"/>
    </row>
    <row r="65" spans="4:9" ht="18.75">
      <c r="D65" s="157" t="s">
        <v>1648</v>
      </c>
      <c r="E65" s="157" t="s">
        <v>1649</v>
      </c>
      <c r="F65" s="157"/>
      <c r="G65" s="157"/>
      <c r="H65" s="157"/>
      <c r="I65" s="157"/>
    </row>
    <row r="66" spans="4:9" ht="18.75">
      <c r="D66" s="157" t="s">
        <v>1650</v>
      </c>
      <c r="E66" s="157"/>
      <c r="F66" s="157"/>
      <c r="G66" s="157"/>
      <c r="H66" s="157"/>
      <c r="I66" s="157"/>
    </row>
    <row r="67" spans="4:9" ht="18.75">
      <c r="D67" s="157" t="s">
        <v>1651</v>
      </c>
      <c r="E67" s="157"/>
      <c r="F67" s="157"/>
      <c r="G67" s="157"/>
      <c r="H67" s="157"/>
      <c r="I67" s="157"/>
    </row>
    <row r="68" spans="4:9" ht="18.75">
      <c r="D68" s="157" t="s">
        <v>1652</v>
      </c>
      <c r="E68" s="157"/>
      <c r="F68" s="157"/>
      <c r="G68" s="157"/>
      <c r="H68" s="157"/>
      <c r="I68" s="157"/>
    </row>
    <row r="69" spans="4:9" ht="18.75">
      <c r="D69" s="157" t="s">
        <v>1653</v>
      </c>
      <c r="E69" s="157"/>
      <c r="F69" s="157"/>
      <c r="G69" s="157"/>
      <c r="H69" s="157"/>
      <c r="I69" s="157"/>
    </row>
    <row r="70" spans="4:9" ht="18.75">
      <c r="D70" s="157" t="s">
        <v>1654</v>
      </c>
      <c r="E70" s="157"/>
      <c r="F70" s="157"/>
      <c r="G70" s="157"/>
      <c r="H70" s="157"/>
      <c r="I70" s="157"/>
    </row>
    <row r="71" spans="4:9" ht="18.75">
      <c r="D71" s="157" t="s">
        <v>1655</v>
      </c>
      <c r="E71" s="157"/>
      <c r="F71" s="157"/>
      <c r="G71" s="157"/>
      <c r="H71" s="157"/>
      <c r="I71" s="157"/>
    </row>
    <row r="72" spans="4:9" ht="18.75">
      <c r="D72" s="157" t="s">
        <v>1656</v>
      </c>
      <c r="E72" s="157"/>
      <c r="F72" s="157"/>
      <c r="G72" s="157"/>
      <c r="H72" s="157"/>
      <c r="I72" s="157"/>
    </row>
    <row r="73" spans="4:9" ht="18.75">
      <c r="D73" s="157" t="s">
        <v>1657</v>
      </c>
      <c r="E73" s="157"/>
      <c r="F73" s="157"/>
      <c r="G73" s="157"/>
      <c r="H73" s="157"/>
      <c r="I73" s="157"/>
    </row>
    <row r="74" spans="4:9" ht="18.75">
      <c r="D74" s="157" t="s">
        <v>1658</v>
      </c>
      <c r="E74" s="157" t="s">
        <v>1659</v>
      </c>
      <c r="F74" s="157"/>
      <c r="G74" s="157"/>
      <c r="H74" s="157"/>
      <c r="I74" s="157"/>
    </row>
    <row r="75" spans="4:9" ht="18.75">
      <c r="D75" s="157" t="s">
        <v>1660</v>
      </c>
      <c r="E75" s="157" t="s">
        <v>1661</v>
      </c>
      <c r="F75" s="157"/>
      <c r="G75" s="157"/>
      <c r="H75" s="157"/>
      <c r="I75" s="157"/>
    </row>
    <row r="76" spans="4:9" ht="18.75">
      <c r="D76" s="157" t="s">
        <v>1662</v>
      </c>
      <c r="E76" s="179" t="s">
        <v>1663</v>
      </c>
      <c r="F76" s="180"/>
      <c r="G76" s="157"/>
      <c r="H76" s="157"/>
      <c r="I76" s="157"/>
    </row>
    <row r="77" spans="4:9" ht="18.75">
      <c r="D77" s="157" t="s">
        <v>1664</v>
      </c>
      <c r="E77" s="157" t="s">
        <v>1665</v>
      </c>
      <c r="F77" s="157"/>
      <c r="G77" s="157"/>
      <c r="H77" s="157"/>
      <c r="I77" s="157"/>
    </row>
    <row r="78" spans="4:9" ht="18.75">
      <c r="D78" s="157" t="s">
        <v>1666</v>
      </c>
      <c r="E78" s="157" t="s">
        <v>1667</v>
      </c>
      <c r="F78" s="157"/>
      <c r="G78" s="157"/>
      <c r="H78" s="157"/>
      <c r="I78" s="157"/>
    </row>
    <row r="79" spans="4:9" ht="18.75">
      <c r="D79" s="157" t="s">
        <v>1668</v>
      </c>
      <c r="E79" s="157"/>
      <c r="F79" s="157"/>
      <c r="G79" s="157"/>
      <c r="H79" s="157"/>
      <c r="I79" s="157"/>
    </row>
    <row r="80" spans="4:9" ht="18.75">
      <c r="D80" s="157" t="s">
        <v>1669</v>
      </c>
      <c r="E80" s="157"/>
      <c r="F80" s="157"/>
      <c r="G80" s="157"/>
      <c r="H80" s="157"/>
      <c r="I80" s="157"/>
    </row>
    <row r="81" spans="4:9" ht="18.75">
      <c r="D81" s="157" t="s">
        <v>1670</v>
      </c>
      <c r="E81" s="157"/>
      <c r="F81" s="157"/>
      <c r="G81" s="157"/>
      <c r="H81" s="157"/>
      <c r="I81" s="157"/>
    </row>
    <row r="82" spans="4:9" ht="18.75">
      <c r="D82" s="157" t="s">
        <v>1671</v>
      </c>
      <c r="E82" s="157"/>
      <c r="F82" s="157"/>
      <c r="G82" s="157"/>
      <c r="H82" s="157"/>
      <c r="I82" s="157"/>
    </row>
    <row r="83" spans="4:9" ht="18.75">
      <c r="D83" s="157" t="s">
        <v>1672</v>
      </c>
      <c r="E83" s="157" t="s">
        <v>1673</v>
      </c>
      <c r="F83" s="157"/>
      <c r="G83" s="157"/>
      <c r="H83" s="157"/>
      <c r="I83" s="157"/>
    </row>
    <row r="84" spans="4:9" ht="18.75">
      <c r="D84" s="157" t="s">
        <v>1674</v>
      </c>
      <c r="E84" s="157" t="s">
        <v>1675</v>
      </c>
      <c r="F84" s="157"/>
      <c r="G84" s="157"/>
      <c r="H84" s="157"/>
      <c r="I84" s="157"/>
    </row>
    <row r="85" spans="4:9" ht="18.75">
      <c r="D85" s="157" t="s">
        <v>1676</v>
      </c>
      <c r="E85" s="157"/>
      <c r="F85" s="157"/>
      <c r="G85" s="157"/>
      <c r="H85" s="157"/>
      <c r="I85" s="157"/>
    </row>
    <row r="86" spans="4:9" ht="18.75">
      <c r="D86" s="157" t="s">
        <v>1677</v>
      </c>
      <c r="E86" s="157" t="s">
        <v>1678</v>
      </c>
      <c r="F86" s="157"/>
      <c r="G86" s="157"/>
      <c r="H86" s="157"/>
      <c r="I86" s="157"/>
    </row>
    <row r="87" spans="4:9" ht="18.75">
      <c r="D87" s="157" t="s">
        <v>1679</v>
      </c>
      <c r="E87" s="157" t="s">
        <v>1680</v>
      </c>
      <c r="F87" s="157"/>
      <c r="G87" s="157"/>
      <c r="H87" s="157"/>
      <c r="I87" s="157"/>
    </row>
    <row r="88" spans="4:9" ht="18.75">
      <c r="D88" s="157" t="s">
        <v>1681</v>
      </c>
      <c r="E88" s="157" t="s">
        <v>1682</v>
      </c>
      <c r="F88" s="157" t="s">
        <v>1683</v>
      </c>
      <c r="G88" s="157" t="s">
        <v>1684</v>
      </c>
      <c r="H88" s="179" t="s">
        <v>1685</v>
      </c>
      <c r="I88" s="180"/>
    </row>
    <row r="89" spans="4:9" ht="18.75">
      <c r="D89" s="157" t="s">
        <v>1686</v>
      </c>
      <c r="E89" s="157"/>
      <c r="F89" s="157"/>
      <c r="G89" s="157"/>
      <c r="H89" s="157"/>
      <c r="I89" s="157"/>
    </row>
    <row r="90" spans="4:9" ht="18.75">
      <c r="D90" s="157" t="s">
        <v>1687</v>
      </c>
      <c r="E90" s="157"/>
      <c r="F90" s="157"/>
      <c r="G90" s="157"/>
      <c r="H90" s="157"/>
      <c r="I90" s="157"/>
    </row>
    <row r="91" spans="4:9" ht="18.75">
      <c r="D91" s="157" t="s">
        <v>1688</v>
      </c>
      <c r="E91" s="157"/>
      <c r="F91" s="157"/>
      <c r="G91" s="157"/>
      <c r="H91" s="157"/>
      <c r="I91" s="157"/>
    </row>
    <row r="92" spans="4:9" ht="18.75">
      <c r="D92" s="157" t="s">
        <v>1689</v>
      </c>
      <c r="E92" s="157" t="s">
        <v>1690</v>
      </c>
      <c r="F92" s="157"/>
      <c r="G92" s="157"/>
      <c r="H92" s="157"/>
      <c r="I92" s="157"/>
    </row>
    <row r="93" spans="4:9" ht="18.75">
      <c r="D93" s="157" t="s">
        <v>1691</v>
      </c>
      <c r="E93" s="157" t="s">
        <v>1692</v>
      </c>
      <c r="F93" s="157"/>
      <c r="G93" s="157"/>
      <c r="H93" s="157"/>
      <c r="I93" s="157"/>
    </row>
    <row r="94" spans="4:9" ht="18.75">
      <c r="D94" s="157" t="s">
        <v>1693</v>
      </c>
      <c r="E94" s="157" t="s">
        <v>1694</v>
      </c>
      <c r="F94" s="157"/>
      <c r="G94" s="157"/>
      <c r="H94" s="157"/>
      <c r="I94" s="157"/>
    </row>
    <row r="95" spans="4:9" ht="18.75">
      <c r="D95" s="157" t="s">
        <v>1695</v>
      </c>
      <c r="E95" s="157" t="s">
        <v>1696</v>
      </c>
      <c r="F95" s="157" t="s">
        <v>1697</v>
      </c>
      <c r="G95" s="157" t="s">
        <v>1698</v>
      </c>
      <c r="H95" s="157" t="s">
        <v>1699</v>
      </c>
      <c r="I95" s="157"/>
    </row>
    <row r="96" spans="4:9" ht="18.75">
      <c r="D96" s="157" t="s">
        <v>1700</v>
      </c>
      <c r="E96" s="157"/>
      <c r="F96" s="157"/>
      <c r="G96" s="157"/>
      <c r="H96" s="157"/>
      <c r="I96" s="157"/>
    </row>
    <row r="97" spans="4:9" ht="18.75">
      <c r="D97" s="157" t="s">
        <v>1701</v>
      </c>
      <c r="E97" s="157"/>
      <c r="F97" s="157"/>
      <c r="G97" s="157"/>
      <c r="H97" s="157"/>
      <c r="I97" s="157"/>
    </row>
    <row r="98" spans="4:9" ht="18.75">
      <c r="D98" s="157" t="s">
        <v>1702</v>
      </c>
      <c r="E98" s="157" t="s">
        <v>1703</v>
      </c>
      <c r="F98" s="157"/>
      <c r="G98" s="157"/>
      <c r="H98" s="157"/>
      <c r="I98" s="157"/>
    </row>
    <row r="99" spans="4:9" ht="18.75">
      <c r="D99" s="157" t="s">
        <v>1704</v>
      </c>
      <c r="E99" s="157"/>
      <c r="F99" s="157"/>
      <c r="G99" s="157"/>
      <c r="H99" s="157"/>
      <c r="I99" s="157"/>
    </row>
    <row r="100" spans="4:9" ht="18.75">
      <c r="D100" s="157" t="s">
        <v>1705</v>
      </c>
      <c r="E100" s="157"/>
      <c r="F100" s="157"/>
      <c r="G100" s="157"/>
      <c r="H100" s="157"/>
      <c r="I100" s="157"/>
    </row>
    <row r="101" spans="4:9" ht="18.75">
      <c r="D101" s="157" t="s">
        <v>1706</v>
      </c>
      <c r="E101" s="157"/>
      <c r="F101" s="157"/>
      <c r="G101" s="157"/>
      <c r="H101" s="157"/>
      <c r="I101" s="157"/>
    </row>
    <row r="102" spans="4:9" ht="18.75">
      <c r="D102" s="157" t="s">
        <v>1707</v>
      </c>
      <c r="E102" s="157"/>
      <c r="F102" s="157"/>
      <c r="G102" s="157"/>
      <c r="H102" s="157"/>
      <c r="I102" s="157"/>
    </row>
    <row r="103" spans="4:9" ht="18.75">
      <c r="D103" s="157" t="s">
        <v>1708</v>
      </c>
      <c r="E103" s="157" t="s">
        <v>1709</v>
      </c>
      <c r="F103" s="157" t="s">
        <v>1710</v>
      </c>
      <c r="G103" s="157" t="s">
        <v>1711</v>
      </c>
      <c r="H103" s="157"/>
      <c r="I103" s="157"/>
    </row>
    <row r="104" spans="4:9" ht="18.75">
      <c r="D104" s="157" t="s">
        <v>1712</v>
      </c>
      <c r="E104" s="157" t="s">
        <v>1713</v>
      </c>
      <c r="F104" s="157"/>
      <c r="G104" s="157"/>
      <c r="H104" s="157"/>
      <c r="I104" s="157"/>
    </row>
    <row r="105" spans="4:9" ht="18.75">
      <c r="D105" s="157" t="s">
        <v>83</v>
      </c>
      <c r="E105" s="157"/>
      <c r="F105" s="157"/>
      <c r="G105" s="157"/>
      <c r="H105" s="157"/>
      <c r="I105" s="157"/>
    </row>
    <row r="106" spans="4:9" ht="18.75">
      <c r="D106" s="157" t="s">
        <v>1714</v>
      </c>
      <c r="E106" s="157"/>
      <c r="F106" s="157"/>
      <c r="G106" s="157"/>
      <c r="H106" s="157"/>
      <c r="I106" s="157"/>
    </row>
    <row r="107" spans="4:9" ht="18.75">
      <c r="D107" s="157" t="s">
        <v>1715</v>
      </c>
      <c r="E107" s="157"/>
      <c r="F107" s="157"/>
      <c r="G107" s="157"/>
      <c r="H107" s="157"/>
      <c r="I107" s="157"/>
    </row>
    <row r="108" spans="4:9" ht="18.75">
      <c r="D108" s="157" t="s">
        <v>1716</v>
      </c>
      <c r="E108" s="157"/>
      <c r="F108" s="157"/>
      <c r="G108" s="157"/>
      <c r="H108" s="157"/>
      <c r="I108" s="157"/>
    </row>
    <row r="109" spans="4:9" ht="18.75">
      <c r="D109" s="157" t="s">
        <v>1717</v>
      </c>
      <c r="E109" s="157"/>
      <c r="F109" s="157"/>
      <c r="G109" s="157"/>
      <c r="H109" s="157"/>
      <c r="I109" s="157"/>
    </row>
    <row r="110" spans="4:9" ht="18.75">
      <c r="D110" s="157" t="s">
        <v>1718</v>
      </c>
      <c r="E110" s="157" t="s">
        <v>1719</v>
      </c>
      <c r="F110" s="157" t="s">
        <v>1720</v>
      </c>
      <c r="G110" s="157" t="s">
        <v>1721</v>
      </c>
      <c r="H110" s="157"/>
      <c r="I110" s="157"/>
    </row>
    <row r="111" spans="4:9" ht="18.75">
      <c r="D111" s="157" t="s">
        <v>1722</v>
      </c>
      <c r="E111" s="157" t="s">
        <v>1723</v>
      </c>
      <c r="F111" s="157" t="s">
        <v>1724</v>
      </c>
      <c r="G111" s="157" t="s">
        <v>1725</v>
      </c>
      <c r="H111" s="157"/>
      <c r="I111" s="157"/>
    </row>
    <row r="112" spans="4:9" ht="18.75">
      <c r="D112" s="157" t="s">
        <v>1726</v>
      </c>
      <c r="E112" s="157" t="s">
        <v>1664</v>
      </c>
      <c r="F112" s="157" t="s">
        <v>1665</v>
      </c>
      <c r="G112" s="157"/>
      <c r="H112" s="157"/>
      <c r="I112" s="157"/>
    </row>
    <row r="113" spans="4:9" ht="18.75">
      <c r="D113" s="157" t="s">
        <v>1727</v>
      </c>
      <c r="E113" s="157"/>
      <c r="F113" s="157"/>
      <c r="G113" s="157"/>
      <c r="H113" s="157"/>
      <c r="I113" s="157"/>
    </row>
    <row r="114" spans="4:9" ht="18.75">
      <c r="D114" s="157" t="s">
        <v>1728</v>
      </c>
      <c r="E114" s="157" t="s">
        <v>1729</v>
      </c>
      <c r="F114" s="157"/>
      <c r="G114" s="157"/>
      <c r="H114" s="157"/>
      <c r="I114" s="157"/>
    </row>
    <row r="115" spans="4:9" ht="18.75">
      <c r="D115" s="157" t="s">
        <v>1730</v>
      </c>
      <c r="E115" s="157"/>
      <c r="F115" s="157"/>
      <c r="G115" s="157"/>
      <c r="H115" s="157"/>
      <c r="I115" s="157"/>
    </row>
    <row r="116" spans="4:9" ht="18.75">
      <c r="D116" s="179" t="s">
        <v>1731</v>
      </c>
      <c r="E116" s="180"/>
      <c r="F116" s="157"/>
      <c r="G116" s="157"/>
      <c r="H116" s="157"/>
      <c r="I116" s="157"/>
    </row>
    <row r="117" spans="4:9" ht="18.75">
      <c r="D117" s="157" t="s">
        <v>1732</v>
      </c>
      <c r="E117" s="157"/>
      <c r="F117" s="157"/>
      <c r="G117" s="157"/>
      <c r="H117" s="157"/>
      <c r="I117" s="157"/>
    </row>
    <row r="118" spans="4:9" ht="18.75">
      <c r="D118" s="157" t="s">
        <v>1733</v>
      </c>
      <c r="E118" s="157" t="s">
        <v>1734</v>
      </c>
      <c r="F118" s="157"/>
      <c r="G118" s="157"/>
      <c r="H118" s="157"/>
      <c r="I118" s="157"/>
    </row>
    <row r="119" spans="4:9" ht="18.75">
      <c r="D119" s="157" t="s">
        <v>1735</v>
      </c>
      <c r="E119" s="157" t="s">
        <v>1736</v>
      </c>
      <c r="F119" s="157"/>
      <c r="G119" s="157"/>
      <c r="H119" s="157"/>
      <c r="I119" s="157"/>
    </row>
    <row r="120" spans="4:9" ht="18.75">
      <c r="D120" s="157" t="s">
        <v>477</v>
      </c>
      <c r="E120" s="157" t="s">
        <v>450</v>
      </c>
      <c r="F120" s="157"/>
      <c r="G120" s="157"/>
      <c r="H120" s="157"/>
      <c r="I120" s="157"/>
    </row>
    <row r="121" spans="4:9" ht="18.75">
      <c r="D121" s="157" t="s">
        <v>44</v>
      </c>
      <c r="E121" s="157" t="s">
        <v>1737</v>
      </c>
      <c r="F121" s="157"/>
      <c r="G121" s="157"/>
      <c r="H121" s="157"/>
      <c r="I121" s="157"/>
    </row>
    <row r="122" spans="4:9" ht="18.75">
      <c r="D122" s="157" t="s">
        <v>1738</v>
      </c>
      <c r="E122" s="157"/>
      <c r="F122" s="157"/>
      <c r="G122" s="157"/>
      <c r="H122" s="157"/>
      <c r="I122" s="157"/>
    </row>
    <row r="123" spans="4:9" ht="18.75">
      <c r="D123" s="157" t="s">
        <v>1739</v>
      </c>
      <c r="E123" s="157" t="s">
        <v>1740</v>
      </c>
      <c r="F123" s="157"/>
      <c r="G123" s="157"/>
      <c r="H123" s="157"/>
      <c r="I123" s="157"/>
    </row>
    <row r="124" spans="4:9" ht="18.75">
      <c r="D124" s="157" t="s">
        <v>1741</v>
      </c>
      <c r="E124" s="157"/>
      <c r="F124" s="157"/>
      <c r="G124" s="157"/>
      <c r="H124" s="157"/>
      <c r="I124" s="157"/>
    </row>
    <row r="125" spans="4:9" ht="18.75">
      <c r="D125" s="157" t="s">
        <v>1742</v>
      </c>
      <c r="E125" s="157"/>
      <c r="F125" s="157"/>
      <c r="G125" s="157"/>
      <c r="H125" s="157"/>
      <c r="I125" s="157"/>
    </row>
    <row r="126" spans="4:9" ht="18.75">
      <c r="D126" s="157" t="s">
        <v>653</v>
      </c>
      <c r="E126" s="157" t="s">
        <v>37</v>
      </c>
      <c r="F126" s="157"/>
      <c r="G126" s="157"/>
      <c r="H126" s="157"/>
      <c r="I126" s="157"/>
    </row>
    <row r="127" spans="4:9" ht="18.75">
      <c r="D127" s="157" t="s">
        <v>1743</v>
      </c>
      <c r="E127" s="157" t="s">
        <v>1744</v>
      </c>
      <c r="F127" s="157"/>
      <c r="G127" s="157"/>
      <c r="H127" s="157"/>
      <c r="I127" s="157"/>
    </row>
    <row r="128" spans="4:9" ht="18.75">
      <c r="D128" s="157" t="s">
        <v>454</v>
      </c>
      <c r="E128" s="157"/>
      <c r="F128" s="157"/>
      <c r="G128" s="157"/>
      <c r="H128" s="157"/>
      <c r="I128" s="157"/>
    </row>
    <row r="129" spans="4:9" ht="18.75">
      <c r="D129" s="157" t="s">
        <v>1745</v>
      </c>
      <c r="E129" s="157"/>
      <c r="F129" s="157"/>
      <c r="G129" s="157"/>
      <c r="H129" s="157"/>
      <c r="I129" s="157"/>
    </row>
    <row r="130" spans="4:9" ht="18.75">
      <c r="D130" s="157" t="s">
        <v>1746</v>
      </c>
      <c r="E130" s="157"/>
      <c r="F130" s="157"/>
      <c r="G130" s="157"/>
      <c r="H130" s="157"/>
      <c r="I130" s="157"/>
    </row>
    <row r="131" spans="4:9" ht="18.75">
      <c r="D131" s="157" t="s">
        <v>1747</v>
      </c>
      <c r="E131" s="157"/>
      <c r="F131" s="157"/>
      <c r="G131" s="157"/>
      <c r="H131" s="157"/>
      <c r="I131" s="157"/>
    </row>
    <row r="132" spans="4:9" ht="18.75">
      <c r="D132" s="157" t="s">
        <v>1748</v>
      </c>
      <c r="E132" s="157"/>
      <c r="F132" s="157"/>
      <c r="G132" s="157"/>
      <c r="H132" s="157"/>
      <c r="I132" s="157"/>
    </row>
    <row r="133" spans="4:9" ht="18.75">
      <c r="D133" s="157" t="s">
        <v>1749</v>
      </c>
      <c r="E133" s="157"/>
      <c r="F133" s="157"/>
      <c r="G133" s="157"/>
      <c r="H133" s="157"/>
      <c r="I133" s="157"/>
    </row>
    <row r="134" spans="4:9" ht="18.75">
      <c r="D134" s="157" t="s">
        <v>1750</v>
      </c>
      <c r="E134" s="157"/>
      <c r="F134" s="157"/>
      <c r="G134" s="157"/>
      <c r="H134" s="157"/>
      <c r="I134" s="157"/>
    </row>
    <row r="135" spans="4:9" ht="18.75">
      <c r="D135" s="157" t="s">
        <v>1751</v>
      </c>
      <c r="E135" s="157"/>
      <c r="F135" s="157"/>
      <c r="G135" s="157"/>
      <c r="H135" s="157"/>
      <c r="I135" s="157"/>
    </row>
    <row r="136" spans="4:9" ht="18.75">
      <c r="D136" s="157" t="s">
        <v>1752</v>
      </c>
      <c r="E136" s="157" t="s">
        <v>1753</v>
      </c>
      <c r="F136" s="157"/>
      <c r="G136" s="157"/>
      <c r="H136" s="157"/>
      <c r="I136" s="157"/>
    </row>
    <row r="137" spans="4:9" ht="18.75">
      <c r="D137" s="157" t="s">
        <v>1754</v>
      </c>
      <c r="E137" s="157"/>
      <c r="F137" s="157"/>
      <c r="G137" s="157"/>
      <c r="H137" s="157"/>
      <c r="I137" s="157"/>
    </row>
    <row r="138" spans="4:9" ht="18.75">
      <c r="D138" s="157" t="s">
        <v>1755</v>
      </c>
      <c r="E138" s="157" t="s">
        <v>1756</v>
      </c>
      <c r="F138" s="157"/>
      <c r="G138" s="157"/>
      <c r="H138" s="157"/>
      <c r="I138" s="157"/>
    </row>
    <row r="139" spans="4:9" ht="18.75">
      <c r="D139" s="157" t="s">
        <v>1757</v>
      </c>
      <c r="E139" s="157"/>
      <c r="F139" s="157"/>
      <c r="G139" s="157"/>
      <c r="H139" s="157"/>
      <c r="I139" s="157"/>
    </row>
    <row r="140" spans="4:9" ht="18.75">
      <c r="D140" s="157" t="s">
        <v>1758</v>
      </c>
      <c r="E140" s="157" t="s">
        <v>1759</v>
      </c>
      <c r="F140" s="157"/>
      <c r="G140" s="157"/>
      <c r="H140" s="157"/>
      <c r="I140" s="157"/>
    </row>
    <row r="141" spans="4:9" ht="18.75">
      <c r="D141" s="157" t="s">
        <v>1760</v>
      </c>
      <c r="E141" s="157" t="s">
        <v>1761</v>
      </c>
      <c r="F141" s="157" t="s">
        <v>1762</v>
      </c>
      <c r="G141" s="157" t="s">
        <v>1763</v>
      </c>
      <c r="H141" s="157"/>
      <c r="I141" s="157"/>
    </row>
    <row r="142" spans="4:9" ht="18.75">
      <c r="D142" s="157" t="s">
        <v>1764</v>
      </c>
      <c r="E142" s="157"/>
      <c r="F142" s="157"/>
      <c r="G142" s="157"/>
      <c r="H142" s="157"/>
      <c r="I142" s="157"/>
    </row>
    <row r="143" spans="4:9" ht="18.75">
      <c r="D143" s="157" t="s">
        <v>1765</v>
      </c>
      <c r="E143" s="157"/>
      <c r="F143" s="157"/>
      <c r="G143" s="157"/>
      <c r="H143" s="157"/>
      <c r="I143" s="157"/>
    </row>
    <row r="144" spans="4:9" ht="18.75">
      <c r="D144" s="157" t="s">
        <v>1766</v>
      </c>
      <c r="E144" s="157"/>
      <c r="F144" s="157"/>
      <c r="G144" s="157"/>
      <c r="H144" s="157"/>
      <c r="I144" s="157"/>
    </row>
    <row r="145" spans="4:9" ht="18.75">
      <c r="D145" s="157" t="s">
        <v>1767</v>
      </c>
      <c r="E145" s="157"/>
      <c r="F145" s="157"/>
      <c r="G145" s="157"/>
      <c r="H145" s="157"/>
      <c r="I145" s="157"/>
    </row>
    <row r="146" spans="4:9" ht="18.75">
      <c r="D146" s="157" t="s">
        <v>1768</v>
      </c>
      <c r="E146" s="157"/>
      <c r="F146" s="157"/>
      <c r="G146" s="157"/>
      <c r="H146" s="157"/>
      <c r="I146" s="157"/>
    </row>
    <row r="147" spans="4:9" ht="18.75">
      <c r="D147" s="157" t="s">
        <v>1769</v>
      </c>
      <c r="E147" s="157"/>
      <c r="F147" s="157"/>
      <c r="G147" s="157"/>
      <c r="H147" s="157"/>
      <c r="I147" s="157"/>
    </row>
    <row r="148" spans="4:9" ht="18.75">
      <c r="D148" s="157" t="s">
        <v>1770</v>
      </c>
      <c r="E148" s="157"/>
      <c r="F148" s="157"/>
      <c r="G148" s="157"/>
      <c r="H148" s="157"/>
      <c r="I148" s="157"/>
    </row>
    <row r="149" spans="4:9" ht="18.75">
      <c r="D149" s="157" t="s">
        <v>1771</v>
      </c>
      <c r="E149" s="157"/>
      <c r="F149" s="157"/>
      <c r="G149" s="157"/>
      <c r="H149" s="157"/>
      <c r="I149" s="157"/>
    </row>
    <row r="150" spans="4:9" ht="18.75">
      <c r="D150" s="157" t="s">
        <v>1772</v>
      </c>
      <c r="E150" s="157" t="s">
        <v>1773</v>
      </c>
      <c r="F150" s="157"/>
      <c r="G150" s="157"/>
      <c r="H150" s="157"/>
      <c r="I150" s="157"/>
    </row>
    <row r="151" spans="4:9" ht="18.75">
      <c r="D151" s="157" t="s">
        <v>1774</v>
      </c>
      <c r="E151" s="157"/>
      <c r="F151" s="157"/>
      <c r="G151" s="157"/>
      <c r="H151" s="157"/>
      <c r="I151" s="157"/>
    </row>
    <row r="152" spans="4:9" ht="18.75">
      <c r="D152" s="157" t="s">
        <v>1775</v>
      </c>
      <c r="E152" s="157"/>
      <c r="F152" s="157"/>
      <c r="G152" s="157"/>
      <c r="H152" s="157"/>
      <c r="I152" s="157"/>
    </row>
    <row r="153" spans="4:9" ht="18.75">
      <c r="D153" s="157" t="s">
        <v>1776</v>
      </c>
      <c r="E153" s="157"/>
      <c r="F153" s="157"/>
      <c r="G153" s="157"/>
      <c r="H153" s="157"/>
      <c r="I153" s="157"/>
    </row>
    <row r="154" spans="4:9" ht="18.75">
      <c r="D154" s="157" t="s">
        <v>1777</v>
      </c>
      <c r="E154" s="157" t="s">
        <v>1778</v>
      </c>
      <c r="F154" s="157" t="s">
        <v>1779</v>
      </c>
      <c r="G154" s="157"/>
      <c r="H154" s="157"/>
      <c r="I154" s="157"/>
    </row>
    <row r="155" spans="4:9" ht="18.75">
      <c r="D155" s="157" t="s">
        <v>1780</v>
      </c>
      <c r="E155" s="158" t="s">
        <v>1781</v>
      </c>
      <c r="F155" s="157" t="s">
        <v>1782</v>
      </c>
      <c r="G155" s="157" t="s">
        <v>1783</v>
      </c>
      <c r="H155" s="157"/>
      <c r="I155" s="157"/>
    </row>
    <row r="156" spans="4:9" ht="18.75">
      <c r="D156" s="157" t="s">
        <v>1784</v>
      </c>
      <c r="E156" s="157"/>
      <c r="F156" s="157"/>
      <c r="G156" s="157"/>
      <c r="H156" s="157"/>
      <c r="I156" s="157"/>
    </row>
    <row r="157" spans="4:9" ht="18.75">
      <c r="D157" s="157" t="s">
        <v>1785</v>
      </c>
      <c r="E157" s="157"/>
      <c r="F157" s="157"/>
      <c r="G157" s="157"/>
      <c r="H157" s="157"/>
      <c r="I157" s="157"/>
    </row>
    <row r="158" spans="4:9" ht="18.75">
      <c r="D158" s="157" t="s">
        <v>1786</v>
      </c>
      <c r="E158" s="157"/>
      <c r="F158" s="157"/>
      <c r="G158" s="157"/>
      <c r="H158" s="157"/>
      <c r="I158" s="157"/>
    </row>
    <row r="159" spans="4:9" ht="18.75">
      <c r="D159" s="157" t="s">
        <v>1787</v>
      </c>
      <c r="E159" s="157"/>
      <c r="F159" s="157"/>
      <c r="G159" s="157"/>
      <c r="H159" s="157"/>
      <c r="I159" s="157"/>
    </row>
    <row r="160" spans="4:9" ht="18.75">
      <c r="D160" s="157" t="s">
        <v>1788</v>
      </c>
      <c r="E160" s="157" t="s">
        <v>1789</v>
      </c>
      <c r="F160" s="157"/>
      <c r="G160" s="157"/>
      <c r="H160" s="157"/>
      <c r="I160" s="157"/>
    </row>
    <row r="161" spans="4:9" ht="18.75">
      <c r="D161" s="157" t="s">
        <v>1790</v>
      </c>
      <c r="E161" s="157"/>
      <c r="F161" s="157"/>
      <c r="G161" s="157"/>
      <c r="H161" s="157"/>
      <c r="I161" s="157"/>
    </row>
    <row r="162" spans="4:9" ht="18.75">
      <c r="D162" s="157" t="s">
        <v>208</v>
      </c>
      <c r="E162" s="157" t="s">
        <v>1791</v>
      </c>
      <c r="F162" s="157" t="s">
        <v>1792</v>
      </c>
      <c r="G162" s="157"/>
      <c r="H162" s="157"/>
      <c r="I162" s="157"/>
    </row>
    <row r="163" spans="4:9" ht="18.75">
      <c r="D163" s="157" t="s">
        <v>1793</v>
      </c>
      <c r="E163" s="157"/>
      <c r="F163" s="157"/>
      <c r="G163" s="157"/>
      <c r="H163" s="157"/>
      <c r="I163" s="157"/>
    </row>
    <row r="164" spans="4:9" ht="18.75">
      <c r="D164" s="157" t="s">
        <v>1794</v>
      </c>
      <c r="E164" s="157"/>
      <c r="F164" s="157"/>
      <c r="G164" s="157"/>
      <c r="H164" s="157"/>
      <c r="I164" s="157"/>
    </row>
    <row r="165" spans="4:9" ht="18.75">
      <c r="D165" s="157" t="s">
        <v>1795</v>
      </c>
      <c r="E165" s="157"/>
      <c r="F165" s="157"/>
      <c r="G165" s="157"/>
      <c r="H165" s="157"/>
      <c r="I165" s="157"/>
    </row>
    <row r="166" spans="4:9" ht="18.75">
      <c r="D166" s="157" t="s">
        <v>1796</v>
      </c>
      <c r="E166" s="157"/>
      <c r="F166" s="157"/>
      <c r="G166" s="157"/>
      <c r="H166" s="157"/>
      <c r="I166" s="157"/>
    </row>
    <row r="167" spans="4:9" ht="18.75">
      <c r="D167" s="157" t="s">
        <v>1797</v>
      </c>
      <c r="E167" s="157" t="s">
        <v>1798</v>
      </c>
      <c r="F167" s="157" t="s">
        <v>1799</v>
      </c>
      <c r="G167" s="157" t="s">
        <v>1800</v>
      </c>
      <c r="H167" s="157" t="s">
        <v>1801</v>
      </c>
      <c r="I167" s="157" t="s">
        <v>1802</v>
      </c>
    </row>
    <row r="168" spans="4:9" ht="18.75">
      <c r="D168" s="157" t="s">
        <v>1803</v>
      </c>
      <c r="E168" s="157"/>
      <c r="F168" s="157"/>
      <c r="G168" s="157"/>
      <c r="H168" s="157"/>
      <c r="I168" s="157"/>
    </row>
    <row r="169" spans="4:9" ht="18.75">
      <c r="D169" s="157" t="s">
        <v>1804</v>
      </c>
      <c r="E169" s="157" t="s">
        <v>1805</v>
      </c>
      <c r="F169" s="157"/>
      <c r="G169" s="157"/>
      <c r="H169" s="157"/>
      <c r="I169" s="157"/>
    </row>
    <row r="170" spans="4:9" ht="18.75">
      <c r="D170" s="157" t="s">
        <v>525</v>
      </c>
      <c r="E170" s="157"/>
      <c r="F170" s="157"/>
      <c r="G170" s="157"/>
      <c r="H170" s="157"/>
      <c r="I170" s="157"/>
    </row>
    <row r="171" spans="4:9" ht="18.75">
      <c r="D171" s="157" t="s">
        <v>1806</v>
      </c>
      <c r="E171" s="157"/>
      <c r="F171" s="157"/>
      <c r="G171" s="157"/>
      <c r="H171" s="157"/>
      <c r="I171" s="157"/>
    </row>
    <row r="172" spans="4:9" ht="18.75">
      <c r="D172" s="157" t="s">
        <v>1807</v>
      </c>
      <c r="E172" s="157" t="s">
        <v>1808</v>
      </c>
      <c r="F172" s="157"/>
      <c r="G172" s="157"/>
      <c r="H172" s="157"/>
      <c r="I172" s="157"/>
    </row>
    <row r="173" spans="4:9" ht="18.75">
      <c r="D173" s="157" t="s">
        <v>1809</v>
      </c>
      <c r="E173" s="157"/>
      <c r="F173" s="157"/>
      <c r="G173" s="157"/>
      <c r="H173" s="157"/>
      <c r="I173" s="157"/>
    </row>
    <row r="174" spans="4:9" ht="18.75">
      <c r="D174" s="157" t="s">
        <v>1810</v>
      </c>
      <c r="E174" s="157" t="s">
        <v>1811</v>
      </c>
      <c r="F174" s="157" t="s">
        <v>1812</v>
      </c>
      <c r="G174" s="157" t="s">
        <v>1813</v>
      </c>
      <c r="H174" s="157"/>
      <c r="I174" s="157"/>
    </row>
    <row r="175" spans="4:9" ht="18.75">
      <c r="D175" s="157" t="s">
        <v>1814</v>
      </c>
      <c r="E175" s="157"/>
      <c r="F175" s="157"/>
      <c r="G175" s="157"/>
      <c r="H175" s="157"/>
      <c r="I175" s="157"/>
    </row>
    <row r="176" spans="4:9" ht="18.75">
      <c r="D176" s="157" t="s">
        <v>1815</v>
      </c>
      <c r="E176" s="157" t="s">
        <v>1816</v>
      </c>
      <c r="F176" s="157"/>
      <c r="G176" s="157"/>
      <c r="H176" s="157"/>
      <c r="I176" s="157"/>
    </row>
    <row r="177" spans="4:9" ht="18.75">
      <c r="D177" s="157" t="s">
        <v>1817</v>
      </c>
      <c r="E177" s="157"/>
      <c r="F177" s="157"/>
      <c r="G177" s="157"/>
      <c r="H177" s="157"/>
      <c r="I177" s="157"/>
    </row>
    <row r="178" spans="4:9" ht="18.75">
      <c r="D178" s="157" t="s">
        <v>532</v>
      </c>
      <c r="E178" s="157" t="s">
        <v>1818</v>
      </c>
      <c r="F178" s="157"/>
      <c r="G178" s="157"/>
      <c r="H178" s="157"/>
      <c r="I178" s="157"/>
    </row>
    <row r="179" spans="4:9" ht="18.75">
      <c r="D179" s="157" t="s">
        <v>1819</v>
      </c>
      <c r="E179" s="157" t="s">
        <v>1820</v>
      </c>
      <c r="F179" s="157"/>
      <c r="G179" s="157"/>
      <c r="H179" s="157"/>
      <c r="I179" s="157"/>
    </row>
    <row r="180" spans="4:9" ht="18.75">
      <c r="D180" s="157" t="s">
        <v>1821</v>
      </c>
      <c r="E180" s="157"/>
      <c r="F180" s="157"/>
      <c r="G180" s="157"/>
      <c r="H180" s="157"/>
      <c r="I180" s="157"/>
    </row>
    <row r="181" spans="4:9" ht="18.75">
      <c r="D181" s="157" t="s">
        <v>911</v>
      </c>
      <c r="E181" s="157" t="s">
        <v>1822</v>
      </c>
      <c r="F181" s="157"/>
      <c r="G181" s="157"/>
      <c r="H181" s="157"/>
      <c r="I181" s="157"/>
    </row>
    <row r="182" spans="4:9" ht="18.75">
      <c r="D182" s="157" t="s">
        <v>773</v>
      </c>
      <c r="E182" s="157"/>
      <c r="F182" s="157"/>
      <c r="G182" s="157"/>
      <c r="H182" s="157"/>
      <c r="I182" s="157"/>
    </row>
    <row r="183" spans="4:9" ht="18.75">
      <c r="D183" s="157" t="s">
        <v>1823</v>
      </c>
      <c r="E183" s="157"/>
      <c r="F183" s="157"/>
      <c r="G183" s="157"/>
      <c r="H183" s="157"/>
      <c r="I183" s="157"/>
    </row>
    <row r="184" spans="4:9" ht="18.75">
      <c r="D184" s="157" t="s">
        <v>1824</v>
      </c>
      <c r="E184" s="157"/>
      <c r="F184" s="157"/>
      <c r="G184" s="157"/>
      <c r="H184" s="157"/>
      <c r="I184" s="157"/>
    </row>
    <row r="185" spans="4:9" ht="18.75">
      <c r="D185" s="157" t="s">
        <v>1825</v>
      </c>
      <c r="E185" s="157"/>
      <c r="F185" s="157"/>
      <c r="G185" s="157"/>
      <c r="H185" s="157"/>
      <c r="I185" s="157"/>
    </row>
    <row r="186" spans="4:9" ht="18.75">
      <c r="D186" s="157" t="s">
        <v>1826</v>
      </c>
      <c r="E186" s="157"/>
      <c r="F186" s="157"/>
      <c r="G186" s="157"/>
      <c r="H186" s="157"/>
      <c r="I186" s="157"/>
    </row>
    <row r="187" spans="4:9" ht="18.75">
      <c r="D187" s="157" t="s">
        <v>1827</v>
      </c>
      <c r="E187" s="157"/>
      <c r="F187" s="157"/>
      <c r="G187" s="157"/>
      <c r="H187" s="157"/>
      <c r="I187" s="157"/>
    </row>
    <row r="188" spans="4:9" ht="18.75">
      <c r="D188" s="157" t="s">
        <v>1828</v>
      </c>
      <c r="E188" s="157"/>
      <c r="F188" s="157"/>
      <c r="G188" s="157"/>
      <c r="H188" s="157"/>
      <c r="I188" s="157"/>
    </row>
    <row r="189" spans="4:9" ht="18.75">
      <c r="D189" s="157" t="s">
        <v>1829</v>
      </c>
      <c r="E189" s="157"/>
      <c r="F189" s="157"/>
      <c r="G189" s="157"/>
      <c r="H189" s="157"/>
      <c r="I189" s="157"/>
    </row>
    <row r="190" spans="4:9" ht="18.75">
      <c r="D190" s="157" t="s">
        <v>1830</v>
      </c>
      <c r="E190" s="157"/>
      <c r="F190" s="157"/>
      <c r="G190" s="157"/>
      <c r="H190" s="157"/>
      <c r="I190" s="157"/>
    </row>
    <row r="191" spans="4:9" ht="18.75">
      <c r="D191" s="157" t="s">
        <v>1831</v>
      </c>
      <c r="E191" s="157"/>
      <c r="F191" s="157"/>
      <c r="G191" s="157"/>
      <c r="H191" s="157"/>
      <c r="I191" s="157"/>
    </row>
    <row r="192" spans="4:9" ht="18.75">
      <c r="D192" s="157" t="s">
        <v>1832</v>
      </c>
      <c r="E192" s="157"/>
      <c r="F192" s="157"/>
      <c r="G192" s="157"/>
      <c r="H192" s="157"/>
      <c r="I192" s="157"/>
    </row>
    <row r="193" spans="4:9" ht="18.75">
      <c r="D193" s="157" t="s">
        <v>1833</v>
      </c>
      <c r="E193" s="157"/>
      <c r="F193" s="157"/>
      <c r="G193" s="157"/>
      <c r="H193" s="157"/>
      <c r="I193" s="157"/>
    </row>
    <row r="194" spans="4:9" ht="18.75">
      <c r="D194" s="157" t="s">
        <v>1834</v>
      </c>
      <c r="E194" s="157" t="s">
        <v>1835</v>
      </c>
      <c r="F194" s="157"/>
      <c r="G194" s="157"/>
      <c r="H194" s="157"/>
      <c r="I194" s="157"/>
    </row>
    <row r="195" spans="4:9" ht="18.75">
      <c r="D195" s="157" t="s">
        <v>1836</v>
      </c>
      <c r="E195" s="157"/>
      <c r="F195" s="157"/>
      <c r="G195" s="157"/>
      <c r="H195" s="157"/>
      <c r="I195" s="157"/>
    </row>
    <row r="196" spans="4:9" ht="18.75">
      <c r="D196" s="157" t="s">
        <v>1837</v>
      </c>
      <c r="E196" s="157" t="s">
        <v>1838</v>
      </c>
      <c r="F196" s="157"/>
      <c r="G196" s="157"/>
      <c r="H196" s="157"/>
      <c r="I196" s="157"/>
    </row>
    <row r="197" spans="4:9" ht="18.75">
      <c r="D197" s="157" t="s">
        <v>1839</v>
      </c>
      <c r="E197" s="157"/>
      <c r="F197" s="157"/>
      <c r="G197" s="157"/>
      <c r="H197" s="157"/>
      <c r="I197" s="157"/>
    </row>
    <row r="198" spans="4:9" ht="18.75">
      <c r="D198" s="157" t="s">
        <v>1840</v>
      </c>
      <c r="E198" s="157"/>
      <c r="F198" s="157"/>
      <c r="G198" s="157"/>
      <c r="H198" s="157"/>
      <c r="I198" s="157"/>
    </row>
    <row r="199" spans="4:9" ht="18.75">
      <c r="D199" s="157" t="s">
        <v>1841</v>
      </c>
      <c r="E199" s="157"/>
      <c r="F199" s="157"/>
      <c r="G199" s="157"/>
      <c r="H199" s="157"/>
      <c r="I199" s="157"/>
    </row>
    <row r="200" spans="4:9" ht="18.75">
      <c r="D200" s="157" t="s">
        <v>59</v>
      </c>
      <c r="E200" s="157" t="s">
        <v>1842</v>
      </c>
      <c r="F200" s="157"/>
      <c r="G200" s="157"/>
      <c r="H200" s="157"/>
      <c r="I200" s="157"/>
    </row>
  </sheetData>
  <mergeCells count="3">
    <mergeCell ref="E76:F76"/>
    <mergeCell ref="H88:I88"/>
    <mergeCell ref="D116:E116"/>
  </mergeCells>
  <phoneticPr fontId="6"/>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2"/>
  <sheetViews>
    <sheetView showGridLines="0" view="pageBreakPreview" topLeftCell="E222" zoomScale="90" zoomScaleNormal="85" zoomScaleSheetLayoutView="90" workbookViewId="0">
      <selection activeCell="G242" sqref="G242"/>
    </sheetView>
  </sheetViews>
  <sheetFormatPr defaultRowHeight="13.5"/>
  <cols>
    <col min="1" max="1" width="5.625" style="62" customWidth="1"/>
    <col min="2" max="3" width="15.125" style="62" customWidth="1"/>
    <col min="4" max="4" width="43.125" style="62" customWidth="1"/>
    <col min="5" max="5" width="10.625" style="62" customWidth="1"/>
    <col min="6" max="6" width="82.625" style="62" bestFit="1" customWidth="1"/>
    <col min="7" max="7" width="7.375" style="64" customWidth="1"/>
    <col min="8" max="256" width="9" style="62"/>
    <col min="257" max="257" width="5.625" style="62" customWidth="1"/>
    <col min="258" max="259" width="15.125" style="62" customWidth="1"/>
    <col min="260" max="260" width="43.125" style="62" customWidth="1"/>
    <col min="261" max="261" width="10.625" style="62" customWidth="1"/>
    <col min="262" max="262" width="82.625" style="62" bestFit="1" customWidth="1"/>
    <col min="263" max="263" width="7.375" style="62" customWidth="1"/>
    <col min="264" max="512" width="9" style="62"/>
    <col min="513" max="513" width="5.625" style="62" customWidth="1"/>
    <col min="514" max="515" width="15.125" style="62" customWidth="1"/>
    <col min="516" max="516" width="43.125" style="62" customWidth="1"/>
    <col min="517" max="517" width="10.625" style="62" customWidth="1"/>
    <col min="518" max="518" width="82.625" style="62" bestFit="1" customWidth="1"/>
    <col min="519" max="519" width="7.375" style="62" customWidth="1"/>
    <col min="520" max="768" width="9" style="62"/>
    <col min="769" max="769" width="5.625" style="62" customWidth="1"/>
    <col min="770" max="771" width="15.125" style="62" customWidth="1"/>
    <col min="772" max="772" width="43.125" style="62" customWidth="1"/>
    <col min="773" max="773" width="10.625" style="62" customWidth="1"/>
    <col min="774" max="774" width="82.625" style="62" bestFit="1" customWidth="1"/>
    <col min="775" max="775" width="7.375" style="62" customWidth="1"/>
    <col min="776" max="1024" width="9" style="62"/>
    <col min="1025" max="1025" width="5.625" style="62" customWidth="1"/>
    <col min="1026" max="1027" width="15.125" style="62" customWidth="1"/>
    <col min="1028" max="1028" width="43.125" style="62" customWidth="1"/>
    <col min="1029" max="1029" width="10.625" style="62" customWidth="1"/>
    <col min="1030" max="1030" width="82.625" style="62" bestFit="1" customWidth="1"/>
    <col min="1031" max="1031" width="7.375" style="62" customWidth="1"/>
    <col min="1032" max="1280" width="9" style="62"/>
    <col min="1281" max="1281" width="5.625" style="62" customWidth="1"/>
    <col min="1282" max="1283" width="15.125" style="62" customWidth="1"/>
    <col min="1284" max="1284" width="43.125" style="62" customWidth="1"/>
    <col min="1285" max="1285" width="10.625" style="62" customWidth="1"/>
    <col min="1286" max="1286" width="82.625" style="62" bestFit="1" customWidth="1"/>
    <col min="1287" max="1287" width="7.375" style="62" customWidth="1"/>
    <col min="1288" max="1536" width="9" style="62"/>
    <col min="1537" max="1537" width="5.625" style="62" customWidth="1"/>
    <col min="1538" max="1539" width="15.125" style="62" customWidth="1"/>
    <col min="1540" max="1540" width="43.125" style="62" customWidth="1"/>
    <col min="1541" max="1541" width="10.625" style="62" customWidth="1"/>
    <col min="1542" max="1542" width="82.625" style="62" bestFit="1" customWidth="1"/>
    <col min="1543" max="1543" width="7.375" style="62" customWidth="1"/>
    <col min="1544" max="1792" width="9" style="62"/>
    <col min="1793" max="1793" width="5.625" style="62" customWidth="1"/>
    <col min="1794" max="1795" width="15.125" style="62" customWidth="1"/>
    <col min="1796" max="1796" width="43.125" style="62" customWidth="1"/>
    <col min="1797" max="1797" width="10.625" style="62" customWidth="1"/>
    <col min="1798" max="1798" width="82.625" style="62" bestFit="1" customWidth="1"/>
    <col min="1799" max="1799" width="7.375" style="62" customWidth="1"/>
    <col min="1800" max="2048" width="9" style="62"/>
    <col min="2049" max="2049" width="5.625" style="62" customWidth="1"/>
    <col min="2050" max="2051" width="15.125" style="62" customWidth="1"/>
    <col min="2052" max="2052" width="43.125" style="62" customWidth="1"/>
    <col min="2053" max="2053" width="10.625" style="62" customWidth="1"/>
    <col min="2054" max="2054" width="82.625" style="62" bestFit="1" customWidth="1"/>
    <col min="2055" max="2055" width="7.375" style="62" customWidth="1"/>
    <col min="2056" max="2304" width="9" style="62"/>
    <col min="2305" max="2305" width="5.625" style="62" customWidth="1"/>
    <col min="2306" max="2307" width="15.125" style="62" customWidth="1"/>
    <col min="2308" max="2308" width="43.125" style="62" customWidth="1"/>
    <col min="2309" max="2309" width="10.625" style="62" customWidth="1"/>
    <col min="2310" max="2310" width="82.625" style="62" bestFit="1" customWidth="1"/>
    <col min="2311" max="2311" width="7.375" style="62" customWidth="1"/>
    <col min="2312" max="2560" width="9" style="62"/>
    <col min="2561" max="2561" width="5.625" style="62" customWidth="1"/>
    <col min="2562" max="2563" width="15.125" style="62" customWidth="1"/>
    <col min="2564" max="2564" width="43.125" style="62" customWidth="1"/>
    <col min="2565" max="2565" width="10.625" style="62" customWidth="1"/>
    <col min="2566" max="2566" width="82.625" style="62" bestFit="1" customWidth="1"/>
    <col min="2567" max="2567" width="7.375" style="62" customWidth="1"/>
    <col min="2568" max="2816" width="9" style="62"/>
    <col min="2817" max="2817" width="5.625" style="62" customWidth="1"/>
    <col min="2818" max="2819" width="15.125" style="62" customWidth="1"/>
    <col min="2820" max="2820" width="43.125" style="62" customWidth="1"/>
    <col min="2821" max="2821" width="10.625" style="62" customWidth="1"/>
    <col min="2822" max="2822" width="82.625" style="62" bestFit="1" customWidth="1"/>
    <col min="2823" max="2823" width="7.375" style="62" customWidth="1"/>
    <col min="2824" max="3072" width="9" style="62"/>
    <col min="3073" max="3073" width="5.625" style="62" customWidth="1"/>
    <col min="3074" max="3075" width="15.125" style="62" customWidth="1"/>
    <col min="3076" max="3076" width="43.125" style="62" customWidth="1"/>
    <col min="3077" max="3077" width="10.625" style="62" customWidth="1"/>
    <col min="3078" max="3078" width="82.625" style="62" bestFit="1" customWidth="1"/>
    <col min="3079" max="3079" width="7.375" style="62" customWidth="1"/>
    <col min="3080" max="3328" width="9" style="62"/>
    <col min="3329" max="3329" width="5.625" style="62" customWidth="1"/>
    <col min="3330" max="3331" width="15.125" style="62" customWidth="1"/>
    <col min="3332" max="3332" width="43.125" style="62" customWidth="1"/>
    <col min="3333" max="3333" width="10.625" style="62" customWidth="1"/>
    <col min="3334" max="3334" width="82.625" style="62" bestFit="1" customWidth="1"/>
    <col min="3335" max="3335" width="7.375" style="62" customWidth="1"/>
    <col min="3336" max="3584" width="9" style="62"/>
    <col min="3585" max="3585" width="5.625" style="62" customWidth="1"/>
    <col min="3586" max="3587" width="15.125" style="62" customWidth="1"/>
    <col min="3588" max="3588" width="43.125" style="62" customWidth="1"/>
    <col min="3589" max="3589" width="10.625" style="62" customWidth="1"/>
    <col min="3590" max="3590" width="82.625" style="62" bestFit="1" customWidth="1"/>
    <col min="3591" max="3591" width="7.375" style="62" customWidth="1"/>
    <col min="3592" max="3840" width="9" style="62"/>
    <col min="3841" max="3841" width="5.625" style="62" customWidth="1"/>
    <col min="3842" max="3843" width="15.125" style="62" customWidth="1"/>
    <col min="3844" max="3844" width="43.125" style="62" customWidth="1"/>
    <col min="3845" max="3845" width="10.625" style="62" customWidth="1"/>
    <col min="3846" max="3846" width="82.625" style="62" bestFit="1" customWidth="1"/>
    <col min="3847" max="3847" width="7.375" style="62" customWidth="1"/>
    <col min="3848" max="4096" width="9" style="62"/>
    <col min="4097" max="4097" width="5.625" style="62" customWidth="1"/>
    <col min="4098" max="4099" width="15.125" style="62" customWidth="1"/>
    <col min="4100" max="4100" width="43.125" style="62" customWidth="1"/>
    <col min="4101" max="4101" width="10.625" style="62" customWidth="1"/>
    <col min="4102" max="4102" width="82.625" style="62" bestFit="1" customWidth="1"/>
    <col min="4103" max="4103" width="7.375" style="62" customWidth="1"/>
    <col min="4104" max="4352" width="9" style="62"/>
    <col min="4353" max="4353" width="5.625" style="62" customWidth="1"/>
    <col min="4354" max="4355" width="15.125" style="62" customWidth="1"/>
    <col min="4356" max="4356" width="43.125" style="62" customWidth="1"/>
    <col min="4357" max="4357" width="10.625" style="62" customWidth="1"/>
    <col min="4358" max="4358" width="82.625" style="62" bestFit="1" customWidth="1"/>
    <col min="4359" max="4359" width="7.375" style="62" customWidth="1"/>
    <col min="4360" max="4608" width="9" style="62"/>
    <col min="4609" max="4609" width="5.625" style="62" customWidth="1"/>
    <col min="4610" max="4611" width="15.125" style="62" customWidth="1"/>
    <col min="4612" max="4612" width="43.125" style="62" customWidth="1"/>
    <col min="4613" max="4613" width="10.625" style="62" customWidth="1"/>
    <col min="4614" max="4614" width="82.625" style="62" bestFit="1" customWidth="1"/>
    <col min="4615" max="4615" width="7.375" style="62" customWidth="1"/>
    <col min="4616" max="4864" width="9" style="62"/>
    <col min="4865" max="4865" width="5.625" style="62" customWidth="1"/>
    <col min="4866" max="4867" width="15.125" style="62" customWidth="1"/>
    <col min="4868" max="4868" width="43.125" style="62" customWidth="1"/>
    <col min="4869" max="4869" width="10.625" style="62" customWidth="1"/>
    <col min="4870" max="4870" width="82.625" style="62" bestFit="1" customWidth="1"/>
    <col min="4871" max="4871" width="7.375" style="62" customWidth="1"/>
    <col min="4872" max="5120" width="9" style="62"/>
    <col min="5121" max="5121" width="5.625" style="62" customWidth="1"/>
    <col min="5122" max="5123" width="15.125" style="62" customWidth="1"/>
    <col min="5124" max="5124" width="43.125" style="62" customWidth="1"/>
    <col min="5125" max="5125" width="10.625" style="62" customWidth="1"/>
    <col min="5126" max="5126" width="82.625" style="62" bestFit="1" customWidth="1"/>
    <col min="5127" max="5127" width="7.375" style="62" customWidth="1"/>
    <col min="5128" max="5376" width="9" style="62"/>
    <col min="5377" max="5377" width="5.625" style="62" customWidth="1"/>
    <col min="5378" max="5379" width="15.125" style="62" customWidth="1"/>
    <col min="5380" max="5380" width="43.125" style="62" customWidth="1"/>
    <col min="5381" max="5381" width="10.625" style="62" customWidth="1"/>
    <col min="5382" max="5382" width="82.625" style="62" bestFit="1" customWidth="1"/>
    <col min="5383" max="5383" width="7.375" style="62" customWidth="1"/>
    <col min="5384" max="5632" width="9" style="62"/>
    <col min="5633" max="5633" width="5.625" style="62" customWidth="1"/>
    <col min="5634" max="5635" width="15.125" style="62" customWidth="1"/>
    <col min="5636" max="5636" width="43.125" style="62" customWidth="1"/>
    <col min="5637" max="5637" width="10.625" style="62" customWidth="1"/>
    <col min="5638" max="5638" width="82.625" style="62" bestFit="1" customWidth="1"/>
    <col min="5639" max="5639" width="7.375" style="62" customWidth="1"/>
    <col min="5640" max="5888" width="9" style="62"/>
    <col min="5889" max="5889" width="5.625" style="62" customWidth="1"/>
    <col min="5890" max="5891" width="15.125" style="62" customWidth="1"/>
    <col min="5892" max="5892" width="43.125" style="62" customWidth="1"/>
    <col min="5893" max="5893" width="10.625" style="62" customWidth="1"/>
    <col min="5894" max="5894" width="82.625" style="62" bestFit="1" customWidth="1"/>
    <col min="5895" max="5895" width="7.375" style="62" customWidth="1"/>
    <col min="5896" max="6144" width="9" style="62"/>
    <col min="6145" max="6145" width="5.625" style="62" customWidth="1"/>
    <col min="6146" max="6147" width="15.125" style="62" customWidth="1"/>
    <col min="6148" max="6148" width="43.125" style="62" customWidth="1"/>
    <col min="6149" max="6149" width="10.625" style="62" customWidth="1"/>
    <col min="6150" max="6150" width="82.625" style="62" bestFit="1" customWidth="1"/>
    <col min="6151" max="6151" width="7.375" style="62" customWidth="1"/>
    <col min="6152" max="6400" width="9" style="62"/>
    <col min="6401" max="6401" width="5.625" style="62" customWidth="1"/>
    <col min="6402" max="6403" width="15.125" style="62" customWidth="1"/>
    <col min="6404" max="6404" width="43.125" style="62" customWidth="1"/>
    <col min="6405" max="6405" width="10.625" style="62" customWidth="1"/>
    <col min="6406" max="6406" width="82.625" style="62" bestFit="1" customWidth="1"/>
    <col min="6407" max="6407" width="7.375" style="62" customWidth="1"/>
    <col min="6408" max="6656" width="9" style="62"/>
    <col min="6657" max="6657" width="5.625" style="62" customWidth="1"/>
    <col min="6658" max="6659" width="15.125" style="62" customWidth="1"/>
    <col min="6660" max="6660" width="43.125" style="62" customWidth="1"/>
    <col min="6661" max="6661" width="10.625" style="62" customWidth="1"/>
    <col min="6662" max="6662" width="82.625" style="62" bestFit="1" customWidth="1"/>
    <col min="6663" max="6663" width="7.375" style="62" customWidth="1"/>
    <col min="6664" max="6912" width="9" style="62"/>
    <col min="6913" max="6913" width="5.625" style="62" customWidth="1"/>
    <col min="6914" max="6915" width="15.125" style="62" customWidth="1"/>
    <col min="6916" max="6916" width="43.125" style="62" customWidth="1"/>
    <col min="6917" max="6917" width="10.625" style="62" customWidth="1"/>
    <col min="6918" max="6918" width="82.625" style="62" bestFit="1" customWidth="1"/>
    <col min="6919" max="6919" width="7.375" style="62" customWidth="1"/>
    <col min="6920" max="7168" width="9" style="62"/>
    <col min="7169" max="7169" width="5.625" style="62" customWidth="1"/>
    <col min="7170" max="7171" width="15.125" style="62" customWidth="1"/>
    <col min="7172" max="7172" width="43.125" style="62" customWidth="1"/>
    <col min="7173" max="7173" width="10.625" style="62" customWidth="1"/>
    <col min="7174" max="7174" width="82.625" style="62" bestFit="1" customWidth="1"/>
    <col min="7175" max="7175" width="7.375" style="62" customWidth="1"/>
    <col min="7176" max="7424" width="9" style="62"/>
    <col min="7425" max="7425" width="5.625" style="62" customWidth="1"/>
    <col min="7426" max="7427" width="15.125" style="62" customWidth="1"/>
    <col min="7428" max="7428" width="43.125" style="62" customWidth="1"/>
    <col min="7429" max="7429" width="10.625" style="62" customWidth="1"/>
    <col min="7430" max="7430" width="82.625" style="62" bestFit="1" customWidth="1"/>
    <col min="7431" max="7431" width="7.375" style="62" customWidth="1"/>
    <col min="7432" max="7680" width="9" style="62"/>
    <col min="7681" max="7681" width="5.625" style="62" customWidth="1"/>
    <col min="7682" max="7683" width="15.125" style="62" customWidth="1"/>
    <col min="7684" max="7684" width="43.125" style="62" customWidth="1"/>
    <col min="7685" max="7685" width="10.625" style="62" customWidth="1"/>
    <col min="7686" max="7686" width="82.625" style="62" bestFit="1" customWidth="1"/>
    <col min="7687" max="7687" width="7.375" style="62" customWidth="1"/>
    <col min="7688" max="7936" width="9" style="62"/>
    <col min="7937" max="7937" width="5.625" style="62" customWidth="1"/>
    <col min="7938" max="7939" width="15.125" style="62" customWidth="1"/>
    <col min="7940" max="7940" width="43.125" style="62" customWidth="1"/>
    <col min="7941" max="7941" width="10.625" style="62" customWidth="1"/>
    <col min="7942" max="7942" width="82.625" style="62" bestFit="1" customWidth="1"/>
    <col min="7943" max="7943" width="7.375" style="62" customWidth="1"/>
    <col min="7944" max="8192" width="9" style="62"/>
    <col min="8193" max="8193" width="5.625" style="62" customWidth="1"/>
    <col min="8194" max="8195" width="15.125" style="62" customWidth="1"/>
    <col min="8196" max="8196" width="43.125" style="62" customWidth="1"/>
    <col min="8197" max="8197" width="10.625" style="62" customWidth="1"/>
    <col min="8198" max="8198" width="82.625" style="62" bestFit="1" customWidth="1"/>
    <col min="8199" max="8199" width="7.375" style="62" customWidth="1"/>
    <col min="8200" max="8448" width="9" style="62"/>
    <col min="8449" max="8449" width="5.625" style="62" customWidth="1"/>
    <col min="8450" max="8451" width="15.125" style="62" customWidth="1"/>
    <col min="8452" max="8452" width="43.125" style="62" customWidth="1"/>
    <col min="8453" max="8453" width="10.625" style="62" customWidth="1"/>
    <col min="8454" max="8454" width="82.625" style="62" bestFit="1" customWidth="1"/>
    <col min="8455" max="8455" width="7.375" style="62" customWidth="1"/>
    <col min="8456" max="8704" width="9" style="62"/>
    <col min="8705" max="8705" width="5.625" style="62" customWidth="1"/>
    <col min="8706" max="8707" width="15.125" style="62" customWidth="1"/>
    <col min="8708" max="8708" width="43.125" style="62" customWidth="1"/>
    <col min="8709" max="8709" width="10.625" style="62" customWidth="1"/>
    <col min="8710" max="8710" width="82.625" style="62" bestFit="1" customWidth="1"/>
    <col min="8711" max="8711" width="7.375" style="62" customWidth="1"/>
    <col min="8712" max="8960" width="9" style="62"/>
    <col min="8961" max="8961" width="5.625" style="62" customWidth="1"/>
    <col min="8962" max="8963" width="15.125" style="62" customWidth="1"/>
    <col min="8964" max="8964" width="43.125" style="62" customWidth="1"/>
    <col min="8965" max="8965" width="10.625" style="62" customWidth="1"/>
    <col min="8966" max="8966" width="82.625" style="62" bestFit="1" customWidth="1"/>
    <col min="8967" max="8967" width="7.375" style="62" customWidth="1"/>
    <col min="8968" max="9216" width="9" style="62"/>
    <col min="9217" max="9217" width="5.625" style="62" customWidth="1"/>
    <col min="9218" max="9219" width="15.125" style="62" customWidth="1"/>
    <col min="9220" max="9220" width="43.125" style="62" customWidth="1"/>
    <col min="9221" max="9221" width="10.625" style="62" customWidth="1"/>
    <col min="9222" max="9222" width="82.625" style="62" bestFit="1" customWidth="1"/>
    <col min="9223" max="9223" width="7.375" style="62" customWidth="1"/>
    <col min="9224" max="9472" width="9" style="62"/>
    <col min="9473" max="9473" width="5.625" style="62" customWidth="1"/>
    <col min="9474" max="9475" width="15.125" style="62" customWidth="1"/>
    <col min="9476" max="9476" width="43.125" style="62" customWidth="1"/>
    <col min="9477" max="9477" width="10.625" style="62" customWidth="1"/>
    <col min="9478" max="9478" width="82.625" style="62" bestFit="1" customWidth="1"/>
    <col min="9479" max="9479" width="7.375" style="62" customWidth="1"/>
    <col min="9480" max="9728" width="9" style="62"/>
    <col min="9729" max="9729" width="5.625" style="62" customWidth="1"/>
    <col min="9730" max="9731" width="15.125" style="62" customWidth="1"/>
    <col min="9732" max="9732" width="43.125" style="62" customWidth="1"/>
    <col min="9733" max="9733" width="10.625" style="62" customWidth="1"/>
    <col min="9734" max="9734" width="82.625" style="62" bestFit="1" customWidth="1"/>
    <col min="9735" max="9735" width="7.375" style="62" customWidth="1"/>
    <col min="9736" max="9984" width="9" style="62"/>
    <col min="9985" max="9985" width="5.625" style="62" customWidth="1"/>
    <col min="9986" max="9987" width="15.125" style="62" customWidth="1"/>
    <col min="9988" max="9988" width="43.125" style="62" customWidth="1"/>
    <col min="9989" max="9989" width="10.625" style="62" customWidth="1"/>
    <col min="9990" max="9990" width="82.625" style="62" bestFit="1" customWidth="1"/>
    <col min="9991" max="9991" width="7.375" style="62" customWidth="1"/>
    <col min="9992" max="10240" width="9" style="62"/>
    <col min="10241" max="10241" width="5.625" style="62" customWidth="1"/>
    <col min="10242" max="10243" width="15.125" style="62" customWidth="1"/>
    <col min="10244" max="10244" width="43.125" style="62" customWidth="1"/>
    <col min="10245" max="10245" width="10.625" style="62" customWidth="1"/>
    <col min="10246" max="10246" width="82.625" style="62" bestFit="1" customWidth="1"/>
    <col min="10247" max="10247" width="7.375" style="62" customWidth="1"/>
    <col min="10248" max="10496" width="9" style="62"/>
    <col min="10497" max="10497" width="5.625" style="62" customWidth="1"/>
    <col min="10498" max="10499" width="15.125" style="62" customWidth="1"/>
    <col min="10500" max="10500" width="43.125" style="62" customWidth="1"/>
    <col min="10501" max="10501" width="10.625" style="62" customWidth="1"/>
    <col min="10502" max="10502" width="82.625" style="62" bestFit="1" customWidth="1"/>
    <col min="10503" max="10503" width="7.375" style="62" customWidth="1"/>
    <col min="10504" max="10752" width="9" style="62"/>
    <col min="10753" max="10753" width="5.625" style="62" customWidth="1"/>
    <col min="10754" max="10755" width="15.125" style="62" customWidth="1"/>
    <col min="10756" max="10756" width="43.125" style="62" customWidth="1"/>
    <col min="10757" max="10757" width="10.625" style="62" customWidth="1"/>
    <col min="10758" max="10758" width="82.625" style="62" bestFit="1" customWidth="1"/>
    <col min="10759" max="10759" width="7.375" style="62" customWidth="1"/>
    <col min="10760" max="11008" width="9" style="62"/>
    <col min="11009" max="11009" width="5.625" style="62" customWidth="1"/>
    <col min="11010" max="11011" width="15.125" style="62" customWidth="1"/>
    <col min="11012" max="11012" width="43.125" style="62" customWidth="1"/>
    <col min="11013" max="11013" width="10.625" style="62" customWidth="1"/>
    <col min="11014" max="11014" width="82.625" style="62" bestFit="1" customWidth="1"/>
    <col min="11015" max="11015" width="7.375" style="62" customWidth="1"/>
    <col min="11016" max="11264" width="9" style="62"/>
    <col min="11265" max="11265" width="5.625" style="62" customWidth="1"/>
    <col min="11266" max="11267" width="15.125" style="62" customWidth="1"/>
    <col min="11268" max="11268" width="43.125" style="62" customWidth="1"/>
    <col min="11269" max="11269" width="10.625" style="62" customWidth="1"/>
    <col min="11270" max="11270" width="82.625" style="62" bestFit="1" customWidth="1"/>
    <col min="11271" max="11271" width="7.375" style="62" customWidth="1"/>
    <col min="11272" max="11520" width="9" style="62"/>
    <col min="11521" max="11521" width="5.625" style="62" customWidth="1"/>
    <col min="11522" max="11523" width="15.125" style="62" customWidth="1"/>
    <col min="11524" max="11524" width="43.125" style="62" customWidth="1"/>
    <col min="11525" max="11525" width="10.625" style="62" customWidth="1"/>
    <col min="11526" max="11526" width="82.625" style="62" bestFit="1" customWidth="1"/>
    <col min="11527" max="11527" width="7.375" style="62" customWidth="1"/>
    <col min="11528" max="11776" width="9" style="62"/>
    <col min="11777" max="11777" width="5.625" style="62" customWidth="1"/>
    <col min="11778" max="11779" width="15.125" style="62" customWidth="1"/>
    <col min="11780" max="11780" width="43.125" style="62" customWidth="1"/>
    <col min="11781" max="11781" width="10.625" style="62" customWidth="1"/>
    <col min="11782" max="11782" width="82.625" style="62" bestFit="1" customWidth="1"/>
    <col min="11783" max="11783" width="7.375" style="62" customWidth="1"/>
    <col min="11784" max="12032" width="9" style="62"/>
    <col min="12033" max="12033" width="5.625" style="62" customWidth="1"/>
    <col min="12034" max="12035" width="15.125" style="62" customWidth="1"/>
    <col min="12036" max="12036" width="43.125" style="62" customWidth="1"/>
    <col min="12037" max="12037" width="10.625" style="62" customWidth="1"/>
    <col min="12038" max="12038" width="82.625" style="62" bestFit="1" customWidth="1"/>
    <col min="12039" max="12039" width="7.375" style="62" customWidth="1"/>
    <col min="12040" max="12288" width="9" style="62"/>
    <col min="12289" max="12289" width="5.625" style="62" customWidth="1"/>
    <col min="12290" max="12291" width="15.125" style="62" customWidth="1"/>
    <col min="12292" max="12292" width="43.125" style="62" customWidth="1"/>
    <col min="12293" max="12293" width="10.625" style="62" customWidth="1"/>
    <col min="12294" max="12294" width="82.625" style="62" bestFit="1" customWidth="1"/>
    <col min="12295" max="12295" width="7.375" style="62" customWidth="1"/>
    <col min="12296" max="12544" width="9" style="62"/>
    <col min="12545" max="12545" width="5.625" style="62" customWidth="1"/>
    <col min="12546" max="12547" width="15.125" style="62" customWidth="1"/>
    <col min="12548" max="12548" width="43.125" style="62" customWidth="1"/>
    <col min="12549" max="12549" width="10.625" style="62" customWidth="1"/>
    <col min="12550" max="12550" width="82.625" style="62" bestFit="1" customWidth="1"/>
    <col min="12551" max="12551" width="7.375" style="62" customWidth="1"/>
    <col min="12552" max="12800" width="9" style="62"/>
    <col min="12801" max="12801" width="5.625" style="62" customWidth="1"/>
    <col min="12802" max="12803" width="15.125" style="62" customWidth="1"/>
    <col min="12804" max="12804" width="43.125" style="62" customWidth="1"/>
    <col min="12805" max="12805" width="10.625" style="62" customWidth="1"/>
    <col min="12806" max="12806" width="82.625" style="62" bestFit="1" customWidth="1"/>
    <col min="12807" max="12807" width="7.375" style="62" customWidth="1"/>
    <col min="12808" max="13056" width="9" style="62"/>
    <col min="13057" max="13057" width="5.625" style="62" customWidth="1"/>
    <col min="13058" max="13059" width="15.125" style="62" customWidth="1"/>
    <col min="13060" max="13060" width="43.125" style="62" customWidth="1"/>
    <col min="13061" max="13061" width="10.625" style="62" customWidth="1"/>
    <col min="13062" max="13062" width="82.625" style="62" bestFit="1" customWidth="1"/>
    <col min="13063" max="13063" width="7.375" style="62" customWidth="1"/>
    <col min="13064" max="13312" width="9" style="62"/>
    <col min="13313" max="13313" width="5.625" style="62" customWidth="1"/>
    <col min="13314" max="13315" width="15.125" style="62" customWidth="1"/>
    <col min="13316" max="13316" width="43.125" style="62" customWidth="1"/>
    <col min="13317" max="13317" width="10.625" style="62" customWidth="1"/>
    <col min="13318" max="13318" width="82.625" style="62" bestFit="1" customWidth="1"/>
    <col min="13319" max="13319" width="7.375" style="62" customWidth="1"/>
    <col min="13320" max="13568" width="9" style="62"/>
    <col min="13569" max="13569" width="5.625" style="62" customWidth="1"/>
    <col min="13570" max="13571" width="15.125" style="62" customWidth="1"/>
    <col min="13572" max="13572" width="43.125" style="62" customWidth="1"/>
    <col min="13573" max="13573" width="10.625" style="62" customWidth="1"/>
    <col min="13574" max="13574" width="82.625" style="62" bestFit="1" customWidth="1"/>
    <col min="13575" max="13575" width="7.375" style="62" customWidth="1"/>
    <col min="13576" max="13824" width="9" style="62"/>
    <col min="13825" max="13825" width="5.625" style="62" customWidth="1"/>
    <col min="13826" max="13827" width="15.125" style="62" customWidth="1"/>
    <col min="13828" max="13828" width="43.125" style="62" customWidth="1"/>
    <col min="13829" max="13829" width="10.625" style="62" customWidth="1"/>
    <col min="13830" max="13830" width="82.625" style="62" bestFit="1" customWidth="1"/>
    <col min="13831" max="13831" width="7.375" style="62" customWidth="1"/>
    <col min="13832" max="14080" width="9" style="62"/>
    <col min="14081" max="14081" width="5.625" style="62" customWidth="1"/>
    <col min="14082" max="14083" width="15.125" style="62" customWidth="1"/>
    <col min="14084" max="14084" width="43.125" style="62" customWidth="1"/>
    <col min="14085" max="14085" width="10.625" style="62" customWidth="1"/>
    <col min="14086" max="14086" width="82.625" style="62" bestFit="1" customWidth="1"/>
    <col min="14087" max="14087" width="7.375" style="62" customWidth="1"/>
    <col min="14088" max="14336" width="9" style="62"/>
    <col min="14337" max="14337" width="5.625" style="62" customWidth="1"/>
    <col min="14338" max="14339" width="15.125" style="62" customWidth="1"/>
    <col min="14340" max="14340" width="43.125" style="62" customWidth="1"/>
    <col min="14341" max="14341" width="10.625" style="62" customWidth="1"/>
    <col min="14342" max="14342" width="82.625" style="62" bestFit="1" customWidth="1"/>
    <col min="14343" max="14343" width="7.375" style="62" customWidth="1"/>
    <col min="14344" max="14592" width="9" style="62"/>
    <col min="14593" max="14593" width="5.625" style="62" customWidth="1"/>
    <col min="14594" max="14595" width="15.125" style="62" customWidth="1"/>
    <col min="14596" max="14596" width="43.125" style="62" customWidth="1"/>
    <col min="14597" max="14597" width="10.625" style="62" customWidth="1"/>
    <col min="14598" max="14598" width="82.625" style="62" bestFit="1" customWidth="1"/>
    <col min="14599" max="14599" width="7.375" style="62" customWidth="1"/>
    <col min="14600" max="14848" width="9" style="62"/>
    <col min="14849" max="14849" width="5.625" style="62" customWidth="1"/>
    <col min="14850" max="14851" width="15.125" style="62" customWidth="1"/>
    <col min="14852" max="14852" width="43.125" style="62" customWidth="1"/>
    <col min="14853" max="14853" width="10.625" style="62" customWidth="1"/>
    <col min="14854" max="14854" width="82.625" style="62" bestFit="1" customWidth="1"/>
    <col min="14855" max="14855" width="7.375" style="62" customWidth="1"/>
    <col min="14856" max="15104" width="9" style="62"/>
    <col min="15105" max="15105" width="5.625" style="62" customWidth="1"/>
    <col min="15106" max="15107" width="15.125" style="62" customWidth="1"/>
    <col min="15108" max="15108" width="43.125" style="62" customWidth="1"/>
    <col min="15109" max="15109" width="10.625" style="62" customWidth="1"/>
    <col min="15110" max="15110" width="82.625" style="62" bestFit="1" customWidth="1"/>
    <col min="15111" max="15111" width="7.375" style="62" customWidth="1"/>
    <col min="15112" max="15360" width="9" style="62"/>
    <col min="15361" max="15361" width="5.625" style="62" customWidth="1"/>
    <col min="15362" max="15363" width="15.125" style="62" customWidth="1"/>
    <col min="15364" max="15364" width="43.125" style="62" customWidth="1"/>
    <col min="15365" max="15365" width="10.625" style="62" customWidth="1"/>
    <col min="15366" max="15366" width="82.625" style="62" bestFit="1" customWidth="1"/>
    <col min="15367" max="15367" width="7.375" style="62" customWidth="1"/>
    <col min="15368" max="15616" width="9" style="62"/>
    <col min="15617" max="15617" width="5.625" style="62" customWidth="1"/>
    <col min="15618" max="15619" width="15.125" style="62" customWidth="1"/>
    <col min="15620" max="15620" width="43.125" style="62" customWidth="1"/>
    <col min="15621" max="15621" width="10.625" style="62" customWidth="1"/>
    <col min="15622" max="15622" width="82.625" style="62" bestFit="1" customWidth="1"/>
    <col min="15623" max="15623" width="7.375" style="62" customWidth="1"/>
    <col min="15624" max="15872" width="9" style="62"/>
    <col min="15873" max="15873" width="5.625" style="62" customWidth="1"/>
    <col min="15874" max="15875" width="15.125" style="62" customWidth="1"/>
    <col min="15876" max="15876" width="43.125" style="62" customWidth="1"/>
    <col min="15877" max="15877" width="10.625" style="62" customWidth="1"/>
    <col min="15878" max="15878" width="82.625" style="62" bestFit="1" customWidth="1"/>
    <col min="15879" max="15879" width="7.375" style="62" customWidth="1"/>
    <col min="15880" max="16128" width="9" style="62"/>
    <col min="16129" max="16129" width="5.625" style="62" customWidth="1"/>
    <col min="16130" max="16131" width="15.125" style="62" customWidth="1"/>
    <col min="16132" max="16132" width="43.125" style="62" customWidth="1"/>
    <col min="16133" max="16133" width="10.625" style="62" customWidth="1"/>
    <col min="16134" max="16134" width="82.625" style="62" bestFit="1" customWidth="1"/>
    <col min="16135" max="16135" width="7.375" style="62" customWidth="1"/>
    <col min="16136" max="16384" width="9" style="62"/>
  </cols>
  <sheetData>
    <row r="1" spans="2:7" ht="14.25">
      <c r="F1" s="63" t="s">
        <v>1207</v>
      </c>
    </row>
    <row r="2" spans="2:7" ht="17.25">
      <c r="B2" s="65" t="s">
        <v>1208</v>
      </c>
      <c r="E2" s="66"/>
      <c r="F2" s="67">
        <v>44013</v>
      </c>
    </row>
    <row r="3" spans="2:7" ht="14.25" thickBot="1">
      <c r="F3" s="68" t="s">
        <v>1209</v>
      </c>
    </row>
    <row r="4" spans="2:7" ht="13.5" customHeight="1">
      <c r="B4" s="181" t="s">
        <v>1210</v>
      </c>
      <c r="C4" s="182"/>
      <c r="D4" s="183"/>
      <c r="E4" s="187" t="s">
        <v>1211</v>
      </c>
      <c r="F4" s="187" t="s">
        <v>1212</v>
      </c>
    </row>
    <row r="5" spans="2:7" ht="14.25" thickBot="1">
      <c r="B5" s="184"/>
      <c r="C5" s="185"/>
      <c r="D5" s="186"/>
      <c r="E5" s="188"/>
      <c r="F5" s="188"/>
    </row>
    <row r="6" spans="2:7" s="72" customFormat="1" ht="14.25" customHeight="1" thickTop="1">
      <c r="B6" s="189" t="s">
        <v>1213</v>
      </c>
      <c r="C6" s="190"/>
      <c r="D6" s="69"/>
      <c r="E6" s="13" t="s">
        <v>1515</v>
      </c>
      <c r="F6" s="70" t="s">
        <v>1214</v>
      </c>
      <c r="G6" s="71"/>
    </row>
    <row r="7" spans="2:7" s="72" customFormat="1">
      <c r="B7" s="73"/>
      <c r="C7" s="74" t="s">
        <v>1215</v>
      </c>
      <c r="D7" s="75"/>
      <c r="E7" s="18" t="s">
        <v>1072</v>
      </c>
      <c r="F7" s="76" t="s">
        <v>1216</v>
      </c>
      <c r="G7" s="71"/>
    </row>
    <row r="8" spans="2:7" s="72" customFormat="1">
      <c r="B8" s="73"/>
      <c r="C8" s="74" t="s">
        <v>1217</v>
      </c>
      <c r="D8" s="75"/>
      <c r="E8" s="18" t="s">
        <v>1074</v>
      </c>
      <c r="F8" s="76" t="s">
        <v>1218</v>
      </c>
      <c r="G8" s="71"/>
    </row>
    <row r="9" spans="2:7" s="72" customFormat="1">
      <c r="B9" s="73"/>
      <c r="C9" s="74" t="s">
        <v>1219</v>
      </c>
      <c r="D9" s="75"/>
      <c r="E9" s="18" t="s">
        <v>1075</v>
      </c>
      <c r="F9" s="76" t="s">
        <v>1220</v>
      </c>
      <c r="G9" s="71"/>
    </row>
    <row r="10" spans="2:7" s="72" customFormat="1">
      <c r="B10" s="73"/>
      <c r="C10" s="74" t="s">
        <v>1221</v>
      </c>
      <c r="D10" s="75"/>
      <c r="E10" s="18" t="s">
        <v>1078</v>
      </c>
      <c r="F10" s="76" t="s">
        <v>1222</v>
      </c>
      <c r="G10" s="71"/>
    </row>
    <row r="11" spans="2:7" s="72" customFormat="1">
      <c r="B11" s="73"/>
      <c r="C11" s="77" t="s">
        <v>1223</v>
      </c>
      <c r="D11" s="75"/>
      <c r="E11" s="18" t="s">
        <v>1079</v>
      </c>
      <c r="F11" s="76" t="s">
        <v>1224</v>
      </c>
      <c r="G11" s="71"/>
    </row>
    <row r="12" spans="2:7" s="72" customFormat="1">
      <c r="B12" s="73"/>
      <c r="C12" s="78"/>
      <c r="D12" s="79" t="s">
        <v>1225</v>
      </c>
      <c r="E12" s="18" t="s">
        <v>1081</v>
      </c>
      <c r="F12" s="76" t="s">
        <v>1226</v>
      </c>
      <c r="G12" s="71"/>
    </row>
    <row r="13" spans="2:7" s="72" customFormat="1">
      <c r="B13" s="73"/>
      <c r="C13" s="80" t="s">
        <v>1227</v>
      </c>
      <c r="D13" s="75"/>
      <c r="E13" s="18" t="s">
        <v>1082</v>
      </c>
      <c r="F13" s="76" t="s">
        <v>1228</v>
      </c>
      <c r="G13" s="71"/>
    </row>
    <row r="14" spans="2:7" s="72" customFormat="1">
      <c r="B14" s="73"/>
      <c r="C14" s="74" t="s">
        <v>1229</v>
      </c>
      <c r="D14" s="75"/>
      <c r="E14" s="18" t="s">
        <v>886</v>
      </c>
      <c r="F14" s="76" t="s">
        <v>1230</v>
      </c>
      <c r="G14" s="71"/>
    </row>
    <row r="15" spans="2:7" s="72" customFormat="1">
      <c r="B15" s="73"/>
      <c r="C15" s="74" t="s">
        <v>1231</v>
      </c>
      <c r="D15" s="75"/>
      <c r="E15" s="18" t="s">
        <v>604</v>
      </c>
      <c r="F15" s="76" t="s">
        <v>1232</v>
      </c>
      <c r="G15" s="71"/>
    </row>
    <row r="16" spans="2:7" s="72" customFormat="1">
      <c r="B16" s="73"/>
      <c r="C16" s="74" t="s">
        <v>1233</v>
      </c>
      <c r="D16" s="75"/>
      <c r="E16" s="18" t="s">
        <v>408</v>
      </c>
      <c r="F16" s="76" t="s">
        <v>1234</v>
      </c>
      <c r="G16" s="71"/>
    </row>
    <row r="17" spans="2:7" s="72" customFormat="1">
      <c r="B17" s="73"/>
      <c r="C17" s="74" t="s">
        <v>1235</v>
      </c>
      <c r="D17" s="75"/>
      <c r="E17" s="18" t="s">
        <v>1086</v>
      </c>
      <c r="F17" s="76" t="s">
        <v>1236</v>
      </c>
      <c r="G17" s="71"/>
    </row>
    <row r="18" spans="2:7" s="72" customFormat="1">
      <c r="B18" s="73"/>
      <c r="C18" s="77" t="s">
        <v>1237</v>
      </c>
      <c r="D18" s="81"/>
      <c r="E18" s="22" t="s">
        <v>1087</v>
      </c>
      <c r="F18" s="82" t="s">
        <v>1238</v>
      </c>
      <c r="G18" s="71"/>
    </row>
    <row r="19" spans="2:7" s="72" customFormat="1" ht="14.25" thickBot="1">
      <c r="B19" s="73"/>
      <c r="C19" s="77" t="s">
        <v>1239</v>
      </c>
      <c r="D19" s="81"/>
      <c r="E19" s="22" t="s">
        <v>1089</v>
      </c>
      <c r="F19" s="82" t="s">
        <v>1240</v>
      </c>
      <c r="G19" s="71"/>
    </row>
    <row r="20" spans="2:7" s="72" customFormat="1">
      <c r="B20" s="83" t="s">
        <v>1241</v>
      </c>
      <c r="C20" s="84"/>
      <c r="D20" s="85"/>
      <c r="E20" s="23" t="s">
        <v>1242</v>
      </c>
      <c r="F20" s="86" t="s">
        <v>1243</v>
      </c>
      <c r="G20" s="71"/>
    </row>
    <row r="21" spans="2:7" s="72" customFormat="1">
      <c r="B21" s="73"/>
      <c r="C21" s="74" t="s">
        <v>1244</v>
      </c>
      <c r="D21" s="75"/>
      <c r="E21" s="18" t="s">
        <v>1090</v>
      </c>
      <c r="F21" s="76" t="s">
        <v>1245</v>
      </c>
      <c r="G21" s="71"/>
    </row>
    <row r="22" spans="2:7" s="72" customFormat="1">
      <c r="B22" s="73"/>
      <c r="C22" s="74" t="s">
        <v>1246</v>
      </c>
      <c r="D22" s="75"/>
      <c r="E22" s="18" t="s">
        <v>1092</v>
      </c>
      <c r="F22" s="76" t="s">
        <v>1247</v>
      </c>
      <c r="G22" s="71"/>
    </row>
    <row r="23" spans="2:7" s="72" customFormat="1">
      <c r="B23" s="73"/>
      <c r="C23" s="74" t="s">
        <v>1248</v>
      </c>
      <c r="D23" s="75"/>
      <c r="E23" s="18" t="s">
        <v>1093</v>
      </c>
      <c r="F23" s="76" t="s">
        <v>1249</v>
      </c>
      <c r="G23" s="71"/>
    </row>
    <row r="24" spans="2:7" s="72" customFormat="1" ht="13.5" customHeight="1">
      <c r="B24" s="73"/>
      <c r="C24" s="191" t="s">
        <v>1250</v>
      </c>
      <c r="D24" s="192"/>
      <c r="E24" s="24" t="s">
        <v>1094</v>
      </c>
      <c r="F24" s="76" t="s">
        <v>1251</v>
      </c>
      <c r="G24" s="71"/>
    </row>
    <row r="25" spans="2:7" s="72" customFormat="1">
      <c r="B25" s="73"/>
      <c r="C25" s="87" t="s">
        <v>1252</v>
      </c>
      <c r="D25" s="88"/>
      <c r="E25" s="24" t="s">
        <v>1096</v>
      </c>
      <c r="F25" s="89" t="s">
        <v>1253</v>
      </c>
      <c r="G25" s="71"/>
    </row>
    <row r="26" spans="2:7" s="72" customFormat="1">
      <c r="B26" s="73"/>
      <c r="C26" s="87" t="s">
        <v>1254</v>
      </c>
      <c r="D26" s="88"/>
      <c r="E26" s="24" t="s">
        <v>1097</v>
      </c>
      <c r="F26" s="89" t="s">
        <v>1255</v>
      </c>
      <c r="G26" s="71"/>
    </row>
    <row r="27" spans="2:7" s="72" customFormat="1">
      <c r="B27" s="73"/>
      <c r="C27" s="87" t="s">
        <v>1256</v>
      </c>
      <c r="D27" s="90"/>
      <c r="E27" s="25" t="s">
        <v>1098</v>
      </c>
      <c r="F27" s="91" t="s">
        <v>1257</v>
      </c>
      <c r="G27" s="71"/>
    </row>
    <row r="28" spans="2:7" s="72" customFormat="1" ht="14.25" thickBot="1">
      <c r="B28" s="73"/>
      <c r="C28" s="77" t="s">
        <v>1258</v>
      </c>
      <c r="D28" s="81"/>
      <c r="E28" s="22" t="s">
        <v>1099</v>
      </c>
      <c r="F28" s="82" t="s">
        <v>1240</v>
      </c>
      <c r="G28" s="71"/>
    </row>
    <row r="29" spans="2:7" s="72" customFormat="1">
      <c r="B29" s="83" t="s">
        <v>1259</v>
      </c>
      <c r="C29" s="84"/>
      <c r="D29" s="85"/>
      <c r="E29" s="23" t="s">
        <v>1260</v>
      </c>
      <c r="F29" s="86" t="s">
        <v>1261</v>
      </c>
      <c r="G29" s="71"/>
    </row>
    <row r="30" spans="2:7" s="72" customFormat="1">
      <c r="B30" s="73"/>
      <c r="C30" s="74" t="s">
        <v>1262</v>
      </c>
      <c r="D30" s="75"/>
      <c r="E30" s="18" t="s">
        <v>1101</v>
      </c>
      <c r="F30" s="76" t="s">
        <v>1263</v>
      </c>
      <c r="G30" s="71"/>
    </row>
    <row r="31" spans="2:7" s="72" customFormat="1" ht="13.5" customHeight="1">
      <c r="B31" s="73"/>
      <c r="C31" s="77" t="s">
        <v>1244</v>
      </c>
      <c r="D31" s="75"/>
      <c r="E31" s="18" t="s">
        <v>47</v>
      </c>
      <c r="F31" s="76" t="s">
        <v>1245</v>
      </c>
      <c r="G31" s="71"/>
    </row>
    <row r="32" spans="2:7" s="72" customFormat="1" ht="14.25">
      <c r="B32" s="73"/>
      <c r="C32" s="92"/>
      <c r="D32" s="93" t="s">
        <v>1264</v>
      </c>
      <c r="E32" s="18" t="s">
        <v>1102</v>
      </c>
      <c r="F32" s="76" t="s">
        <v>1265</v>
      </c>
      <c r="G32" s="71"/>
    </row>
    <row r="33" spans="2:7" s="72" customFormat="1" ht="14.25">
      <c r="B33" s="73"/>
      <c r="C33" s="78"/>
      <c r="D33" s="93" t="s">
        <v>1266</v>
      </c>
      <c r="E33" s="18" t="s">
        <v>1103</v>
      </c>
      <c r="F33" s="76" t="s">
        <v>1267</v>
      </c>
      <c r="G33" s="71"/>
    </row>
    <row r="34" spans="2:7" s="72" customFormat="1">
      <c r="B34" s="73"/>
      <c r="C34" s="74" t="s">
        <v>1268</v>
      </c>
      <c r="D34" s="75"/>
      <c r="E34" s="18" t="s">
        <v>1104</v>
      </c>
      <c r="F34" s="76" t="s">
        <v>1269</v>
      </c>
      <c r="G34" s="71"/>
    </row>
    <row r="35" spans="2:7" s="72" customFormat="1">
      <c r="B35" s="73"/>
      <c r="C35" s="74" t="s">
        <v>1270</v>
      </c>
      <c r="D35" s="75"/>
      <c r="E35" s="18" t="s">
        <v>101</v>
      </c>
      <c r="F35" s="76" t="s">
        <v>1271</v>
      </c>
      <c r="G35" s="71"/>
    </row>
    <row r="36" spans="2:7" s="72" customFormat="1">
      <c r="B36" s="73"/>
      <c r="C36" s="74" t="s">
        <v>1272</v>
      </c>
      <c r="D36" s="75"/>
      <c r="E36" s="18" t="s">
        <v>1105</v>
      </c>
      <c r="F36" s="76" t="s">
        <v>1273</v>
      </c>
      <c r="G36" s="71"/>
    </row>
    <row r="37" spans="2:7" s="72" customFormat="1">
      <c r="B37" s="73"/>
      <c r="C37" s="74" t="s">
        <v>1274</v>
      </c>
      <c r="D37" s="75"/>
      <c r="E37" s="18" t="s">
        <v>32</v>
      </c>
      <c r="F37" s="76" t="s">
        <v>1275</v>
      </c>
      <c r="G37" s="71"/>
    </row>
    <row r="38" spans="2:7" s="72" customFormat="1">
      <c r="B38" s="73"/>
      <c r="C38" s="74" t="s">
        <v>1276</v>
      </c>
      <c r="D38" s="75"/>
      <c r="E38" s="18" t="s">
        <v>128</v>
      </c>
      <c r="F38" s="76" t="s">
        <v>1277</v>
      </c>
      <c r="G38" s="71"/>
    </row>
    <row r="39" spans="2:7" s="72" customFormat="1">
      <c r="B39" s="73"/>
      <c r="C39" s="77" t="s">
        <v>1278</v>
      </c>
      <c r="D39" s="75"/>
      <c r="E39" s="18" t="s">
        <v>1106</v>
      </c>
      <c r="F39" s="76" t="s">
        <v>1279</v>
      </c>
      <c r="G39" s="71"/>
    </row>
    <row r="40" spans="2:7" s="72" customFormat="1" ht="14.25">
      <c r="B40" s="73"/>
      <c r="C40" s="78"/>
      <c r="D40" s="93" t="s">
        <v>1280</v>
      </c>
      <c r="E40" s="18" t="s">
        <v>1107</v>
      </c>
      <c r="F40" s="76" t="s">
        <v>1281</v>
      </c>
      <c r="G40" s="71"/>
    </row>
    <row r="41" spans="2:7" s="72" customFormat="1" ht="14.25">
      <c r="B41" s="73"/>
      <c r="C41" s="94" t="s">
        <v>1282</v>
      </c>
      <c r="D41" s="95"/>
      <c r="E41" s="18" t="s">
        <v>1108</v>
      </c>
      <c r="F41" s="76" t="s">
        <v>1283</v>
      </c>
      <c r="G41" s="71"/>
    </row>
    <row r="42" spans="2:7" s="72" customFormat="1">
      <c r="B42" s="73"/>
      <c r="C42" s="74" t="s">
        <v>1284</v>
      </c>
      <c r="D42" s="75"/>
      <c r="E42" s="18" t="s">
        <v>1109</v>
      </c>
      <c r="F42" s="76" t="s">
        <v>1285</v>
      </c>
      <c r="G42" s="71"/>
    </row>
    <row r="43" spans="2:7" s="72" customFormat="1" ht="14.25" thickBot="1">
      <c r="B43" s="96"/>
      <c r="C43" s="97" t="s">
        <v>1239</v>
      </c>
      <c r="D43" s="98"/>
      <c r="E43" s="29" t="s">
        <v>1110</v>
      </c>
      <c r="F43" s="99" t="s">
        <v>1240</v>
      </c>
      <c r="G43" s="71"/>
    </row>
    <row r="44" spans="2:7" s="72" customFormat="1">
      <c r="B44" s="100" t="s">
        <v>1286</v>
      </c>
      <c r="C44" s="101"/>
      <c r="D44" s="102"/>
      <c r="E44" s="30" t="s">
        <v>1287</v>
      </c>
      <c r="F44" s="103" t="s">
        <v>1288</v>
      </c>
      <c r="G44" s="71"/>
    </row>
    <row r="45" spans="2:7" s="72" customFormat="1">
      <c r="B45" s="73"/>
      <c r="C45" s="74" t="s">
        <v>1289</v>
      </c>
      <c r="D45" s="75"/>
      <c r="E45" s="24" t="s">
        <v>1111</v>
      </c>
      <c r="F45" s="76" t="s">
        <v>1290</v>
      </c>
      <c r="G45" s="71"/>
    </row>
    <row r="46" spans="2:7" s="72" customFormat="1">
      <c r="B46" s="73"/>
      <c r="C46" s="74" t="s">
        <v>1291</v>
      </c>
      <c r="D46" s="75"/>
      <c r="E46" s="18" t="s">
        <v>1112</v>
      </c>
      <c r="F46" s="104" t="s">
        <v>1292</v>
      </c>
      <c r="G46" s="71"/>
    </row>
    <row r="47" spans="2:7" s="72" customFormat="1">
      <c r="B47" s="73"/>
      <c r="C47" s="74" t="s">
        <v>1293</v>
      </c>
      <c r="D47" s="75"/>
      <c r="E47" s="18" t="s">
        <v>1113</v>
      </c>
      <c r="F47" s="76" t="s">
        <v>1294</v>
      </c>
      <c r="G47" s="71"/>
    </row>
    <row r="48" spans="2:7" s="72" customFormat="1" ht="14.25" thickBot="1">
      <c r="B48" s="73"/>
      <c r="C48" s="77" t="s">
        <v>1239</v>
      </c>
      <c r="D48" s="81"/>
      <c r="E48" s="22" t="s">
        <v>1114</v>
      </c>
      <c r="F48" s="99" t="s">
        <v>1240</v>
      </c>
      <c r="G48" s="71"/>
    </row>
    <row r="49" spans="2:7" s="72" customFormat="1">
      <c r="B49" s="83" t="s">
        <v>1295</v>
      </c>
      <c r="C49" s="84"/>
      <c r="D49" s="85"/>
      <c r="E49" s="23" t="s">
        <v>1296</v>
      </c>
      <c r="F49" s="86" t="s">
        <v>1297</v>
      </c>
      <c r="G49" s="71"/>
    </row>
    <row r="50" spans="2:7" s="72" customFormat="1">
      <c r="B50" s="73"/>
      <c r="C50" s="74" t="s">
        <v>1298</v>
      </c>
      <c r="D50" s="75"/>
      <c r="E50" s="24" t="s">
        <v>1115</v>
      </c>
      <c r="F50" s="76" t="s">
        <v>1299</v>
      </c>
      <c r="G50" s="71"/>
    </row>
    <row r="51" spans="2:7" s="72" customFormat="1">
      <c r="B51" s="73"/>
      <c r="C51" s="74" t="s">
        <v>1300</v>
      </c>
      <c r="D51" s="75"/>
      <c r="E51" s="18" t="s">
        <v>368</v>
      </c>
      <c r="F51" s="76" t="s">
        <v>1301</v>
      </c>
      <c r="G51" s="71"/>
    </row>
    <row r="52" spans="2:7" s="72" customFormat="1">
      <c r="B52" s="73"/>
      <c r="C52" s="74" t="s">
        <v>1302</v>
      </c>
      <c r="D52" s="75"/>
      <c r="E52" s="18" t="s">
        <v>1116</v>
      </c>
      <c r="F52" s="76" t="s">
        <v>1303</v>
      </c>
      <c r="G52" s="71"/>
    </row>
    <row r="53" spans="2:7" s="72" customFormat="1" ht="14.25" thickBot="1">
      <c r="B53" s="96"/>
      <c r="C53" s="97" t="s">
        <v>1239</v>
      </c>
      <c r="D53" s="98"/>
      <c r="E53" s="29" t="s">
        <v>1117</v>
      </c>
      <c r="F53" s="99" t="s">
        <v>1240</v>
      </c>
      <c r="G53" s="71"/>
    </row>
    <row r="54" spans="2:7" s="72" customFormat="1">
      <c r="B54" s="100" t="s">
        <v>1304</v>
      </c>
      <c r="C54" s="101"/>
      <c r="D54" s="102"/>
      <c r="E54" s="30" t="s">
        <v>1305</v>
      </c>
      <c r="F54" s="103" t="s">
        <v>1306</v>
      </c>
      <c r="G54" s="71"/>
    </row>
    <row r="55" spans="2:7" s="72" customFormat="1">
      <c r="B55" s="73"/>
      <c r="C55" s="74" t="s">
        <v>1307</v>
      </c>
      <c r="D55" s="75"/>
      <c r="E55" s="18" t="s">
        <v>1118</v>
      </c>
      <c r="F55" s="76" t="s">
        <v>1308</v>
      </c>
      <c r="G55" s="71"/>
    </row>
    <row r="56" spans="2:7" s="72" customFormat="1">
      <c r="B56" s="73"/>
      <c r="C56" s="74" t="s">
        <v>1309</v>
      </c>
      <c r="D56" s="75"/>
      <c r="E56" s="18" t="s">
        <v>1119</v>
      </c>
      <c r="F56" s="76" t="s">
        <v>1310</v>
      </c>
      <c r="G56" s="71"/>
    </row>
    <row r="57" spans="2:7" s="72" customFormat="1">
      <c r="B57" s="73"/>
      <c r="C57" s="105" t="s">
        <v>1311</v>
      </c>
      <c r="D57" s="88"/>
      <c r="E57" s="18" t="s">
        <v>1120</v>
      </c>
      <c r="F57" s="76" t="s">
        <v>1312</v>
      </c>
      <c r="G57" s="71"/>
    </row>
    <row r="58" spans="2:7" s="72" customFormat="1">
      <c r="B58" s="73"/>
      <c r="C58" s="74" t="s">
        <v>1313</v>
      </c>
      <c r="D58" s="75"/>
      <c r="E58" s="18" t="s">
        <v>1121</v>
      </c>
      <c r="F58" s="76" t="s">
        <v>1314</v>
      </c>
      <c r="G58" s="71"/>
    </row>
    <row r="59" spans="2:7" s="72" customFormat="1">
      <c r="B59" s="73"/>
      <c r="C59" s="74" t="s">
        <v>1315</v>
      </c>
      <c r="D59" s="75"/>
      <c r="E59" s="18" t="s">
        <v>1122</v>
      </c>
      <c r="F59" s="76" t="s">
        <v>1316</v>
      </c>
      <c r="G59" s="71"/>
    </row>
    <row r="60" spans="2:7" s="72" customFormat="1" ht="14.25" thickBot="1">
      <c r="B60" s="73"/>
      <c r="C60" s="106" t="s">
        <v>1258</v>
      </c>
      <c r="D60" s="107"/>
      <c r="E60" s="22" t="s">
        <v>1123</v>
      </c>
      <c r="F60" s="82" t="s">
        <v>1240</v>
      </c>
      <c r="G60" s="71"/>
    </row>
    <row r="61" spans="2:7" s="72" customFormat="1">
      <c r="B61" s="83" t="s">
        <v>1317</v>
      </c>
      <c r="C61" s="84"/>
      <c r="D61" s="85"/>
      <c r="E61" s="23" t="s">
        <v>1318</v>
      </c>
      <c r="F61" s="86" t="s">
        <v>1319</v>
      </c>
      <c r="G61" s="71"/>
    </row>
    <row r="62" spans="2:7" s="72" customFormat="1">
      <c r="B62" s="73"/>
      <c r="C62" s="108" t="s">
        <v>1320</v>
      </c>
      <c r="D62" s="109"/>
      <c r="E62" s="18" t="s">
        <v>1124</v>
      </c>
      <c r="F62" s="76" t="s">
        <v>1321</v>
      </c>
      <c r="G62" s="71"/>
    </row>
    <row r="63" spans="2:7" s="72" customFormat="1">
      <c r="B63" s="73"/>
      <c r="C63" s="74" t="s">
        <v>1322</v>
      </c>
      <c r="D63" s="75"/>
      <c r="E63" s="18" t="s">
        <v>1125</v>
      </c>
      <c r="F63" s="76" t="s">
        <v>1323</v>
      </c>
      <c r="G63" s="71"/>
    </row>
    <row r="64" spans="2:7" s="72" customFormat="1">
      <c r="B64" s="73"/>
      <c r="C64" s="74" t="s">
        <v>1324</v>
      </c>
      <c r="D64" s="75"/>
      <c r="E64" s="18" t="s">
        <v>1126</v>
      </c>
      <c r="F64" s="76" t="s">
        <v>1325</v>
      </c>
      <c r="G64" s="71"/>
    </row>
    <row r="65" spans="2:7" s="72" customFormat="1">
      <c r="B65" s="73"/>
      <c r="C65" s="87" t="s">
        <v>1326</v>
      </c>
      <c r="D65" s="90"/>
      <c r="E65" s="24" t="s">
        <v>1127</v>
      </c>
      <c r="F65" s="91" t="s">
        <v>1327</v>
      </c>
      <c r="G65" s="71"/>
    </row>
    <row r="66" spans="2:7" s="72" customFormat="1">
      <c r="B66" s="73"/>
      <c r="C66" s="106" t="s">
        <v>1328</v>
      </c>
      <c r="D66" s="107"/>
      <c r="E66" s="22" t="s">
        <v>1128</v>
      </c>
      <c r="F66" s="82" t="s">
        <v>1329</v>
      </c>
      <c r="G66" s="71"/>
    </row>
    <row r="67" spans="2:7" s="72" customFormat="1" ht="14.25" thickBot="1">
      <c r="B67" s="73"/>
      <c r="C67" s="106" t="s">
        <v>1258</v>
      </c>
      <c r="D67" s="107"/>
      <c r="E67" s="22" t="s">
        <v>1129</v>
      </c>
      <c r="F67" s="82" t="s">
        <v>1330</v>
      </c>
      <c r="G67" s="71"/>
    </row>
    <row r="68" spans="2:7" s="72" customFormat="1">
      <c r="B68" s="83" t="s">
        <v>1331</v>
      </c>
      <c r="C68" s="84"/>
      <c r="D68" s="85"/>
      <c r="E68" s="23" t="s">
        <v>1332</v>
      </c>
      <c r="F68" s="86" t="s">
        <v>1333</v>
      </c>
      <c r="G68" s="71"/>
    </row>
    <row r="69" spans="2:7" s="72" customFormat="1">
      <c r="B69" s="73"/>
      <c r="C69" s="74" t="s">
        <v>1334</v>
      </c>
      <c r="D69" s="75"/>
      <c r="E69" s="18" t="s">
        <v>1130</v>
      </c>
      <c r="F69" s="76" t="s">
        <v>1335</v>
      </c>
      <c r="G69" s="71"/>
    </row>
    <row r="70" spans="2:7" s="72" customFormat="1">
      <c r="B70" s="73"/>
      <c r="C70" s="74" t="s">
        <v>1336</v>
      </c>
      <c r="D70" s="75"/>
      <c r="E70" s="18" t="s">
        <v>1131</v>
      </c>
      <c r="F70" s="76" t="s">
        <v>1337</v>
      </c>
      <c r="G70" s="71"/>
    </row>
    <row r="71" spans="2:7" s="72" customFormat="1">
      <c r="B71" s="73"/>
      <c r="C71" s="74" t="s">
        <v>1338</v>
      </c>
      <c r="D71" s="75"/>
      <c r="E71" s="18" t="s">
        <v>1132</v>
      </c>
      <c r="F71" s="104" t="s">
        <v>1339</v>
      </c>
      <c r="G71" s="71"/>
    </row>
    <row r="72" spans="2:7" s="72" customFormat="1" ht="14.25" thickBot="1">
      <c r="B72" s="96"/>
      <c r="C72" s="110" t="s">
        <v>1258</v>
      </c>
      <c r="D72" s="111"/>
      <c r="E72" s="29" t="s">
        <v>1133</v>
      </c>
      <c r="F72" s="99" t="s">
        <v>1240</v>
      </c>
      <c r="G72" s="71"/>
    </row>
    <row r="73" spans="2:7" s="72" customFormat="1">
      <c r="B73" s="100" t="s">
        <v>1340</v>
      </c>
      <c r="C73" s="101"/>
      <c r="D73" s="102"/>
      <c r="E73" s="30" t="s">
        <v>1341</v>
      </c>
      <c r="F73" s="103" t="s">
        <v>1342</v>
      </c>
      <c r="G73" s="71"/>
    </row>
    <row r="74" spans="2:7" s="72" customFormat="1">
      <c r="B74" s="73"/>
      <c r="C74" s="108" t="s">
        <v>1343</v>
      </c>
      <c r="D74" s="109"/>
      <c r="E74" s="18" t="s">
        <v>1134</v>
      </c>
      <c r="F74" s="76" t="s">
        <v>1344</v>
      </c>
      <c r="G74" s="71"/>
    </row>
    <row r="75" spans="2:7" s="72" customFormat="1">
      <c r="B75" s="73"/>
      <c r="C75" s="74" t="s">
        <v>1345</v>
      </c>
      <c r="D75" s="75"/>
      <c r="E75" s="18" t="s">
        <v>1135</v>
      </c>
      <c r="F75" s="76" t="s">
        <v>1346</v>
      </c>
      <c r="G75" s="71"/>
    </row>
    <row r="76" spans="2:7" s="72" customFormat="1">
      <c r="B76" s="73"/>
      <c r="C76" s="74" t="s">
        <v>1347</v>
      </c>
      <c r="D76" s="75"/>
      <c r="E76" s="18" t="s">
        <v>1136</v>
      </c>
      <c r="F76" s="76" t="s">
        <v>1348</v>
      </c>
      <c r="G76" s="71"/>
    </row>
    <row r="77" spans="2:7" s="72" customFormat="1" ht="14.25" thickBot="1">
      <c r="B77" s="73"/>
      <c r="C77" s="106" t="s">
        <v>1258</v>
      </c>
      <c r="D77" s="107"/>
      <c r="E77" s="22" t="s">
        <v>1137</v>
      </c>
      <c r="F77" s="82" t="s">
        <v>1240</v>
      </c>
      <c r="G77" s="71"/>
    </row>
    <row r="78" spans="2:7" s="72" customFormat="1">
      <c r="B78" s="83" t="s">
        <v>1349</v>
      </c>
      <c r="C78" s="84"/>
      <c r="D78" s="85"/>
      <c r="E78" s="31" t="s">
        <v>1350</v>
      </c>
      <c r="F78" s="112" t="s">
        <v>1351</v>
      </c>
      <c r="G78" s="71"/>
    </row>
    <row r="79" spans="2:7" s="72" customFormat="1">
      <c r="B79" s="73"/>
      <c r="C79" s="108" t="s">
        <v>1352</v>
      </c>
      <c r="D79" s="109"/>
      <c r="E79" s="25" t="s">
        <v>1138</v>
      </c>
      <c r="F79" s="91" t="s">
        <v>1353</v>
      </c>
      <c r="G79" s="71"/>
    </row>
    <row r="80" spans="2:7" s="72" customFormat="1" ht="14.25" thickBot="1">
      <c r="B80" s="73"/>
      <c r="C80" s="108" t="s">
        <v>1354</v>
      </c>
      <c r="D80" s="109"/>
      <c r="E80" s="32" t="s">
        <v>1139</v>
      </c>
      <c r="F80" s="113" t="s">
        <v>1330</v>
      </c>
      <c r="G80" s="71"/>
    </row>
    <row r="81" spans="2:7" s="72" customFormat="1">
      <c r="B81" s="83" t="s">
        <v>1355</v>
      </c>
      <c r="C81" s="84"/>
      <c r="D81" s="85"/>
      <c r="E81" s="23" t="s">
        <v>1356</v>
      </c>
      <c r="F81" s="86" t="s">
        <v>1357</v>
      </c>
      <c r="G81" s="71"/>
    </row>
    <row r="82" spans="2:7" s="72" customFormat="1">
      <c r="B82" s="73"/>
      <c r="C82" s="74" t="s">
        <v>1358</v>
      </c>
      <c r="D82" s="75"/>
      <c r="E82" s="18" t="s">
        <v>1140</v>
      </c>
      <c r="F82" s="76" t="s">
        <v>1359</v>
      </c>
      <c r="G82" s="71"/>
    </row>
    <row r="83" spans="2:7" s="72" customFormat="1">
      <c r="B83" s="73"/>
      <c r="C83" s="77" t="s">
        <v>1360</v>
      </c>
      <c r="D83" s="81"/>
      <c r="E83" s="22" t="s">
        <v>1141</v>
      </c>
      <c r="F83" s="91" t="s">
        <v>1361</v>
      </c>
      <c r="G83" s="71"/>
    </row>
    <row r="84" spans="2:7" s="72" customFormat="1">
      <c r="B84" s="73"/>
      <c r="C84" s="77" t="s">
        <v>1362</v>
      </c>
      <c r="D84" s="81"/>
      <c r="E84" s="22" t="s">
        <v>1142</v>
      </c>
      <c r="F84" s="91" t="s">
        <v>1363</v>
      </c>
      <c r="G84" s="71"/>
    </row>
    <row r="85" spans="2:7" s="72" customFormat="1">
      <c r="B85" s="73"/>
      <c r="C85" s="77" t="s">
        <v>1364</v>
      </c>
      <c r="D85" s="81"/>
      <c r="E85" s="22" t="s">
        <v>1143</v>
      </c>
      <c r="F85" s="91" t="s">
        <v>1365</v>
      </c>
      <c r="G85" s="71"/>
    </row>
    <row r="86" spans="2:7" s="72" customFormat="1" ht="14.25" thickBot="1">
      <c r="B86" s="96"/>
      <c r="C86" s="110" t="s">
        <v>1258</v>
      </c>
      <c r="D86" s="111"/>
      <c r="E86" s="29" t="s">
        <v>1144</v>
      </c>
      <c r="F86" s="99" t="s">
        <v>1240</v>
      </c>
      <c r="G86" s="71"/>
    </row>
    <row r="87" spans="2:7" s="72" customFormat="1" ht="14.25" thickBot="1">
      <c r="B87" s="114" t="s">
        <v>1366</v>
      </c>
      <c r="C87" s="115"/>
      <c r="D87" s="116"/>
      <c r="E87" s="33" t="s">
        <v>1367</v>
      </c>
      <c r="F87" s="117" t="s">
        <v>1368</v>
      </c>
      <c r="G87" s="71"/>
    </row>
    <row r="88" spans="2:7" s="72" customFormat="1">
      <c r="B88" s="83" t="s">
        <v>1369</v>
      </c>
      <c r="C88" s="84"/>
      <c r="D88" s="85"/>
      <c r="E88" s="31" t="s">
        <v>1370</v>
      </c>
      <c r="F88" s="112" t="s">
        <v>1371</v>
      </c>
      <c r="G88" s="71"/>
    </row>
    <row r="89" spans="2:7" s="72" customFormat="1">
      <c r="B89" s="73"/>
      <c r="C89" s="105" t="s">
        <v>1372</v>
      </c>
      <c r="D89" s="88"/>
      <c r="E89" s="25" t="s">
        <v>1145</v>
      </c>
      <c r="F89" s="91" t="s">
        <v>1321</v>
      </c>
      <c r="G89" s="71"/>
    </row>
    <row r="90" spans="2:7" s="72" customFormat="1">
      <c r="B90" s="73"/>
      <c r="C90" s="105" t="s">
        <v>1373</v>
      </c>
      <c r="D90" s="88"/>
      <c r="E90" s="25" t="s">
        <v>1146</v>
      </c>
      <c r="F90" s="91" t="s">
        <v>1263</v>
      </c>
      <c r="G90" s="71"/>
    </row>
    <row r="91" spans="2:7" s="72" customFormat="1" ht="14.25" thickBot="1">
      <c r="B91" s="73"/>
      <c r="C91" s="106" t="s">
        <v>1354</v>
      </c>
      <c r="D91" s="107"/>
      <c r="E91" s="25" t="s">
        <v>1147</v>
      </c>
      <c r="F91" s="113" t="s">
        <v>1330</v>
      </c>
      <c r="G91" s="71"/>
    </row>
    <row r="92" spans="2:7" s="72" customFormat="1">
      <c r="B92" s="83" t="s">
        <v>1374</v>
      </c>
      <c r="C92" s="118"/>
      <c r="D92" s="119"/>
      <c r="E92" s="31" t="s">
        <v>1375</v>
      </c>
      <c r="F92" s="120" t="s">
        <v>1376</v>
      </c>
      <c r="G92" s="71"/>
    </row>
    <row r="93" spans="2:7" s="72" customFormat="1">
      <c r="B93" s="73"/>
      <c r="C93" s="74" t="s">
        <v>1377</v>
      </c>
      <c r="D93" s="75"/>
      <c r="E93" s="18" t="s">
        <v>1148</v>
      </c>
      <c r="F93" s="76" t="s">
        <v>1378</v>
      </c>
      <c r="G93" s="71"/>
    </row>
    <row r="94" spans="2:7" s="72" customFormat="1">
      <c r="B94" s="73"/>
      <c r="C94" s="74" t="s">
        <v>1379</v>
      </c>
      <c r="D94" s="75"/>
      <c r="E94" s="18" t="s">
        <v>1149</v>
      </c>
      <c r="F94" s="76" t="s">
        <v>1380</v>
      </c>
      <c r="G94" s="71"/>
    </row>
    <row r="95" spans="2:7" s="72" customFormat="1">
      <c r="B95" s="73"/>
      <c r="C95" s="77" t="s">
        <v>1381</v>
      </c>
      <c r="D95" s="75"/>
      <c r="E95" s="18" t="s">
        <v>1150</v>
      </c>
      <c r="F95" s="76" t="s">
        <v>1382</v>
      </c>
      <c r="G95" s="71"/>
    </row>
    <row r="96" spans="2:7" s="72" customFormat="1" ht="14.25" thickBot="1">
      <c r="B96" s="96"/>
      <c r="C96" s="97" t="s">
        <v>1383</v>
      </c>
      <c r="D96" s="98"/>
      <c r="E96" s="29" t="s">
        <v>1151</v>
      </c>
      <c r="F96" s="99" t="s">
        <v>1240</v>
      </c>
      <c r="G96" s="71"/>
    </row>
    <row r="97" spans="2:9" s="72" customFormat="1" ht="14.25" thickBot="1">
      <c r="B97" s="100" t="s">
        <v>1384</v>
      </c>
      <c r="C97" s="121"/>
      <c r="D97" s="122"/>
      <c r="E97" s="34" t="s">
        <v>1385</v>
      </c>
      <c r="F97" s="120" t="s">
        <v>1386</v>
      </c>
      <c r="G97" s="71"/>
    </row>
    <row r="98" spans="2:9" s="72" customFormat="1">
      <c r="B98" s="83" t="s">
        <v>1387</v>
      </c>
      <c r="C98" s="84"/>
      <c r="D98" s="85"/>
      <c r="E98" s="23" t="s">
        <v>1388</v>
      </c>
      <c r="F98" s="86" t="s">
        <v>1389</v>
      </c>
      <c r="G98" s="71"/>
    </row>
    <row r="99" spans="2:9" s="72" customFormat="1">
      <c r="B99" s="73"/>
      <c r="C99" s="108" t="s">
        <v>1390</v>
      </c>
      <c r="D99" s="109"/>
      <c r="E99" s="18" t="s">
        <v>1152</v>
      </c>
      <c r="F99" s="76" t="s">
        <v>1391</v>
      </c>
      <c r="G99" s="71"/>
      <c r="I99" s="62"/>
    </row>
    <row r="100" spans="2:9" s="72" customFormat="1">
      <c r="B100" s="73"/>
      <c r="C100" s="108" t="s">
        <v>1392</v>
      </c>
      <c r="D100" s="109"/>
      <c r="E100" s="18" t="s">
        <v>1153</v>
      </c>
      <c r="F100" s="76" t="s">
        <v>1393</v>
      </c>
      <c r="G100" s="71"/>
    </row>
    <row r="101" spans="2:9" s="72" customFormat="1">
      <c r="B101" s="73"/>
      <c r="C101" s="106" t="s">
        <v>1394</v>
      </c>
      <c r="D101" s="107"/>
      <c r="E101" s="18" t="s">
        <v>1154</v>
      </c>
      <c r="F101" s="76" t="s">
        <v>1395</v>
      </c>
      <c r="G101" s="71"/>
    </row>
    <row r="102" spans="2:9" s="72" customFormat="1" ht="14.25" thickBot="1">
      <c r="B102" s="96"/>
      <c r="C102" s="110" t="s">
        <v>1396</v>
      </c>
      <c r="D102" s="111"/>
      <c r="E102" s="29" t="s">
        <v>1155</v>
      </c>
      <c r="F102" s="99" t="s">
        <v>1397</v>
      </c>
      <c r="G102" s="71"/>
    </row>
    <row r="103" spans="2:9" s="72" customFormat="1">
      <c r="B103" s="100" t="s">
        <v>1209</v>
      </c>
      <c r="C103" s="101"/>
      <c r="D103" s="102"/>
      <c r="E103" s="30" t="s">
        <v>1398</v>
      </c>
      <c r="F103" s="103" t="s">
        <v>1399</v>
      </c>
      <c r="G103" s="71"/>
    </row>
    <row r="104" spans="2:9" s="72" customFormat="1">
      <c r="B104" s="73"/>
      <c r="C104" s="108" t="s">
        <v>1400</v>
      </c>
      <c r="D104" s="109"/>
      <c r="E104" s="18" t="s">
        <v>1156</v>
      </c>
      <c r="F104" s="76" t="s">
        <v>1401</v>
      </c>
      <c r="G104" s="71"/>
    </row>
    <row r="105" spans="2:9" s="72" customFormat="1">
      <c r="B105" s="73"/>
      <c r="C105" s="105" t="s">
        <v>1402</v>
      </c>
      <c r="D105" s="88"/>
      <c r="E105" s="24" t="s">
        <v>1157</v>
      </c>
      <c r="F105" s="89" t="s">
        <v>1403</v>
      </c>
      <c r="G105" s="71"/>
    </row>
    <row r="106" spans="2:9" s="72" customFormat="1">
      <c r="B106" s="73"/>
      <c r="C106" s="105" t="s">
        <v>1404</v>
      </c>
      <c r="D106" s="88"/>
      <c r="E106" s="24" t="s">
        <v>1158</v>
      </c>
      <c r="F106" s="89" t="s">
        <v>1405</v>
      </c>
      <c r="G106" s="71"/>
    </row>
    <row r="107" spans="2:9" s="72" customFormat="1">
      <c r="B107" s="73"/>
      <c r="C107" s="105" t="s">
        <v>1406</v>
      </c>
      <c r="D107" s="88"/>
      <c r="E107" s="24" t="s">
        <v>1159</v>
      </c>
      <c r="F107" s="89" t="s">
        <v>1321</v>
      </c>
      <c r="G107" s="71"/>
    </row>
    <row r="108" spans="2:9" s="72" customFormat="1">
      <c r="B108" s="73"/>
      <c r="C108" s="108" t="s">
        <v>1407</v>
      </c>
      <c r="D108" s="109"/>
      <c r="E108" s="18" t="s">
        <v>1160</v>
      </c>
      <c r="F108" s="76" t="s">
        <v>1408</v>
      </c>
      <c r="G108" s="71"/>
    </row>
    <row r="109" spans="2:9" s="72" customFormat="1">
      <c r="B109" s="73"/>
      <c r="C109" s="74" t="s">
        <v>1409</v>
      </c>
      <c r="D109" s="75"/>
      <c r="E109" s="18" t="s">
        <v>1410</v>
      </c>
      <c r="F109" s="76" t="s">
        <v>1411</v>
      </c>
      <c r="G109" s="71"/>
    </row>
    <row r="110" spans="2:9" s="72" customFormat="1">
      <c r="B110" s="73"/>
      <c r="C110" s="74" t="s">
        <v>1412</v>
      </c>
      <c r="D110" s="75"/>
      <c r="E110" s="18" t="s">
        <v>1161</v>
      </c>
      <c r="F110" s="76" t="s">
        <v>1413</v>
      </c>
      <c r="G110" s="71"/>
    </row>
    <row r="111" spans="2:9" s="72" customFormat="1">
      <c r="B111" s="73"/>
      <c r="C111" s="77" t="s">
        <v>1414</v>
      </c>
      <c r="D111" s="81"/>
      <c r="E111" s="22" t="s">
        <v>1162</v>
      </c>
      <c r="F111" s="82" t="s">
        <v>1415</v>
      </c>
      <c r="G111" s="71"/>
    </row>
    <row r="112" spans="2:9" s="72" customFormat="1" ht="14.25" thickBot="1">
      <c r="B112" s="73"/>
      <c r="C112" s="77" t="s">
        <v>1416</v>
      </c>
      <c r="D112" s="81"/>
      <c r="E112" s="22" t="s">
        <v>1163</v>
      </c>
      <c r="F112" s="82" t="s">
        <v>1417</v>
      </c>
      <c r="G112" s="71"/>
    </row>
    <row r="113" spans="1:7" s="72" customFormat="1">
      <c r="B113" s="83" t="s">
        <v>1418</v>
      </c>
      <c r="C113" s="84"/>
      <c r="D113" s="85"/>
      <c r="E113" s="23" t="s">
        <v>1419</v>
      </c>
      <c r="F113" s="86" t="s">
        <v>1420</v>
      </c>
      <c r="G113" s="71"/>
    </row>
    <row r="114" spans="1:7">
      <c r="A114" s="72"/>
      <c r="B114" s="73"/>
      <c r="C114" s="74" t="s">
        <v>1421</v>
      </c>
      <c r="D114" s="75"/>
      <c r="E114" s="18" t="s">
        <v>1164</v>
      </c>
      <c r="F114" s="76" t="s">
        <v>1422</v>
      </c>
      <c r="G114" s="71"/>
    </row>
    <row r="115" spans="1:7">
      <c r="A115" s="72"/>
      <c r="B115" s="73"/>
      <c r="C115" s="74" t="s">
        <v>1423</v>
      </c>
      <c r="D115" s="75"/>
      <c r="E115" s="18" t="s">
        <v>1165</v>
      </c>
      <c r="F115" s="76" t="s">
        <v>1424</v>
      </c>
      <c r="G115" s="71"/>
    </row>
    <row r="116" spans="1:7">
      <c r="A116" s="72"/>
      <c r="B116" s="73"/>
      <c r="C116" s="74" t="s">
        <v>1425</v>
      </c>
      <c r="D116" s="75"/>
      <c r="E116" s="18" t="s">
        <v>1166</v>
      </c>
      <c r="F116" s="76" t="s">
        <v>1426</v>
      </c>
      <c r="G116" s="71"/>
    </row>
    <row r="117" spans="1:7" ht="14.25" thickBot="1">
      <c r="A117" s="72"/>
      <c r="B117" s="73"/>
      <c r="C117" s="77" t="s">
        <v>1427</v>
      </c>
      <c r="D117" s="81"/>
      <c r="E117" s="22" t="s">
        <v>1167</v>
      </c>
      <c r="F117" s="82" t="s">
        <v>1428</v>
      </c>
      <c r="G117" s="71"/>
    </row>
    <row r="118" spans="1:7">
      <c r="A118" s="72"/>
      <c r="B118" s="83" t="s">
        <v>1429</v>
      </c>
      <c r="C118" s="84"/>
      <c r="D118" s="85"/>
      <c r="E118" s="23" t="s">
        <v>545</v>
      </c>
      <c r="F118" s="86" t="s">
        <v>1430</v>
      </c>
      <c r="G118" s="71"/>
    </row>
    <row r="119" spans="1:7" ht="14.25" thickBot="1">
      <c r="A119" s="72"/>
      <c r="B119" s="96"/>
      <c r="C119" s="97" t="s">
        <v>1431</v>
      </c>
      <c r="D119" s="98"/>
      <c r="E119" s="29" t="s">
        <v>1168</v>
      </c>
      <c r="F119" s="99" t="s">
        <v>1432</v>
      </c>
      <c r="G119" s="71"/>
    </row>
    <row r="120" spans="1:7" ht="14.25" thickBot="1">
      <c r="A120" s="72"/>
      <c r="B120" s="100" t="s">
        <v>1433</v>
      </c>
      <c r="C120" s="121"/>
      <c r="D120" s="122"/>
      <c r="E120" s="34" t="s">
        <v>1434</v>
      </c>
      <c r="F120" s="120" t="s">
        <v>1435</v>
      </c>
      <c r="G120" s="71"/>
    </row>
    <row r="121" spans="1:7" ht="14.25" thickBot="1">
      <c r="A121" s="72"/>
      <c r="B121" s="114" t="s">
        <v>1436</v>
      </c>
      <c r="C121" s="115"/>
      <c r="D121" s="116"/>
      <c r="E121" s="33" t="s">
        <v>1437</v>
      </c>
      <c r="F121" s="117" t="s">
        <v>1438</v>
      </c>
      <c r="G121" s="71"/>
    </row>
    <row r="122" spans="1:7">
      <c r="G122" s="13" t="s">
        <v>1515</v>
      </c>
    </row>
    <row r="123" spans="1:7">
      <c r="G123" s="18" t="s">
        <v>1072</v>
      </c>
    </row>
    <row r="124" spans="1:7">
      <c r="G124" s="18" t="s">
        <v>1074</v>
      </c>
    </row>
    <row r="125" spans="1:7">
      <c r="G125" s="18" t="s">
        <v>1075</v>
      </c>
    </row>
    <row r="126" spans="1:7">
      <c r="G126" s="18" t="s">
        <v>1078</v>
      </c>
    </row>
    <row r="127" spans="1:7">
      <c r="G127" s="18" t="s">
        <v>1079</v>
      </c>
    </row>
    <row r="128" spans="1:7">
      <c r="G128" s="18" t="s">
        <v>1081</v>
      </c>
    </row>
    <row r="129" spans="7:7">
      <c r="G129" s="18" t="s">
        <v>1082</v>
      </c>
    </row>
    <row r="130" spans="7:7">
      <c r="G130" s="18" t="s">
        <v>886</v>
      </c>
    </row>
    <row r="131" spans="7:7">
      <c r="G131" s="18" t="s">
        <v>604</v>
      </c>
    </row>
    <row r="132" spans="7:7">
      <c r="G132" s="18" t="s">
        <v>408</v>
      </c>
    </row>
    <row r="133" spans="7:7">
      <c r="G133" s="18" t="s">
        <v>1086</v>
      </c>
    </row>
    <row r="134" spans="7:7">
      <c r="G134" s="22" t="s">
        <v>1087</v>
      </c>
    </row>
    <row r="135" spans="7:7" ht="14.25" thickBot="1">
      <c r="G135" s="22" t="s">
        <v>1089</v>
      </c>
    </row>
    <row r="136" spans="7:7">
      <c r="G136" s="23" t="s">
        <v>1242</v>
      </c>
    </row>
    <row r="137" spans="7:7">
      <c r="G137" s="18" t="s">
        <v>1090</v>
      </c>
    </row>
    <row r="138" spans="7:7">
      <c r="G138" s="18" t="s">
        <v>1092</v>
      </c>
    </row>
    <row r="139" spans="7:7">
      <c r="G139" s="18" t="s">
        <v>1093</v>
      </c>
    </row>
    <row r="140" spans="7:7">
      <c r="G140" s="24" t="s">
        <v>1094</v>
      </c>
    </row>
    <row r="141" spans="7:7">
      <c r="G141" s="24" t="s">
        <v>1096</v>
      </c>
    </row>
    <row r="142" spans="7:7">
      <c r="G142" s="24" t="s">
        <v>1097</v>
      </c>
    </row>
    <row r="143" spans="7:7">
      <c r="G143" s="25" t="s">
        <v>1098</v>
      </c>
    </row>
    <row r="144" spans="7:7" ht="14.25" thickBot="1">
      <c r="G144" s="22" t="s">
        <v>1099</v>
      </c>
    </row>
    <row r="145" spans="7:7">
      <c r="G145" s="23" t="s">
        <v>1260</v>
      </c>
    </row>
    <row r="146" spans="7:7">
      <c r="G146" s="18" t="s">
        <v>1101</v>
      </c>
    </row>
    <row r="147" spans="7:7">
      <c r="G147" s="18" t="s">
        <v>47</v>
      </c>
    </row>
    <row r="148" spans="7:7">
      <c r="G148" s="18" t="s">
        <v>1102</v>
      </c>
    </row>
    <row r="149" spans="7:7">
      <c r="G149" s="18" t="s">
        <v>1103</v>
      </c>
    </row>
    <row r="150" spans="7:7">
      <c r="G150" s="18" t="s">
        <v>1104</v>
      </c>
    </row>
    <row r="151" spans="7:7">
      <c r="G151" s="18" t="s">
        <v>101</v>
      </c>
    </row>
    <row r="152" spans="7:7">
      <c r="G152" s="18" t="s">
        <v>1105</v>
      </c>
    </row>
    <row r="153" spans="7:7">
      <c r="G153" s="18" t="s">
        <v>32</v>
      </c>
    </row>
    <row r="154" spans="7:7">
      <c r="G154" s="18" t="s">
        <v>128</v>
      </c>
    </row>
    <row r="155" spans="7:7">
      <c r="G155" s="18" t="s">
        <v>1106</v>
      </c>
    </row>
    <row r="156" spans="7:7">
      <c r="G156" s="18" t="s">
        <v>1107</v>
      </c>
    </row>
    <row r="157" spans="7:7">
      <c r="G157" s="18" t="s">
        <v>1108</v>
      </c>
    </row>
    <row r="158" spans="7:7">
      <c r="G158" s="18" t="s">
        <v>1109</v>
      </c>
    </row>
    <row r="159" spans="7:7" ht="14.25" thickBot="1">
      <c r="G159" s="29" t="s">
        <v>1110</v>
      </c>
    </row>
    <row r="160" spans="7:7">
      <c r="G160" s="30" t="s">
        <v>1287</v>
      </c>
    </row>
    <row r="161" spans="7:7">
      <c r="G161" s="24" t="s">
        <v>1111</v>
      </c>
    </row>
    <row r="162" spans="7:7">
      <c r="G162" s="18" t="s">
        <v>1112</v>
      </c>
    </row>
    <row r="163" spans="7:7">
      <c r="G163" s="18" t="s">
        <v>1113</v>
      </c>
    </row>
    <row r="164" spans="7:7" ht="14.25" thickBot="1">
      <c r="G164" s="22" t="s">
        <v>1114</v>
      </c>
    </row>
    <row r="165" spans="7:7">
      <c r="G165" s="23" t="s">
        <v>1296</v>
      </c>
    </row>
    <row r="166" spans="7:7">
      <c r="G166" s="24" t="s">
        <v>1115</v>
      </c>
    </row>
    <row r="167" spans="7:7">
      <c r="G167" s="18" t="s">
        <v>368</v>
      </c>
    </row>
    <row r="168" spans="7:7">
      <c r="G168" s="18" t="s">
        <v>1116</v>
      </c>
    </row>
    <row r="169" spans="7:7" ht="14.25" thickBot="1">
      <c r="G169" s="29" t="s">
        <v>1117</v>
      </c>
    </row>
    <row r="170" spans="7:7">
      <c r="G170" s="30" t="s">
        <v>1305</v>
      </c>
    </row>
    <row r="171" spans="7:7">
      <c r="G171" s="18" t="s">
        <v>1118</v>
      </c>
    </row>
    <row r="172" spans="7:7">
      <c r="G172" s="18" t="s">
        <v>1119</v>
      </c>
    </row>
    <row r="173" spans="7:7">
      <c r="G173" s="18" t="s">
        <v>1120</v>
      </c>
    </row>
    <row r="174" spans="7:7">
      <c r="G174" s="18" t="s">
        <v>1121</v>
      </c>
    </row>
    <row r="175" spans="7:7">
      <c r="G175" s="18" t="s">
        <v>1122</v>
      </c>
    </row>
    <row r="176" spans="7:7" ht="14.25" thickBot="1">
      <c r="G176" s="22" t="s">
        <v>1123</v>
      </c>
    </row>
    <row r="177" spans="7:7">
      <c r="G177" s="23" t="s">
        <v>1318</v>
      </c>
    </row>
    <row r="178" spans="7:7">
      <c r="G178" s="18" t="s">
        <v>1124</v>
      </c>
    </row>
    <row r="179" spans="7:7">
      <c r="G179" s="18" t="s">
        <v>1125</v>
      </c>
    </row>
    <row r="180" spans="7:7">
      <c r="G180" s="18" t="s">
        <v>1126</v>
      </c>
    </row>
    <row r="181" spans="7:7">
      <c r="G181" s="24" t="s">
        <v>1127</v>
      </c>
    </row>
    <row r="182" spans="7:7">
      <c r="G182" s="22" t="s">
        <v>1128</v>
      </c>
    </row>
    <row r="183" spans="7:7" ht="14.25" thickBot="1">
      <c r="G183" s="22" t="s">
        <v>1129</v>
      </c>
    </row>
    <row r="184" spans="7:7">
      <c r="G184" s="23" t="s">
        <v>1332</v>
      </c>
    </row>
    <row r="185" spans="7:7">
      <c r="G185" s="18" t="s">
        <v>1130</v>
      </c>
    </row>
    <row r="186" spans="7:7">
      <c r="G186" s="18" t="s">
        <v>1131</v>
      </c>
    </row>
    <row r="187" spans="7:7">
      <c r="G187" s="18" t="s">
        <v>1132</v>
      </c>
    </row>
    <row r="188" spans="7:7" ht="14.25" thickBot="1">
      <c r="G188" s="29" t="s">
        <v>1133</v>
      </c>
    </row>
    <row r="189" spans="7:7">
      <c r="G189" s="30" t="s">
        <v>1341</v>
      </c>
    </row>
    <row r="190" spans="7:7">
      <c r="G190" s="18" t="s">
        <v>1134</v>
      </c>
    </row>
    <row r="191" spans="7:7">
      <c r="G191" s="18" t="s">
        <v>1135</v>
      </c>
    </row>
    <row r="192" spans="7:7">
      <c r="G192" s="18" t="s">
        <v>1136</v>
      </c>
    </row>
    <row r="193" spans="7:7" ht="14.25" thickBot="1">
      <c r="G193" s="22" t="s">
        <v>1137</v>
      </c>
    </row>
    <row r="194" spans="7:7">
      <c r="G194" s="31" t="s">
        <v>1350</v>
      </c>
    </row>
    <row r="195" spans="7:7">
      <c r="G195" s="25" t="s">
        <v>1138</v>
      </c>
    </row>
    <row r="196" spans="7:7" ht="14.25" thickBot="1">
      <c r="G196" s="32" t="s">
        <v>1139</v>
      </c>
    </row>
    <row r="197" spans="7:7">
      <c r="G197" s="23" t="s">
        <v>1356</v>
      </c>
    </row>
    <row r="198" spans="7:7">
      <c r="G198" s="18" t="s">
        <v>1140</v>
      </c>
    </row>
    <row r="199" spans="7:7">
      <c r="G199" s="22" t="s">
        <v>1141</v>
      </c>
    </row>
    <row r="200" spans="7:7">
      <c r="G200" s="22" t="s">
        <v>1142</v>
      </c>
    </row>
    <row r="201" spans="7:7">
      <c r="G201" s="22" t="s">
        <v>1143</v>
      </c>
    </row>
    <row r="202" spans="7:7" ht="14.25" thickBot="1">
      <c r="G202" s="29" t="s">
        <v>1144</v>
      </c>
    </row>
    <row r="203" spans="7:7" ht="14.25" thickBot="1">
      <c r="G203" s="33" t="s">
        <v>1367</v>
      </c>
    </row>
    <row r="204" spans="7:7">
      <c r="G204" s="31" t="s">
        <v>1370</v>
      </c>
    </row>
    <row r="205" spans="7:7">
      <c r="G205" s="25" t="s">
        <v>1145</v>
      </c>
    </row>
    <row r="206" spans="7:7">
      <c r="G206" s="25" t="s">
        <v>1146</v>
      </c>
    </row>
    <row r="207" spans="7:7" ht="14.25" thickBot="1">
      <c r="G207" s="25" t="s">
        <v>1147</v>
      </c>
    </row>
    <row r="208" spans="7:7">
      <c r="G208" s="31" t="s">
        <v>1375</v>
      </c>
    </row>
    <row r="209" spans="7:7">
      <c r="G209" s="18" t="s">
        <v>1148</v>
      </c>
    </row>
    <row r="210" spans="7:7">
      <c r="G210" s="18" t="s">
        <v>1149</v>
      </c>
    </row>
    <row r="211" spans="7:7">
      <c r="G211" s="18" t="s">
        <v>1150</v>
      </c>
    </row>
    <row r="212" spans="7:7" ht="14.25" thickBot="1">
      <c r="G212" s="29" t="s">
        <v>1151</v>
      </c>
    </row>
    <row r="213" spans="7:7" ht="14.25" thickBot="1">
      <c r="G213" s="34" t="s">
        <v>1385</v>
      </c>
    </row>
    <row r="214" spans="7:7">
      <c r="G214" s="23" t="s">
        <v>1388</v>
      </c>
    </row>
    <row r="215" spans="7:7">
      <c r="G215" s="18" t="s">
        <v>1152</v>
      </c>
    </row>
    <row r="216" spans="7:7">
      <c r="G216" s="18" t="s">
        <v>1153</v>
      </c>
    </row>
    <row r="217" spans="7:7">
      <c r="G217" s="18" t="s">
        <v>1154</v>
      </c>
    </row>
    <row r="218" spans="7:7" ht="14.25" thickBot="1">
      <c r="G218" s="29" t="s">
        <v>1155</v>
      </c>
    </row>
    <row r="219" spans="7:7">
      <c r="G219" s="30" t="s">
        <v>1398</v>
      </c>
    </row>
    <row r="220" spans="7:7">
      <c r="G220" s="18" t="s">
        <v>1156</v>
      </c>
    </row>
    <row r="221" spans="7:7">
      <c r="G221" s="24" t="s">
        <v>1157</v>
      </c>
    </row>
    <row r="222" spans="7:7">
      <c r="G222" s="24" t="s">
        <v>1158</v>
      </c>
    </row>
    <row r="223" spans="7:7">
      <c r="G223" s="24" t="s">
        <v>1159</v>
      </c>
    </row>
    <row r="224" spans="7:7">
      <c r="G224" s="18" t="s">
        <v>1160</v>
      </c>
    </row>
    <row r="225" spans="7:7">
      <c r="G225" s="18" t="s">
        <v>1410</v>
      </c>
    </row>
    <row r="226" spans="7:7">
      <c r="G226" s="18" t="s">
        <v>1161</v>
      </c>
    </row>
    <row r="227" spans="7:7">
      <c r="G227" s="22" t="s">
        <v>1162</v>
      </c>
    </row>
    <row r="228" spans="7:7" ht="14.25" thickBot="1">
      <c r="G228" s="22" t="s">
        <v>1163</v>
      </c>
    </row>
    <row r="229" spans="7:7">
      <c r="G229" s="23" t="s">
        <v>1419</v>
      </c>
    </row>
    <row r="230" spans="7:7">
      <c r="G230" s="18" t="s">
        <v>1164</v>
      </c>
    </row>
    <row r="231" spans="7:7">
      <c r="G231" s="18" t="s">
        <v>1165</v>
      </c>
    </row>
    <row r="232" spans="7:7">
      <c r="G232" s="18" t="s">
        <v>1166</v>
      </c>
    </row>
    <row r="233" spans="7:7" ht="14.25" thickBot="1">
      <c r="G233" s="22" t="s">
        <v>1167</v>
      </c>
    </row>
    <row r="234" spans="7:7">
      <c r="G234" s="23" t="s">
        <v>545</v>
      </c>
    </row>
    <row r="235" spans="7:7" ht="14.25" thickBot="1">
      <c r="G235" s="29" t="s">
        <v>1168</v>
      </c>
    </row>
    <row r="236" spans="7:7" ht="14.25" thickBot="1">
      <c r="G236" s="34" t="s">
        <v>1434</v>
      </c>
    </row>
    <row r="237" spans="7:7" ht="14.25" thickBot="1">
      <c r="G237" s="33" t="s">
        <v>1437</v>
      </c>
    </row>
    <row r="238" spans="7:7">
      <c r="G238" s="23" t="s">
        <v>1845</v>
      </c>
    </row>
    <row r="239" spans="7:7">
      <c r="G239" s="18" t="s">
        <v>1847</v>
      </c>
    </row>
    <row r="240" spans="7:7">
      <c r="G240" s="18" t="s">
        <v>1849</v>
      </c>
    </row>
    <row r="241" spans="7:7">
      <c r="G241" s="18" t="s">
        <v>1851</v>
      </c>
    </row>
    <row r="242" spans="7:7">
      <c r="G242" s="22" t="s">
        <v>1853</v>
      </c>
    </row>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5" t="s">
        <v>1169</v>
      </c>
      <c r="H1" s="35" t="s">
        <v>1170</v>
      </c>
      <c r="L1" s="35" t="s">
        <v>1169</v>
      </c>
      <c r="P1" t="s">
        <v>1171</v>
      </c>
    </row>
    <row r="2" spans="1:18" ht="19.5" thickTop="1">
      <c r="B2" s="36"/>
      <c r="C2" s="197" t="s">
        <v>1172</v>
      </c>
      <c r="D2" s="197"/>
      <c r="E2" s="37">
        <f>E8-E7</f>
        <v>18</v>
      </c>
      <c r="H2">
        <v>13</v>
      </c>
      <c r="M2" s="36"/>
      <c r="N2" s="197" t="s">
        <v>1172</v>
      </c>
      <c r="O2" s="197"/>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196" t="s">
        <v>1179</v>
      </c>
      <c r="D7" s="198"/>
      <c r="E7" s="40">
        <v>87</v>
      </c>
      <c r="F7" t="s">
        <v>1063</v>
      </c>
      <c r="G7">
        <f t="shared" si="0"/>
        <v>180</v>
      </c>
      <c r="M7" s="38"/>
      <c r="N7" s="196" t="s">
        <v>1179</v>
      </c>
      <c r="O7" s="198"/>
      <c r="P7" s="40">
        <v>93</v>
      </c>
    </row>
    <row r="8" spans="1:18">
      <c r="B8" s="195" t="s">
        <v>1180</v>
      </c>
      <c r="C8" s="196"/>
      <c r="D8" s="198"/>
      <c r="E8" s="40">
        <v>105</v>
      </c>
      <c r="F8" t="s">
        <v>1176</v>
      </c>
      <c r="G8">
        <f t="shared" si="0"/>
        <v>210</v>
      </c>
      <c r="M8" s="195" t="s">
        <v>1180</v>
      </c>
      <c r="N8" s="196"/>
      <c r="O8" s="198"/>
      <c r="P8" s="40">
        <v>105</v>
      </c>
    </row>
    <row r="9" spans="1:18">
      <c r="B9" s="38"/>
      <c r="C9" s="39"/>
      <c r="D9" s="39"/>
      <c r="E9" s="41"/>
      <c r="G9">
        <f t="shared" si="0"/>
        <v>0</v>
      </c>
      <c r="M9" s="38"/>
      <c r="N9" s="39"/>
      <c r="O9" s="39"/>
      <c r="P9" s="41"/>
    </row>
    <row r="10" spans="1:18">
      <c r="B10" s="195" t="s">
        <v>1181</v>
      </c>
      <c r="C10" s="196"/>
      <c r="D10" s="196"/>
      <c r="E10" s="40">
        <v>1</v>
      </c>
      <c r="G10">
        <f t="shared" si="0"/>
        <v>81</v>
      </c>
      <c r="M10" s="195" t="s">
        <v>1181</v>
      </c>
      <c r="N10" s="196"/>
      <c r="O10" s="196"/>
      <c r="P10" s="40">
        <v>80</v>
      </c>
    </row>
    <row r="11" spans="1:18" ht="19.5" thickBot="1">
      <c r="B11" s="193" t="s">
        <v>1182</v>
      </c>
      <c r="C11" s="194"/>
      <c r="D11" s="194"/>
      <c r="E11" s="42">
        <f>G17</f>
        <v>279</v>
      </c>
      <c r="G11">
        <f t="shared" si="0"/>
        <v>542</v>
      </c>
      <c r="M11" s="193" t="s">
        <v>1182</v>
      </c>
      <c r="N11" s="194"/>
      <c r="O11" s="194"/>
      <c r="P11" s="42">
        <v>263</v>
      </c>
    </row>
    <row r="12" spans="1:18" ht="19.5" thickTop="1"/>
    <row r="13" spans="1:18">
      <c r="B13" s="195" t="s">
        <v>1183</v>
      </c>
      <c r="C13" s="196"/>
      <c r="D13" s="196"/>
      <c r="E13" s="40">
        <f>185+E8+E10</f>
        <v>291</v>
      </c>
      <c r="M13" s="195" t="s">
        <v>1183</v>
      </c>
      <c r="N13" s="196"/>
      <c r="O13" s="196"/>
      <c r="P13" s="40">
        <f>P8+P10</f>
        <v>185</v>
      </c>
    </row>
    <row r="14" spans="1:18" ht="19.5" thickBot="1">
      <c r="B14" s="193" t="s">
        <v>1184</v>
      </c>
      <c r="C14" s="194"/>
      <c r="D14" s="194"/>
      <c r="E14" s="42">
        <f>368+E11+E8</f>
        <v>752</v>
      </c>
      <c r="M14" s="193" t="s">
        <v>1184</v>
      </c>
      <c r="N14" s="194"/>
      <c r="O14" s="194"/>
      <c r="P14" s="42">
        <f>P11+P8</f>
        <v>368</v>
      </c>
    </row>
    <row r="15" spans="1:18" ht="19.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C2:D2"/>
    <mergeCell ref="N2:O2"/>
    <mergeCell ref="C7:D7"/>
    <mergeCell ref="N7:O7"/>
    <mergeCell ref="B8:D8"/>
    <mergeCell ref="M8:O8"/>
    <mergeCell ref="B14:D14"/>
    <mergeCell ref="M14:O14"/>
    <mergeCell ref="B10:D10"/>
    <mergeCell ref="M10:O10"/>
    <mergeCell ref="B11:D11"/>
    <mergeCell ref="M11:O11"/>
    <mergeCell ref="B13:D13"/>
    <mergeCell ref="M13:O13"/>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FFC000"/>
  </sheetPr>
  <dimension ref="A1:K27"/>
  <sheetViews>
    <sheetView workbookViewId="0">
      <selection activeCell="B3" sqref="B3"/>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5" t="s">
        <v>1198</v>
      </c>
      <c r="B2" t="s">
        <v>1485</v>
      </c>
      <c r="C2" t="s">
        <v>1068</v>
      </c>
      <c r="D2" t="s">
        <v>1069</v>
      </c>
      <c r="E2" s="35" t="s">
        <v>1199</v>
      </c>
      <c r="F2" s="36" t="s">
        <v>1200</v>
      </c>
      <c r="G2" s="37" t="s">
        <v>1201</v>
      </c>
      <c r="H2" s="35" t="s">
        <v>1202</v>
      </c>
      <c r="I2" s="54" t="s">
        <v>1203</v>
      </c>
      <c r="J2" s="54" t="s">
        <v>1201</v>
      </c>
      <c r="K2" s="35" t="s">
        <v>1204</v>
      </c>
    </row>
    <row r="3" spans="1:11" ht="19.5" thickTop="1">
      <c r="B3" s="36" t="str">
        <f>IF(OR(B2=B$26,B2=""),"",IF(中間処理シート!O4="",B$26,中間処理シート!O4))</f>
        <v>ＶＣ本</v>
      </c>
      <c r="C3" s="55">
        <f>IF(OR(B2=B$26,B2=""),"",IF(中間処理シート!O4="",SUM(C2:C$3),中間処理シート!P4))</f>
        <v>3</v>
      </c>
      <c r="D3" s="37">
        <f>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ＧＢ本</v>
      </c>
      <c r="C4" s="39">
        <f>IF(OR(B3=B$26,B3=""),"",IF(中間処理シート!O5="",SUM(C$3:C3),中間処理シート!P5))</f>
        <v>91</v>
      </c>
      <c r="D4" s="41">
        <f>IF(OR(B3=B$26,B3=""),"",IF(中間処理シート!O5="",SUM(D$3:D3),中間処理シート!Q5))</f>
        <v>74</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セ事本</v>
      </c>
      <c r="C5" s="39">
        <f>IF(OR(B4=B$26,B4=""),"",IF(中間処理シート!O6="",SUM(C$3:C4),中間処理シート!P6))</f>
        <v>3</v>
      </c>
      <c r="D5" s="41">
        <f>IF(OR(B4=B$26,B4=""),"",IF(中間処理シート!O6="",SUM(D$3:D4),中間処理シート!Q6))</f>
        <v>4</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ＣＩ本</v>
      </c>
      <c r="C6" s="39">
        <f>IF(OR(B5=B$26,B5=""),"",IF(中間処理シート!O7="",SUM(C$3:C5),中間処理シート!P7))</f>
        <v>0</v>
      </c>
      <c r="D6" s="41">
        <f>IF(OR(B5=B$26,B5=""),"",IF(中間処理シート!O7="",SUM(D$3:D5),中間処理シート!Q7))</f>
        <v>1</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ＡＩ本</v>
      </c>
      <c r="C7" s="39">
        <f>IF(OR(B6=B$26,B6=""),"",IF(中間処理シート!O8="",SUM(C$3:C6),中間処理シート!P8))</f>
        <v>6</v>
      </c>
      <c r="D7" s="41">
        <f>IF(OR(B6=B$26,B6=""),"",IF(中間処理シート!O8="",SUM(D$3:D6),中間処理シート!Q8))</f>
        <v>0</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9.5" thickBot="1">
      <c r="B8" s="38" t="str">
        <f>IF(OR(B7=B$26,B7=""),"",IF(中間処理シート!O9="",B$26,中間処理シート!O9))</f>
        <v>ＩＰＣ</v>
      </c>
      <c r="C8" s="39">
        <f>IF(OR(B7=B$26,B7=""),"",IF(中間処理シート!O9="",SUM(C$3:C7),中間処理シート!P9))</f>
        <v>1</v>
      </c>
      <c r="D8" s="41">
        <f>IF(OR(B7=B$26,B7=""),"",IF(中間処理シート!O9="",SUM(D$3:D7),中間処理シート!Q9))</f>
        <v>0</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9.5" thickTop="1">
      <c r="B9" s="38" t="str">
        <f>IF(OR(B8=B$26,B8=""),"",IF(中間処理シート!O10="",B$26,中間処理シート!O10))</f>
        <v>人事部</v>
      </c>
      <c r="C9" s="39">
        <f>IF(OR(B8=B$26,B8=""),"",IF(中間処理シート!O10="",SUM(C$3:C8),中間処理シート!P10))</f>
        <v>1</v>
      </c>
      <c r="D9" s="41">
        <f>IF(OR(B8=B$26,B8=""),"",IF(中間処理シート!O10="",SUM(D$3:D8),中間処理シート!Q10))</f>
        <v>0</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計</v>
      </c>
      <c r="C10" s="39">
        <f>IF(OR(B9=B$26,B9=""),"",IF(中間処理シート!O11="",SUM(C$3:C9),中間処理シート!P11))</f>
        <v>105</v>
      </c>
      <c r="D10" s="41">
        <f>IF(OR(B9=B$26,B9=""),"",IF(中間処理シート!O11="",SUM(D$3:D9),中間処理シート!Q11))</f>
        <v>82</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9.5" thickBot="1">
      <c r="B24" t="str">
        <f>中間処理シート!O25</f>
        <v/>
      </c>
      <c r="C24" t="str">
        <f>中間処理シート!P25</f>
        <v/>
      </c>
      <c r="D24" t="str">
        <f>中間処理シート!Q25</f>
        <v/>
      </c>
    </row>
    <row r="25" spans="2:7" ht="20.25" thickTop="1" thickBot="1">
      <c r="B25" s="58" t="s">
        <v>1206</v>
      </c>
      <c r="C25" s="59">
        <f>中間処理シート!P27</f>
        <v>105</v>
      </c>
      <c r="D25" s="60">
        <f>中間処理シート!Q27</f>
        <v>82</v>
      </c>
    </row>
    <row r="26" spans="2:7" ht="20.25" thickTop="1" thickBot="1">
      <c r="B26" s="58" t="s">
        <v>1206</v>
      </c>
      <c r="C26" s="59">
        <f>SUM(C3:C22)</f>
        <v>210</v>
      </c>
      <c r="D26" s="60">
        <f>SUM(D3:D22)</f>
        <v>164</v>
      </c>
      <c r="F26" s="58" t="s">
        <v>1206</v>
      </c>
      <c r="G26" s="61"/>
    </row>
    <row r="27" spans="2:7" ht="19.5"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J33"/>
  <sheetViews>
    <sheetView topLeftCell="A5" workbookViewId="0">
      <selection activeCell="B13" sqref="B13"/>
    </sheetView>
  </sheetViews>
  <sheetFormatPr defaultColWidth="9" defaultRowHeight="18.75"/>
  <cols>
    <col min="1" max="1" width="9" style="123"/>
    <col min="2" max="2" width="18.75" style="123" bestFit="1" customWidth="1"/>
    <col min="3" max="3" width="79.25" style="123" bestFit="1" customWidth="1"/>
    <col min="4" max="4" width="7.375" style="123" bestFit="1" customWidth="1"/>
    <col min="5" max="5" width="46.375" style="123" bestFit="1" customWidth="1"/>
    <col min="6" max="6" width="30.75" style="123" bestFit="1" customWidth="1"/>
    <col min="7" max="7" width="9" style="123"/>
    <col min="8" max="8" width="13.125" style="123" bestFit="1" customWidth="1"/>
    <col min="9" max="9" width="9" style="123"/>
    <col min="10" max="10" width="13.125" style="123" bestFit="1" customWidth="1"/>
    <col min="11" max="16384" width="9" style="123"/>
  </cols>
  <sheetData>
    <row r="1" spans="1:10">
      <c r="B1" s="124" t="s">
        <v>1439</v>
      </c>
      <c r="C1" s="124" t="s">
        <v>1440</v>
      </c>
      <c r="D1" s="125" t="s">
        <v>1441</v>
      </c>
      <c r="E1" s="125" t="s">
        <v>1442</v>
      </c>
      <c r="F1" s="125" t="s">
        <v>1443</v>
      </c>
      <c r="G1" s="5" t="s">
        <v>1065</v>
      </c>
      <c r="I1" s="126" t="s">
        <v>1444</v>
      </c>
      <c r="J1" s="125" t="s">
        <v>1445</v>
      </c>
    </row>
    <row r="2" spans="1:10" s="127" customFormat="1">
      <c r="B2" s="123" t="s">
        <v>1446</v>
      </c>
      <c r="C2" s="128"/>
      <c r="D2" s="129"/>
      <c r="E2" s="129"/>
      <c r="F2" s="129"/>
      <c r="G2" s="130"/>
      <c r="I2" s="131"/>
      <c r="J2" s="129"/>
    </row>
    <row r="3" spans="1:10">
      <c r="A3" s="123" t="s">
        <v>1446</v>
      </c>
      <c r="B3" s="132"/>
      <c r="C3" s="132" t="s">
        <v>1447</v>
      </c>
      <c r="D3" s="132" t="s">
        <v>1441</v>
      </c>
      <c r="E3" s="132" t="s">
        <v>1448</v>
      </c>
      <c r="F3" s="132" t="s">
        <v>1449</v>
      </c>
      <c r="G3" s="132" t="s">
        <v>1450</v>
      </c>
      <c r="H3" s="132" t="s">
        <v>1451</v>
      </c>
      <c r="I3" s="132" t="s">
        <v>1452</v>
      </c>
      <c r="J3" s="132" t="s">
        <v>1453</v>
      </c>
    </row>
    <row r="4" spans="1:10">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ＧＢ本</v>
      </c>
      <c r="H4" s="134">
        <f ca="1">ROUND(J4/1000,0)</f>
        <v>1520</v>
      </c>
      <c r="I4" s="133" t="str">
        <f t="shared" ref="I4:J16" ca="1" si="1">INDEX(INDIRECT(I$1),MATCH($B4,管理番号,0))</f>
        <v>ＧＢ営</v>
      </c>
      <c r="J4" s="133">
        <f t="shared" ca="1" si="1"/>
        <v>1520000</v>
      </c>
    </row>
    <row r="5" spans="1:10">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ＧＢ本</v>
      </c>
      <c r="H5" s="134">
        <f t="shared" ref="H5:H31" ca="1" si="2">ROUND(J5/1000,0)</f>
        <v>720</v>
      </c>
      <c r="I5" s="133" t="str">
        <f t="shared" ca="1" si="1"/>
        <v>ＧＢ営</v>
      </c>
      <c r="J5" s="133">
        <f t="shared" ca="1" si="1"/>
        <v>720000</v>
      </c>
    </row>
    <row r="6" spans="1:10">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ＧＢ本</v>
      </c>
      <c r="H6" s="134">
        <f t="shared" ca="1" si="2"/>
        <v>648</v>
      </c>
      <c r="I6" s="133" t="str">
        <f t="shared" ca="1" si="1"/>
        <v>ＧＢ営</v>
      </c>
      <c r="J6" s="133">
        <f t="shared" ca="1" si="1"/>
        <v>648000</v>
      </c>
    </row>
    <row r="7" spans="1:10">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ＧＢ本</v>
      </c>
      <c r="H7" s="134">
        <f t="shared" ca="1" si="2"/>
        <v>1200</v>
      </c>
      <c r="I7" s="133" t="str">
        <f t="shared" ca="1" si="1"/>
        <v>ＧＢ営</v>
      </c>
      <c r="J7" s="133">
        <f t="shared" ca="1" si="1"/>
        <v>1200000</v>
      </c>
    </row>
    <row r="8" spans="1:10">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ＧＢ本</v>
      </c>
      <c r="H8" s="134">
        <f t="shared" ca="1" si="2"/>
        <v>0</v>
      </c>
      <c r="I8" s="133" t="str">
        <f t="shared" ca="1" si="1"/>
        <v>ＧＢ営</v>
      </c>
      <c r="J8" s="133">
        <f t="shared" ca="1" si="1"/>
        <v>400</v>
      </c>
    </row>
    <row r="9" spans="1:10">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ＧＢ本</v>
      </c>
      <c r="H9" s="134">
        <f t="shared" ca="1" si="2"/>
        <v>0</v>
      </c>
      <c r="I9" s="133" t="str">
        <f t="shared" ca="1" si="1"/>
        <v>ＧＢ営</v>
      </c>
      <c r="J9" s="133">
        <f t="shared" ca="1" si="1"/>
        <v>0</v>
      </c>
    </row>
    <row r="10" spans="1:10">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ＧＢ本</v>
      </c>
      <c r="H10" s="134">
        <f t="shared" ca="1" si="2"/>
        <v>0</v>
      </c>
      <c r="I10" s="133" t="str">
        <f t="shared" ca="1" si="1"/>
        <v>ＧＢ営</v>
      </c>
      <c r="J10" s="133">
        <f t="shared" ca="1" si="1"/>
        <v>0</v>
      </c>
    </row>
    <row r="11" spans="1:10">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ＧＢ本</v>
      </c>
      <c r="H11" s="134">
        <f t="shared" ca="1" si="2"/>
        <v>0</v>
      </c>
      <c r="I11" s="133" t="str">
        <f t="shared" ca="1" si="1"/>
        <v>ＧＢ営</v>
      </c>
      <c r="J11" s="133">
        <f t="shared" ca="1" si="1"/>
        <v>0</v>
      </c>
    </row>
    <row r="12" spans="1:10">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ＧＢ本</v>
      </c>
      <c r="H12" s="134">
        <f t="shared" ca="1" si="2"/>
        <v>3130</v>
      </c>
      <c r="I12" s="133" t="str">
        <f t="shared" ca="1" si="1"/>
        <v>ＧＢ営</v>
      </c>
      <c r="J12" s="133">
        <f t="shared" ca="1" si="1"/>
        <v>3129750</v>
      </c>
    </row>
    <row r="13" spans="1:10">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ＧＢ本</v>
      </c>
      <c r="H13" s="134">
        <f t="shared" ca="1" si="2"/>
        <v>1070</v>
      </c>
      <c r="I13" s="133" t="str">
        <f t="shared" ca="1" si="1"/>
        <v>ＧＢ営</v>
      </c>
      <c r="J13" s="133">
        <f t="shared" ca="1" si="1"/>
        <v>1070000</v>
      </c>
    </row>
    <row r="14" spans="1:10">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c r="A17" s="123" t="s">
        <v>1454</v>
      </c>
      <c r="B17" s="123" t="s">
        <v>1454</v>
      </c>
      <c r="G17" s="8" t="str">
        <f>IF(I17="","",IFERROR(LOOKUP(1,0/(中間処理シート!AK:AK=包括・特例!I17),中間処理シート!AP:AP),""))</f>
        <v/>
      </c>
      <c r="J17" s="127"/>
    </row>
    <row r="18" spans="1:10">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ＧＢ本</v>
      </c>
      <c r="H18" s="134">
        <f t="shared" ca="1" si="2"/>
        <v>754</v>
      </c>
      <c r="I18" s="133" t="str">
        <f t="shared" ref="I18:J31" ca="1" si="4">INDEX(INDIRECT(I$1),MATCH($B18,管理番号,0))</f>
        <v>ＧＢ営</v>
      </c>
      <c r="J18" s="133">
        <f t="shared" ca="1" si="4"/>
        <v>754180</v>
      </c>
    </row>
    <row r="19" spans="1:10">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ＧＢ本</v>
      </c>
      <c r="H19" s="134">
        <f t="shared" ca="1" si="2"/>
        <v>780</v>
      </c>
      <c r="I19" s="133" t="str">
        <f t="shared" ca="1" si="4"/>
        <v>ＧＢ営</v>
      </c>
      <c r="J19" s="133">
        <f t="shared" ca="1" si="4"/>
        <v>780000</v>
      </c>
    </row>
    <row r="20" spans="1:10">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ＧＢ本</v>
      </c>
      <c r="H20" s="134">
        <f t="shared" ca="1" si="2"/>
        <v>106</v>
      </c>
      <c r="I20" s="133" t="str">
        <f t="shared" ca="1" si="4"/>
        <v>ＧＢ営</v>
      </c>
      <c r="J20" s="133">
        <f t="shared" ca="1" si="4"/>
        <v>106130</v>
      </c>
    </row>
    <row r="21" spans="1:10">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ＧＢ本</v>
      </c>
      <c r="H21" s="134">
        <f t="shared" ca="1" si="2"/>
        <v>302</v>
      </c>
      <c r="I21" s="133" t="str">
        <f t="shared" ca="1" si="4"/>
        <v>ＧＢ営</v>
      </c>
      <c r="J21" s="133">
        <f t="shared" ca="1" si="4"/>
        <v>302400</v>
      </c>
    </row>
    <row r="22" spans="1:10">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ＧＢ本</v>
      </c>
      <c r="H22" s="134">
        <f t="shared" ca="1" si="2"/>
        <v>700</v>
      </c>
      <c r="I22" s="133" t="str">
        <f t="shared" ca="1" si="4"/>
        <v>ＧＢ営</v>
      </c>
      <c r="J22" s="133">
        <f t="shared" ca="1" si="4"/>
        <v>700000</v>
      </c>
    </row>
    <row r="23" spans="1:10">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ＧＢ本</v>
      </c>
      <c r="H23" s="134">
        <f t="shared" ca="1" si="2"/>
        <v>410</v>
      </c>
      <c r="I23" s="133" t="str">
        <f t="shared" ca="1" si="4"/>
        <v>ＧＢ営</v>
      </c>
      <c r="J23" s="133">
        <f t="shared" ca="1" si="4"/>
        <v>410000</v>
      </c>
    </row>
    <row r="24" spans="1:10">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ＧＢ本</v>
      </c>
      <c r="H24" s="134">
        <f t="shared" ca="1" si="2"/>
        <v>450</v>
      </c>
      <c r="I24" s="133" t="str">
        <f t="shared" ca="1" si="4"/>
        <v>ＧＢ営</v>
      </c>
      <c r="J24" s="133">
        <f t="shared" ca="1" si="4"/>
        <v>450000</v>
      </c>
    </row>
    <row r="25" spans="1:10">
      <c r="B25" s="123" t="s">
        <v>1455</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ＩＰＣ</v>
      </c>
      <c r="H26" s="134">
        <f t="shared" ca="1" si="2"/>
        <v>200</v>
      </c>
      <c r="I26" s="133" t="str">
        <f t="shared" ref="I26:J28" ca="1" si="6">INDEX(INDIRECT(I$1),MATCH($B26,管理番号,0))</f>
        <v>ＩＰＲ</v>
      </c>
      <c r="J26" s="133">
        <f t="shared" ca="1" si="6"/>
        <v>200000</v>
      </c>
    </row>
    <row r="27" spans="1:10">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ＡＩ本</v>
      </c>
      <c r="H27" s="134">
        <f t="shared" ca="1" si="2"/>
        <v>0</v>
      </c>
      <c r="I27" s="133" t="str">
        <f t="shared" ca="1" si="6"/>
        <v>ＡＩＤ</v>
      </c>
      <c r="J27" s="133">
        <f t="shared" ca="1" si="6"/>
        <v>0</v>
      </c>
    </row>
    <row r="28" spans="1:10">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ＡＩ本</v>
      </c>
      <c r="H28" s="134">
        <f t="shared" ca="1" si="2"/>
        <v>0</v>
      </c>
      <c r="I28" s="133" t="str">
        <f t="shared" ca="1" si="6"/>
        <v>ＡＩＤ</v>
      </c>
      <c r="J28" s="133">
        <f t="shared" ca="1" si="6"/>
        <v>0</v>
      </c>
    </row>
    <row r="29" spans="1:10">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c r="A32" s="123" t="s">
        <v>1456</v>
      </c>
      <c r="G32" s="8" t="str">
        <f>IF(I32="","",IFERROR(LOOKUP(1,0/(中間処理シート!AK:AK=包括・特例!I32),中間処理シート!AP:AP),""))</f>
        <v/>
      </c>
    </row>
    <row r="33" spans="3:10">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35</vt:i4>
      </vt:variant>
    </vt:vector>
  </HeadingPairs>
  <TitlesOfParts>
    <vt:vector size="44" baseType="lpstr">
      <vt:lpstr>yushutsu_kobetsu</vt:lpstr>
      <vt:lpstr>中間処理シート</vt:lpstr>
      <vt:lpstr>ダッシュボード</vt:lpstr>
      <vt:lpstr>組織辞書</vt:lpstr>
      <vt:lpstr>仕向地</vt:lpstr>
      <vt:lpstr>組織名称・略称・英文呼称</vt:lpstr>
      <vt:lpstr>審査件数</vt:lpstr>
      <vt:lpstr>別表１～３</vt:lpstr>
      <vt:lpstr>包括・特例</vt:lpstr>
      <vt:lpstr>BU抽出</vt:lpstr>
      <vt:lpstr>組織名称・略称・英文呼称!Print_Area</vt:lpstr>
      <vt:lpstr>組織名称・略称・英文呼称!Print_Titles</vt:lpstr>
      <vt:lpstr>Range_組織辞書</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左上cell_組織辞書</vt:lpstr>
      <vt:lpstr>最終需要者</vt:lpstr>
      <vt:lpstr>仕向地</vt:lpstr>
      <vt:lpstr>仕向地集計</vt:lpstr>
      <vt:lpstr>仕向地抽出</vt:lpstr>
      <vt:lpstr>取引集計</vt:lpstr>
      <vt:lpstr>取引集計＿非ゼロ</vt:lpstr>
      <vt:lpstr>集計期間</vt:lpstr>
      <vt:lpstr>集計状況</vt:lpstr>
      <vt:lpstr>集計名例外解決</vt:lpstr>
      <vt:lpstr>少額特例適用件数</vt:lpstr>
      <vt:lpstr>承認記録</vt:lpstr>
      <vt:lpstr>申請者所属</vt:lpstr>
      <vt:lpstr>組織</vt:lpstr>
      <vt:lpstr>組織集計</vt:lpstr>
      <vt:lpstr>組織集計＿非ゼロ</vt:lpstr>
      <vt:lpstr>特例抽出</vt:lpstr>
      <vt:lpstr>非許可特例抽出</vt:lpstr>
      <vt:lpstr>包括許可適用件数</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2020-11-12T16:09:19Z</dcterms:modified>
</cp:coreProperties>
</file>