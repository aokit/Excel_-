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0FEC14EE-9BF8-4618-9E8D-1B0ECB3A14AF}"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03" i="3"/>
  <c r="AL58" i="3"/>
  <c r="AL57" i="3"/>
  <c r="AL127" i="3"/>
  <c r="AL11" i="3"/>
  <c r="AL128" i="3"/>
  <c r="AL69" i="3"/>
  <c r="AL38" i="3"/>
  <c r="AL29" i="3"/>
  <c r="AL112" i="3"/>
  <c r="AL83" i="3"/>
  <c r="AL63" i="3"/>
  <c r="AL19" i="3"/>
  <c r="AL101" i="3"/>
  <c r="AL74" i="3"/>
  <c r="AL118" i="3"/>
  <c r="AL27" i="3"/>
  <c r="AL66" i="3"/>
  <c r="AL23" i="3"/>
  <c r="AL116" i="3"/>
  <c r="AL124" i="3"/>
  <c r="AL99" i="3"/>
  <c r="AL26" i="3"/>
  <c r="AL79" i="3"/>
  <c r="AL64" i="3"/>
  <c r="AL115" i="3"/>
  <c r="AL25" i="3"/>
  <c r="AL12" i="3"/>
  <c r="AL45" i="3"/>
  <c r="AL75" i="3"/>
  <c r="AL111" i="3"/>
  <c r="AL119" i="3"/>
  <c r="AL54" i="3"/>
  <c r="AL107" i="3"/>
  <c r="AL114" i="3"/>
  <c r="AL32" i="3"/>
  <c r="AL50" i="3"/>
  <c r="AL51" i="3"/>
  <c r="AL126" i="3"/>
  <c r="AL130" i="3"/>
  <c r="AL84" i="3"/>
  <c r="AL85" i="3"/>
  <c r="AL10" i="3"/>
  <c r="AL86" i="3"/>
  <c r="AL39" i="3"/>
  <c r="AL110" i="3"/>
  <c r="AL121" i="3"/>
  <c r="AL95" i="3"/>
  <c r="AL53" i="3"/>
  <c r="AL37" i="3"/>
  <c r="AL28" i="3"/>
  <c r="AL117" i="3"/>
  <c r="AL7" i="3"/>
  <c r="AL93" i="3"/>
  <c r="AL67" i="3"/>
  <c r="AL76" i="3"/>
  <c r="AL87" i="3"/>
  <c r="AL97" i="3"/>
  <c r="AL20" i="3"/>
  <c r="AL113" i="3"/>
  <c r="AL91" i="3"/>
  <c r="AL134" i="3"/>
  <c r="AL73" i="3"/>
  <c r="AL90" i="3"/>
  <c r="AL48" i="3"/>
  <c r="AL46" i="3"/>
  <c r="AL129" i="3"/>
  <c r="AL41" i="3"/>
  <c r="AL35" i="3"/>
  <c r="AL13" i="3"/>
  <c r="AL77" i="3"/>
  <c r="AL80" i="3"/>
  <c r="AL16" i="3"/>
  <c r="AL70" i="3"/>
  <c r="AL15" i="3"/>
  <c r="AL100" i="3"/>
  <c r="AL98" i="3"/>
  <c r="AL62" i="3"/>
  <c r="AL92" i="3"/>
  <c r="AL61" i="3"/>
  <c r="AL105" i="3"/>
  <c r="AL8" i="3"/>
  <c r="AL71" i="3"/>
  <c r="AL88" i="3"/>
  <c r="AL44" i="3"/>
  <c r="AL78" i="3"/>
  <c r="AL60" i="3"/>
  <c r="AL52" i="3"/>
  <c r="AL36" i="3"/>
  <c r="AL96" i="3"/>
  <c r="AL123" i="3"/>
  <c r="AL30" i="3"/>
  <c r="AL106" i="3"/>
  <c r="AL109" i="3"/>
  <c r="AL9" i="3"/>
  <c r="AL40" i="3"/>
  <c r="AL18" i="3"/>
  <c r="AL59" i="3"/>
  <c r="AL6" i="3"/>
  <c r="AL131" i="3"/>
  <c r="AL81" i="3"/>
  <c r="AL72" i="3"/>
  <c r="AL43" i="3"/>
  <c r="AL82" i="3"/>
  <c r="AL42" i="3"/>
  <c r="AL94" i="3"/>
  <c r="AL24" i="3"/>
  <c r="AL22" i="3"/>
  <c r="AL120" i="3"/>
  <c r="AL33" i="3"/>
  <c r="AL122" i="3"/>
  <c r="AL14" i="3"/>
  <c r="AL55" i="3"/>
  <c r="AL135" i="3"/>
  <c r="AL104" i="3"/>
  <c r="AL49" i="3"/>
  <c r="AL56" i="3"/>
  <c r="AL34" i="3"/>
  <c r="AL102" i="3"/>
  <c r="AL132" i="3"/>
  <c r="AL65" i="3"/>
  <c r="AL89" i="3"/>
  <c r="AL17" i="3"/>
  <c r="AL108" i="3"/>
  <c r="AL133" i="3"/>
  <c r="AL47" i="3"/>
  <c r="AL68" i="3"/>
  <c r="AL21" i="3"/>
  <c r="AL125" i="3"/>
  <c r="AL3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C33" i="9"/>
  <c r="E14" i="9"/>
  <c r="I7" i="9"/>
  <c r="D25" i="9"/>
  <c r="F28" i="9"/>
  <c r="J26" i="9"/>
  <c r="J25" i="9"/>
  <c r="D24" i="9"/>
  <c r="J23" i="9"/>
  <c r="F10" i="9"/>
  <c r="A17" i="3"/>
  <c r="D6" i="9"/>
  <c r="D4" i="9"/>
  <c r="D18" i="9"/>
  <c r="I5" i="9"/>
  <c r="C16" i="9"/>
  <c r="C12" i="9"/>
  <c r="E9" i="9"/>
  <c r="J9" i="9"/>
  <c r="D13" i="9"/>
  <c r="C9" i="9"/>
  <c r="F27" i="9"/>
  <c r="I6" i="9"/>
  <c r="C15" i="9"/>
  <c r="I9" i="9"/>
  <c r="J24" i="9"/>
  <c r="D26" i="9"/>
  <c r="C4" i="9"/>
  <c r="I30" i="9"/>
  <c r="E30" i="9"/>
  <c r="F9" i="9"/>
  <c r="J7" i="9"/>
  <c r="D19" i="9"/>
  <c r="C22" i="9"/>
  <c r="E21" i="9"/>
  <c r="F13" i="9"/>
  <c r="E6" i="9"/>
  <c r="E5" i="9"/>
  <c r="C5" i="9"/>
  <c r="I22" i="9"/>
  <c r="F31" i="9"/>
  <c r="J5" i="9"/>
  <c r="E26" i="9"/>
  <c r="I18" i="9"/>
  <c r="J6" i="9"/>
  <c r="C28" i="9"/>
  <c r="J28" i="9"/>
  <c r="D7" i="9"/>
  <c r="J15" i="9"/>
  <c r="I8" i="9"/>
  <c r="D28" i="9"/>
  <c r="F12" i="9"/>
  <c r="I27" i="9"/>
  <c r="F11" i="9"/>
  <c r="E18" i="9"/>
  <c r="I25" i="9"/>
  <c r="I28" i="9"/>
  <c r="A20" i="3"/>
  <c r="E27" i="9"/>
  <c r="I21" i="9"/>
  <c r="I15" i="9"/>
  <c r="C8" i="9"/>
  <c r="C14" i="9"/>
  <c r="F15" i="9"/>
  <c r="D23" i="9"/>
  <c r="I33" i="9"/>
  <c r="E22" i="9"/>
  <c r="J22" i="9"/>
  <c r="E33" i="9"/>
  <c r="F25" i="9"/>
  <c r="F8" i="9"/>
  <c r="E13" i="9"/>
  <c r="C27" i="9"/>
  <c r="F33" i="9"/>
  <c r="I24" i="9"/>
  <c r="J27" i="9"/>
  <c r="E12" i="9"/>
  <c r="F24" i="9"/>
  <c r="E25" i="9"/>
  <c r="F18" i="9"/>
  <c r="I16" i="9"/>
  <c r="C18" i="9"/>
  <c r="E8" i="9"/>
  <c r="I11" i="9"/>
  <c r="I10" i="9"/>
  <c r="I31" i="9"/>
  <c r="J31" i="9"/>
  <c r="D21" i="9"/>
  <c r="C19" i="9"/>
  <c r="F7" i="9"/>
  <c r="J29" i="9"/>
  <c r="D12" i="9"/>
  <c r="F19" i="9"/>
  <c r="D11" i="9"/>
  <c r="C20" i="9"/>
  <c r="E19" i="9"/>
  <c r="J11" i="9"/>
  <c r="J13" i="9"/>
  <c r="D30" i="9"/>
  <c r="C31" i="9"/>
  <c r="C21" i="9"/>
  <c r="E23" i="9"/>
  <c r="J19" i="9"/>
  <c r="I13" i="9"/>
  <c r="J30" i="9"/>
  <c r="I20" i="9"/>
  <c r="E24" i="9"/>
  <c r="F23" i="9"/>
  <c r="I23" i="9"/>
  <c r="I19" i="9"/>
  <c r="E16" i="9"/>
  <c r="F29" i="9"/>
  <c r="E15" i="9"/>
  <c r="C24" i="9"/>
  <c r="F6" i="9"/>
  <c r="F5" i="9"/>
  <c r="F30" i="9"/>
  <c r="E29" i="9"/>
  <c r="J21" i="9"/>
  <c r="I26" i="9"/>
  <c r="D29" i="9"/>
  <c r="E28" i="9"/>
  <c r="C7" i="9"/>
  <c r="D15" i="9"/>
  <c r="D20" i="9"/>
  <c r="C26" i="9"/>
  <c r="E4" i="9"/>
  <c r="E20" i="9"/>
  <c r="I29" i="9"/>
  <c r="A14" i="3"/>
  <c r="J33" i="9"/>
  <c r="J8" i="9"/>
  <c r="C10" i="9"/>
  <c r="F14" i="9"/>
  <c r="J10" i="9"/>
  <c r="C30" i="9"/>
  <c r="F21" i="9"/>
  <c r="I14" i="9"/>
  <c r="D9" i="9"/>
  <c r="C25" i="9"/>
  <c r="J20" i="9"/>
  <c r="E31" i="9"/>
  <c r="J16" i="9"/>
  <c r="C6" i="9"/>
  <c r="J12" i="9"/>
  <c r="D22" i="9"/>
  <c r="D33" i="9"/>
  <c r="D16" i="9"/>
  <c r="J18" i="9"/>
  <c r="I4" i="9"/>
  <c r="D10" i="9"/>
  <c r="C11" i="9"/>
  <c r="E7" i="9"/>
  <c r="I12" i="9"/>
  <c r="E11" i="9"/>
  <c r="F16" i="9"/>
  <c r="F4" i="9"/>
  <c r="D31" i="9"/>
  <c r="C23" i="9"/>
  <c r="D8" i="9"/>
  <c r="C13" i="9"/>
  <c r="F20" i="9"/>
  <c r="D5" i="9"/>
  <c r="D27" i="9"/>
  <c r="J4" i="9"/>
  <c r="F26" i="9"/>
  <c r="J14" i="9"/>
  <c r="F22" i="9"/>
  <c r="E10" i="9"/>
  <c r="D14" i="9"/>
  <c r="C29"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5D0D6EFA-4B96-4426-88B4-FA26722EC90B}">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<sst xmlns="http://schemas.openxmlformats.org/spreadsheetml/2006/main" count="5468" uniqueCount="1576">
  <si>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</si>
  <si>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</si>
  <si>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</si>
  <si>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</si>
  <si>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</si>
  <si>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</si>
  <si>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</si>
  <si>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</si>
  <si>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</si>
  <si>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</si>
  <si>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</si>
  <si>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</si>
  <si>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</si>
  <si>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</si>
  <si>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</si>
  <si>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</si>
  <si>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</si>
  <si>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</si>
  <si>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</si>
  <si>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</si>
  <si>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</si>
  <si>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</si>
  <si>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</si>
  <si>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</si>
  <si>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</si>
  <si>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</si>
  <si>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</si>
  <si>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</si>
  <si>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</si>
  <si>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</si>
  <si>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</si>
  <si>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</si>
  <si>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</si>
  <si>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</si>
  <si>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</si>
  <si>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</si>
  <si>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</si>
  <si>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</si>
  <si>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</si>
  <si>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</si>
  <si>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</si>
  <si>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</si>
  <si>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</si>
  <si>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</si>
  <si>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</si>
  <si>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</si>
  <si>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</si>
  <si>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</si>
  <si>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</si>
  <si>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</si>
  <si>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</si>
  <si>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</si>
  <si>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</si>
  <si>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</si>
  <si>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</si>
  <si>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</si>
  <si>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</si>
  <si>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</si>
  <si>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</si>
  <si>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</si>
  <si>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</si>
  <si>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</si>
  <si>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</si>
  <si>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</si>
  <si>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</si>
  <si>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</si>
  <si>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</si>
  <si>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</si>
  <si>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</si>
  <si>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</si>
  <si>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</si>
  <si>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</si>
  <si>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</si>
  <si>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</si>
  <si>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</si>
  <si>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</si>
  <si>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</si>
  <si>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</si>
  <si>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</si>
  <si>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</si>
  <si>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</si>
  <si>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</si>
  <si>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</si>
  <si>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</si>
  <si>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</si>
  <si>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</si>
  <si>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</si>
  <si>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</si>
  <si>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</si>
  <si>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</si>
  <si>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</si>
  <si>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</si>
  <si>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</si>
  <si>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</si>
  <si>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</si>
  <si>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</si>
  <si>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</si>
  <si>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</si>
  <si>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</si>
  <si>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</si>
  <si>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</si>
  <si>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</si>
  <si>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</si>
  <si>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</si>
  <si>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</si>
  <si>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</si>
  <si>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</si>
  <si>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</si>
  <si>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</si>
  <si>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</si>
  <si>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</si>
  <si>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</si>
  <si>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</si>
  <si>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</si>
  <si>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</si>
  <si>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</si>
  <si>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</si>
  <si>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</si>
  <si>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</si>
  <si>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</si>
  <si>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</si>
  <si>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</si>
  <si>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</si>
  <si>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</si>
  <si>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</si>
  <si>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</si>
  <si>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</si>
  <si>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</si>
  <si>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</si>
  <si>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</si>
  <si>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</si>
  <si>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</si>
  <si>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</si>
  <si>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</si>
  <si>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</si>
  <si>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</si>
  <si>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</si>
  <si>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</si>
  <si>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</si>
  <si>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</si>
  <si>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</si>
  <si>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</si>
  <si>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</si>
  <si>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</si>
  <si>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</si>
  <si>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</si>
  <si>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</si>
  <si>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</si>
  <si>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</si>
  <si>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</si>
  <si>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</si>
  <si>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</si>
  <si>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</si>
  <si>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</si>
  <si>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</si>
  <si>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</si>
  <si>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</si>
  <si>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</si>
  <si>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</si>
  <si>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</si>
  <si>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</si>
  <si>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</si>
  <si>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</si>
  <si>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</si>
  <si>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</si>
  <si>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</si>
  <si>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</si>
  <si>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</si>
  <si>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</si>
  <si>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</si>
  <si>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</si>
  <si>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</si>
  <si>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</si>
  <si>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</si>
  <si>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</si>
  <si>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</si>
  <si>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</si>
  <si>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</si>
  <si>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</si>
  <si>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</si>
  <si>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</si>
  <si>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</si>
  <si>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</si>
  <si>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</si>
  <si>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</si>
  <si>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</si>
  <si>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</si>
  <si>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</si>
  <si>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</si>
  <si>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</si>
  <si>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</si>
  <si>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</si>
  <si>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</si>
  <si>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</si>
  <si>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</si>
  <si>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</si>
  <si>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</si>
  <si>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</si>
  <si>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</si>
  <si>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</si>
  <si>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</si>
  <si>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</si>
  <si>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</si>
  <si>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</si>
  <si>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</si>
  <si>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</si>
  <si>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</si>
  <si>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</si>
  <si>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</si>
  <si>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</si>
  <si>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</si>
  <si>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</si>
  <si>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</si>
  <si>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</si>
  <si>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</si>
  <si>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</si>
  <si>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</si>
  <si>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</si>
  <si>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</si>
  <si>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</si>
  <si>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</si>
  <si>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</si>
  <si>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</si>
  <si>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</si>
  <si>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</si>
  <si>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</si>
  <si>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</si>
  <si>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</si>
  <si>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</si>
  <si>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</si>
  <si>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</si>
  <si>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</si>
  <si>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</si>
  <si>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</si>
  <si>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</si>
  <si>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</si>
  <si>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</si>
  <si>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</si>
  <si>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</si>
  <si>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</si>
  <si>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</si>
  <si>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</si>
  <si>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</si>
  <si>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</si>
  <si>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</si>
  <si>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</si>
  <si>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</si>
  <si>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</si>
  <si>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</si>
  <si>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</si>
  <si>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</si>
  <si>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</si>
  <si>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</si>
  <si>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</si>
  <si>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</si>
  <si>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</si>
  <si>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</si>
  <si>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</si>
  <si>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</si>
  <si>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</si>
  <si>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</si>
  <si>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</si>
  <si>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</si>
  <si>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</si>
  <si>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</si>
  <si>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</si>
  <si>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</si>
  <si>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</si>
  <si>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</si>
  <si>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</si>
  <si>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</si>
  <si>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</si>
  <si>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</si>
  <si>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</si>
  <si>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</si>
  <si>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</si>
  <si>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</si>
  <si>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</si>
  <si>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</si>
  <si>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</si>
  <si>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</si>
  <si>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</si>
  <si>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</si>
  <si>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</si>
  <si>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</si>
  <si>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</si>
  <si>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</si>
  <si>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</si>
  <si>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</si>
  <si>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</si>
  <si>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</si>
  <si>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</si>
  <si>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</si>
  <si>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</si>
  <si>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</si>
  <si>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</si>
  <si>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</si>
  <si>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</si>
  <si>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</si>
  <si>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</si>
  <si>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</si>
  <si>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</si>
  <si>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</si>
  <si>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</si>
  <si>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</si>
  <si>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</si>
  <si>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</si>
  <si>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</si>
  <si>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</si>
  <si>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</si>
  <si>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</si>
  <si>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</si>
  <si>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</si>
  <si>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</si>
  <si>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</si>
  <si>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</si>
  <si>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</si>
  <si>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</si>
  <si>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</si>
  <si>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</si>
  <si>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</si>
  <si>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</si>
  <si>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</si>
  <si>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</si>
  <si>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</si>
  <si>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</si>
  <si>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</si>
  <si>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</si>
  <si>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</si>
  <si>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</si>
  <si>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</si>
  <si>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</si>
  <si>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</si>
  <si>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</si>
  <si>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</si>
  <si>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</si>
  <si>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</si>
  <si>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</si>
  <si>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</si>
  <si>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</si>
  <si>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</si>
  <si>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</si>
  <si>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</si>
  <si>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</si>
  <si>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</si>
  <si>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</si>
  <si>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</si>
  <si>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</si>
  <si>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</si>
  <si>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</si>
  <si>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</si>
  <si>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</si>
  <si>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</si>
  <si>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</si>
  <si>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</si>
  <si>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</si>
  <si>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</si>
  <si>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</si>
  <si>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</si>
  <si>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</si>
  <si>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</si>
  <si>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</si>
  <si>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</si>
  <si>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</si>
  <si>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</si>
  <si>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</si>
  <si>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</si>
  <si>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</si>
  <si>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</si>
  <si>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</si>
  <si>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</si>
  <si>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</si>
  <si>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</si>
  <si>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</si>
  <si>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</si>
  <si>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</si>
  <si>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</si>
  <si>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</si>
  <si>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</si>
  <si>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</si>
  <si>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</si>
  <si>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</si>
  <si>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</si>
  <si>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</si>
  <si>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</si>
  <si>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</si>
  <si>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</si>
  <si>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</si>
  <si>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</si>
  <si>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</si>
  <si>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</si>
  <si>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</si>
  <si>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</si>
  <si>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</si>
  <si>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</si>
  <si>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</si>
  <si>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</si>
  <si>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</si>
  <si>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</si>
  <si>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</si>
  <si>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</si>
  <si>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</si>
  <si>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</si>
  <si>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</si>
  <si>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</si>
  <si>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</si>
  <si>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</si>
  <si>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</si>
  <si>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</si>
  <si>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</si>
  <si>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</si>
  <si>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</si>
  <si>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</si>
  <si>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</si>
  <si>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</si>
  <si>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</si>
  <si>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</si>
  <si>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</si>
  <si>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</si>
  <si>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</si>
  <si>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</si>
  <si>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</si>
  <si>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</si>
  <si>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</si>
  <si>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</si>
  <si>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</si>
  <si>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</si>
  <si>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</si>
  <si>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</si>
  <si>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</si>
  <si>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</si>
  <si>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</si>
  <si>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</si>
  <si>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</si>
  <si>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</si>
  <si>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</si>
  <si>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</si>
  <si>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</si>
  <si>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</si>
  <si>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</si>
  <si>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</si>
  <si>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</si>
  <si>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</si>
  <si>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</si>
  <si>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</si>
  <si>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</si>
  <si>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</si>
  <si>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</si>
  <si>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</si>
  <si>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</si>
  <si>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</si>
  <si>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</si>
  <si>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</si>
  <si>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</si>
  <si>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</si>
  <si>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</si>
  <si>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</si>
  <si>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</si>
  <si>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</si>
  <si>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</si>
  <si>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</si>
  <si>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</si>
  <si>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</si>
  <si>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</si>
  <si>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</si>
  <si>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</si>
  <si>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</si>
  <si>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</si>
  <si>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</si>
  <si>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</si>
  <si>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</si>
  <si>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</si>
  <si>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</si>
  <si>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</si>
  <si>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</si>
  <si>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</si>
  <si>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</si>
  <si>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</si>
  <si>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</si>
  <si>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</si>
  <si>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</si>
  <si>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</si>
  <si>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</si>
  <si>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</si>
  <si>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</si>
  <si>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</si>
  <si>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</si>
  <si>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</si>
  <si>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</si>
  <si>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</si>
  <si>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</si>
  <si>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</si>
  <si>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</si>
  <si>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</si>
  <si>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</si>
  <si>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</si>
  <si>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</si>
  <si>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</si>
  <si>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</si>
  <si>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</si>
  <si>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</si>
  <si>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</si>
  <si>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</si>
  <si>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</si>
  <si>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</si>
  <si>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</si>
  <si>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</si>
  <si>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</si>
  <si>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</si>
  <si>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</si>
  <si>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</si>
  <si>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</si>
  <si>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</si>
  <si>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</si>
  <si>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</si>
  <si>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</si>
  <si>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</si>
  <si>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</si>
  <si>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</si>
  <si>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</si>
  <si>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</si>
  <si>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</si>
  <si>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</si>
  <si>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</si>
  <si>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</si>
  <si>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</si>
  <si>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</si>
  <si>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</si>
  <si>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</si>
  <si>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</si>
  <si>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</si>
  <si>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</si>
  <si>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</si>
  <si>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</si>
  <si>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</si>
  <si>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</si>
  <si>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</si>
  <si>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</si>
  <si>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</si>
  <si>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</si>
  <si>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</si>
  <si>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</si>
  <si>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</si>
  <si>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</si>
  <si>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</si>
  <si>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</si>
  <si>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</si>
  <si>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</si>
  <si>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</si>
  <si>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</si>
  <si>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</si>
  <si>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</si>
  <si>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</si>
  <si>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</si>
  <si>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</si>
  <si>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</si>
  <si>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</si>
  <si>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</si>
  <si>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</si>
  <si>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</si>
  <si>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</si>
  <si>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</si>
  <si>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</si>
  <si>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</si>
  <si>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</si>
  <si>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</si>
  <si>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</si>
  <si>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</si>
  <si>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</si>
  <si>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</si>
  <si>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</si>
  <si>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</si>
  <si>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</si>
  <si>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</si>
  <si>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</si>
  <si>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</si>
  <si>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</si>
  <si>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</si>
  <si>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</si>
  <si>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</si>
  <si>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</si>
  <si>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</si>
  <si>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</si>
  <si>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</si>
  <si>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</si>
  <si>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</si>
  <si>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</si>
  <si>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</si>
  <si>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</si>
  <si>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</si>
  <si>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</si>
  <si>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</si>
  <si>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</si>
  <si>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</si>
  <si>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</si>
  <si>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</si>
  <si>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</si>
  <si>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</si>
  <si>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</si>
  <si>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</si>
  <si>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</si>
  <si>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</si>
  <si>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</si>
  <si>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</si>
  <si>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</si>
  <si>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</si>
  <si>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</si>
  <si>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</si>
  <si>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</si>
  <si>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</si>
  <si>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</si>
  <si>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</si>
  <si>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</si>
  <si>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</si>
  <si>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</si>
  <si>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</si>
  <si>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</si>
  <si>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</si>
  <si>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</si>
  <si>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</si>
  <si>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</si>
  <si>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</si>
  <si>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</si>
  <si>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</si>
  <si>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</si>
  <si>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</si>
  <si>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</si>
  <si>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</si>
  <si>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</si>
  <si>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</si>
  <si>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</si>
  <si>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</si>
  <si>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</si>
  <si>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</si>
  <si>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</si>
  <si>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</si>
  <si>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</si>
  <si>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</si>
  <si>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</si>
  <si>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</si>
  <si>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</si>
  <si>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</si>
  <si>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</si>
  <si>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</si>
  <si>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</si>
  <si>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</si>
  <si>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</si>
  <si>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</si>
  <si>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</si>
  <si>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</si>
  <si>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</si>
  <si>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</si>
  <si>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</si>
  <si>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</si>
  <si>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</si>
  <si>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</si>
  <si>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</si>
  <si>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</si>
  <si>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</si>
  <si>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</si>
  <si>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</si>
  <si>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</si>
  <si>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</si>
  <si>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</si>
  <si>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</si>
  <si>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</si>
  <si>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</si>
  <si>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</si>
  <si>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</si>
  <si>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</si>
  <si>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</si>
  <si>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</si>
  <si>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</si>
  <si>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</si>
  <si>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</si>
  <si>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</si>
  <si>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</si>
  <si>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</si>
  <si>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</si>
  <si>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</si>
  <si>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</si>
  <si>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</si>
  <si>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</si>
  <si>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</si>
  <si>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</si>
  <si>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</si>
  <si>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</si>
  <si>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</si>
  <si>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</si>
  <si>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</si>
  <si>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</si>
  <si>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</si>
  <si>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</si>
  <si>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</si>
  <si>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</si>
  <si>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</si>
  <si>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</si>
  <si>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</si>
  <si>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</si>
  <si>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</si>
  <si>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</si>
  <si>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</si>
  <si>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</si>
  <si>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</si>
  <si>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</si>
  <si>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</si>
  <si>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</si>
  <si>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</si>
  <si>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</si>
  <si>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</si>
  <si>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</si>
  <si>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</si>
  <si>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</si>
  <si>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</si>
  <si>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</si>
  <si>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</si>
  <si>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</si>
  <si>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</si>
  <si>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</si>
  <si>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</si>
  <si>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</si>
  <si>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</si>
  <si>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</si>
  <si>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</si>
  <si>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</si>
  <si>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</si>
  <si>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</si>
  <si>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</si>
  <si>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</si>
  <si>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</si>
  <si>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</si>
  <si>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</si>
  <si>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</si>
  <si>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</si>
  <si>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</si>
  <si>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</si>
  <si>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</si>
  <si>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</si>
  <si>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</si>
  <si>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</si>
  <si>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</si>
  <si>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</si>
  <si>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</si>
  <si>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</si>
  <si>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</si>
  <si>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</si>
  <si>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</si>
  <si>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</si>
  <si>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</si>
  <si>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</si>
  <si>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</si>
  <si>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</si>
  <si>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</si>
  <si>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</si>
  <si>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</si>
  <si>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</si>
  <si>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</si>
  <si>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</si>
  <si>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</si>
  <si>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</si>
  <si>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</si>
  <si>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</si>
  <si>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</si>
  <si>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</si>
  <si>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</si>
  <si>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</si>
  <si>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</si>
  <si>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</si>
  <si>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</si>
  <si>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</si>
  <si>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</si>
  <si>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</si>
  <si>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</si>
  <si>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</si>
  <si>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</si>
  <si>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</si>
  <si>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</si>
  <si>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</si>
  <si>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</si>
  <si>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</si>
  <si>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</si>
  <si>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</si>
  <si>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</si>
  <si>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</si>
  <si>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</si>
  <si>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</si>
  <si>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</si>
  <si>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</si>
  <si>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</si>
  <si>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</si>
  <si>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</si>
  <si>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</si>
  <si>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</si>
  <si>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</si>
  <si>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</si>
  <si>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</si>
  <si>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</si>
  <si>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</si>
  <si>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</si>
  <si>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</si>
  <si>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</si>
  <si>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</si>
  <si>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</si>
  <si>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</si>
  <si>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</si>
  <si>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</si>
  <si>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</si>
  <si>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</si>
  <si>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</si>
  <si>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</si>
  <si>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</si>
  <si>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</si>
  <si>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</si>
  <si>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</si>
  <si>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</si>
  <si>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</si>
  <si>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</si>
  <si>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</si>
  <si>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</si>
  <si>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</si>
  <si>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</si>
  <si>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</si>
  <si>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</si>
  <si>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</si>
  <si>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</si>
  <si>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</si>
  <si>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</si>
  <si>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</si>
  <si>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</si>
  <si>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</si>
  <si>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</si>
  <si>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</si>
  <si>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</si>
  <si>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</si>
  <si>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</si>
  <si>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</si>
  <si>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</si>
  <si>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</si>
  <si>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</si>
  <si>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</si>
  <si>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</si>
  <si>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</si>
  <si>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</si>
  <si>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</si>
  <si>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</si>
  <si>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</si>
  <si>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</si>
  <si>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</si>
  <si>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</si>
  <si>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</si>
  <si>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</si>
  <si>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</si>
  <si>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</si>
  <si>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</si>
  <si>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</si>
  <si>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</si>
  <si>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</si>
  <si>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</si>
  <si>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</si>
  <si>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</si>
  <si>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</si>
  <si>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</si>
  <si>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</si>
  <si>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</si>
  <si>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</si>
  <si>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</si>
  <si>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</si>
  <si>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</si>
  <si>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</si>
  <si>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</si>
  <si>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</si>
  <si>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</si>
  <si>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</si>
  <si>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</si>
  <si>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</si>
  <si>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</si>
  <si>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</si>
  <si>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</si>
  <si>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</si>
  <si>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</si>
  <si>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</si>
  <si>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</si>
  <si>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</si>
  <si>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</si>
  <si>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</si>
  <si>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</si>
  <si>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</si>
  <si>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</si>
  <si>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</si>
  <si>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</si>
  <si>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</si>
  <si>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</si>
  <si>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</si>
  <si>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</si>
  <si>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</si>
  <si>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</si>
  <si>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</si>
  <si>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</si>
  <si>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</si>
  <si>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</si>
  <si>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</si>
  <si>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</si>
  <si>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</si>
  <si>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</si>
  <si>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</si>
  <si>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</si>
  <si>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</si>
  <si>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</si>
  <si>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</si>
  <si>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</si>
  <si>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</si>
  <si>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</si>
  <si>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</si>
  <si>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</si>
  <si>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</si>
  <si>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</si>
  <si>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</si>
  <si>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</si>
  <si>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</si>
  <si>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</si>
  <si>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</si>
  <si>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</si>
  <si>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</si>
  <si>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</si>
  <si>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</si>
  <si>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</si>
  <si>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</si>
  <si>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</si>
  <si>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</si>
  <si>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</si>
  <si>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</si>
  <si>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</si>
  <si>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</si>
  <si>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</si>
  <si>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</si>
  <si>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</si>
  <si>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</si>
  <si>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</si>
  <si>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</si>
  <si>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</si>
  <si>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</si>
  <si>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</si>
  <si>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</si>
  <si>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</si>
  <si>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</si>
  <si>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</si>
  <si>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</si>
  <si>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</si>
  <si>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</si>
  <si>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</si>
  <si>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</si>
  <si>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</si>
  <si>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</si>
  <si>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</si>
  <si>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</si>
  <si>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</si>
  <si>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</si>
  <si>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</si>
  <si>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</si>
  <si>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</si>
  <si>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</si>
  <si>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</si>
  <si>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</si>
  <si>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</si>
  <si>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</si>
  <si>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</si>
  <si>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</si>
  <si>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</si>
  <si>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</si>
  <si>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</si>
  <si>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</si>
  <si>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</si>
  <si>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</si>
  <si>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</si>
  <si>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</si>
  <si>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</si>
  <si>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</si>
  <si>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</si>
  <si>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</si>
  <si>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</si>
  <si>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</si>
  <si>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</si>
  <si>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</si>
  <si>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</si>
  <si>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</si>
  <si>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</si>
  <si>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</si>
  <si>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</si>
  <si>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</si>
  <si>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</si>
  <si>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</si>
  <si>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</si>
  <si>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</si>
  <si>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</si>
  <si>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</si>
  <si>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</si>
  <si>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</si>
  <si>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</si>
  <si>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</si>
  <si>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</si>
  <si>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</si>
  <si>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</si>
  <si>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</si>
  <si>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</si>
  <si>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</si>
  <si>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</si>
  <si>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</si>
  <si>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</si>
  <si>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</si>
  <si>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</si>
  <si>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</si>
  <si>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</si>
  <si>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</si>
  <si>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</si>
  <si>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</si>
  <si>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</si>
  <si>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</si>
  <si>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</si>
  <si>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</si>
  <si>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</si>
  <si>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</si>
  <si>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</si>
  <si>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</si>
  <si>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</si>
  <si>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</si>
  <si>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</si>
  <si>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</si>
  <si>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</si>
  <si>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</si>
  <si>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</si>
  <si>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</si>
  <si>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</si>
  <si>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</si>
  <si>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</si>
  <si>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</si>
  <si>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</si>
  <si>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</si>
  <si>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</si>
  <si>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</si>
  <si>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</si>
  <si>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</si>
  <si>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</si>
  <si>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</si>
  <si>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</si>
  <si>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</si>
  <si>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</si>
  <si>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</si>
  <si>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</si>
  <si>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</si>
  <si>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</si>
  <si>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</si>
  <si>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</si>
  <si>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</si>
  <si>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</si>
  <si>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</si>
  <si>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</si>
  <si>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</si>
  <si>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</si>
  <si>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</si>
  <si>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</si>
  <si>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</si>
  <si>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</si>
  <si>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</si>
  <si>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</si>
  <si>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</si>
  <si>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</si>
  <si>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</si>
  <si>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</si>
  <si>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</si>
  <si>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</si>
  <si>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</si>
  <si>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</si>
  <si>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</si>
  <si>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</si>
  <si>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</si>
  <si>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</si>
  <si>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</si>
  <si>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</si>
  <si>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</si>
  <si>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</si>
  <si>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</si>
  <si>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</si>
  <si>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</si>
  <si>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</si>
  <si>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</si>
  <si>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</si>
  <si>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</si>
  <si>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</si>
  <si>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</si>
  <si>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</si>
  <si>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</si>
  <si>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</si>
  <si>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</si>
  <si>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</si>
  <si>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</si>
  <si>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</si>
  <si>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</si>
  <si>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</si>
  <si>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</si>
  <si>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</si>
  <si>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</si>
  <si>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</si>
  <si>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</si>
  <si>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</si>
  <si>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</si>
  <si>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</si>
  <si>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</si>
  <si>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</si>
  <si>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</si>
  <si>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</si>
  <si>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</si>
  <si>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</si>
  <si>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</si>
  <si>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</si>
  <si>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</si>
  <si>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</si>
  <si>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</si>
  <si>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</si>
  <si>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</si>
  <si>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</si>
  <si>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</si>
  <si>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</si>
  <si>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</si>
  <si>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</si>
  <si>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</si>
  <si>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</si>
  <si>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</si>
  <si>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</si>
  <si>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</si>
  <si>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</si>
  <si>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</si>
  <si>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</si>
  <si>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</si>
  <si>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</si>
  <si>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</si>
  <si>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</si>
  <si>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</si>
  <si>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</si>
  <si>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</si>
  <si>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</si>
  <si>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</si>
  <si>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</si>
  <si>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</si>
  <si>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</si>
  <si>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</si>
  <si>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</si>
  <si>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</si>
  <si>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</si>
  <si>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</si>
  <si>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</si>
  <si>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</si>
  <si>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</si>
  <si>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</si>
  <si>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</si>
  <si>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</si>
  <si>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</si>
  <si>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</si>
  <si>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</si>
  <si>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</si>
  <si>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</si>
  <si>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</si>
  <si>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</si>
  <si>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</si>
  <si>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</si>
  <si>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</si>
  <si>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</si>
  <si>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</si>
  <si>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</si>
  <si>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</si>
  <si>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</si>
  <si>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</si>
  <si>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</si>
  <si>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</si>
  <si>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</si>
  <si>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</si>
  <si>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</si>
  <si>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</si>
  <si>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</si>
  <si>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</si>
  <si>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</si>
  <si>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</si>
  <si>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</si>
  <si>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</si>
  <si>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</si>
  <si>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</si>
  <si>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</si>
  <si>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</si>
  <si>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</si>
  <si>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</si>
  <si>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</si>
  <si>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</si>
  <si>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</si>
  <si>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</si>
  <si>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</si>
  <si>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</si>
  <si>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</si>
  <si>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</si>
  <si>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</si>
  <si>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</si>
  <si>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</si>
  <si>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</si>
  <si>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</si>
  <si>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</si>
  <si>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</si>
  <si>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</si>
  <si>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</si>
  <si>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</si>
  <si>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</si>
  <si>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</si>
  <si>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</si>
  <si>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</si>
  <si>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</si>
  <si>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</si>
  <si>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</si>
  <si>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</si>
  <si>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</si>
  <si>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</si>
  <si>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</si>
  <si>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</si>
  <si>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</si>
  <si>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</si>
  <si>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</si>
  <si>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</si>
  <si>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</si>
  <si>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</si>
  <si>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</si>
  <si>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</si>
  <si>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</si>
  <si>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</si>
  <si>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</si>
  <si>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</si>
  <si>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</si>
  <si>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</si>
  <si>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</si>
  <si>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</si>
  <si>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</si>
  <si>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</si>
  <si>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</si>
  <si>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</si>
  <si>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</si>
  <si>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</si>
  <si>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</si>
  <si>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</si>
  <si>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</si>
  <si>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</si>
  <si>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</si>
  <si>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</si>
  <si>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</si>
  <si>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</si>
  <si>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</si>
  <si>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</si>
  <si>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</si>
  <si>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</si>
  <si>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</si>
  <si>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</si>
  <si>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</si>
  <si>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</si>
  <si>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</si>
  <si>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</si>
  <si>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</si>
  <si>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</si>
  <si>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</si>
  <si>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</si>
  <si>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</si>
  <si>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</si>
  <si>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</si>
  <si>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</si>
  <si>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</si>
  <si>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</si>
  <si>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</si>
  <si>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</si>
  <si>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</si>
  <si>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</si>
  <si>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</si>
  <si>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</si>
  <si>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</si>
  <si>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</si>
  <si>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</si>
  <si>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</si>
  <si>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</si>
  <si>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</si>
  <si>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</si>
  <si>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</si>
  <si>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</si>
  <si>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</si>
  <si>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</si>
  <si>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</si>
  <si>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</si>
  <si>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</si>
  <si>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</si>
  <si>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</si>
  <si>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</si>
  <si>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</si>
  <si>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</si>
  <si>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</si>
  <si>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</si>
  <si>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</si>
  <si>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</si>
  <si>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</si>
  <si>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</si>
  <si>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</si>
  <si>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</si>
  <si>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</si>
  <si>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</si>
  <si>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</si>
  <si>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</si>
  <si>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</si>
  <si>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</si>
  <si>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</si>
  <si>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</si>
  <si>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</si>
  <si>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</si>
  <si>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</si>
  <si>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</si>
  <si>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</si>
  <si>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</si>
  <si>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</si>
  <si>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</si>
  <si>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</si>
  <si>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</si>
  <si>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</si>
  <si>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</si>
  <si>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</si>
  <si>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</si>
  <si>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</si>
  <si>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</si>
  <si>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</si>
  <si>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</si>
  <si>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</si>
  <si>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</si>
  <si>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</si>
  <si>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</si>
  <si>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</si>
  <si>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</si>
  <si>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</si>
  <si>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</si>
  <si>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</si>
  <si>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</si>
  <si>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</si>
  <si>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</si>
  <si>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</si>
  <si>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</si>
  <si>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</si>
  <si>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</si>
  <si>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</si>
  <si>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</si>
  <si>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</si>
  <si>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</si>
  <si>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</si>
  <si>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</si>
  <si>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</si>
  <si>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</si>
  <si>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</si>
  <si>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</si>
  <si>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</si>
  <si>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</si>
  <si>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</si>
  <si>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</si>
  <si>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</si>
  <si>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</si>
  <si>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</si>
  <si>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</si>
  <si>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</si>
  <si>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</si>
  <si>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</si>
  <si>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</si>
  <si>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</si>
  <si>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</si>
  <si>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</si>
  <si>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</si>
  <si>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</si>
  <si>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</si>
  <si>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</si>
  <si>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</si>
  <si>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</si>
  <si>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</si>
  <si>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</si>
  <si>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</si>
  <si>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</si>
  <si>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</si>
  <si>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</si>
  <si>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</si>
  <si>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</si>
  <si>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</si>
  <si>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</si>
  <si>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</si>
  <si>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</si>
  <si>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</si>
  <si>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</si>
  <si>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</si>
  <si>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</si>
  <si>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</si>
  <si>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</si>
  <si>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</si>
  <si>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</si>
  <si>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</si>
  <si>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</si>
  <si>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</si>
  <si>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</si>
  <si>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</si>
  <si>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</si>
  <si>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</si>
  <si>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</si>
  <si>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</si>
  <si>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</si>
  <si>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</si>
  <si>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</si>
  <si>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</si>
  <si>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</si>
  <si>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</si>
  <si>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</si>
  <si>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</si>
  <si>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</si>
  <si>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</si>
  <si>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</si>
  <si>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</si>
  <si>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</si>
  <si>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</si>
  <si>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</si>
  <si>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</si>
  <si>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</si>
  <si>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</si>
  <si>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</si>
  <si>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</si>
  <si>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</si>
  <si>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</si>
  <si>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</si>
  <si>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</si>
  <si>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</si>
  <si>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</si>
  <si>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</si>
  <si>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</si>
  <si>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</si>
  <si>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</si>
  <si>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</si>
  <si>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</si>
  <si>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</si>
  <si>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</si>
  <si>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</si>
  <si>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</si>
  <si>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</si>
  <si>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</si>
  <si>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</si>
  <si>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</si>
  <si>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</si>
  <si>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</si>
  <si>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</si>
  <si>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</si>
  <si>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</si>
  <si>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</si>
  <si>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</si>
  <si>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</si>
  <si>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</si>
  <si>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</si>
  <si>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</si>
  <si>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</si>
  <si>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</si>
  <si>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</si>
  <si>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</si>
  <si>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</si>
  <si>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</si>
  <si>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</si>
  <si>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</si>
  <si>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</si>
  <si>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</si>
  <si>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</si>
  <si>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</si>
  <si>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</si>
  <si>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</si>
  <si>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</si>
  <si>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</si>
  <si>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</si>
  <si>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</si>
  <si>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</si>
  <si>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</si>
  <si>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</si>
  <si>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</si>
  <si>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</si>
  <si>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</si>
  <si>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</si>
  <si>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</si>
  <si>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</si>
  <si>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</si>
  <si>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</si>
  <si>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</si>
  <si>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</si>
  <si>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</si>
  <si>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</si>
  <si>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</si>
  <si>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</si>
  <si>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</si>
  <si>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</si>
  <si>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</si>
  <si>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</si>
  <si>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</si>
  <si>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</si>
  <si>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</si>
  <si>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</si>
  <si>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</si>
  <si>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</si>
  <si>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</si>
  <si>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</si>
  <si>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</si>
  <si>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</si>
  <si>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</si>
  <si>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</si>
  <si>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</si>
  <si>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</si>
  <si>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</si>
  <si>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</si>
  <si>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</si>
  <si>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</si>
  <si>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</si>
  <si>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</si>
  <si>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</si>
  <si>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</si>
  <si>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</si>
  <si>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</si>
  <si>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</si>
  <si>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</si>
  <si>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</si>
  <si>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</si>
  <si>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</si>
  <si>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</si>
  <si>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</si>
  <si>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</si>
  <si>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</si>
  <si>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</si>
  <si>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</si>
  <si>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</si>
  <si>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</si>
  <si>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</si>
  <si>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</si>
  <si>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</si>
  <si>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</si>
  <si>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</si>
  <si>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</si>
  <si>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</si>
  <si>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</si>
  <si>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</si>
  <si>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</si>
  <si>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</si>
  <si>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</si>
  <si>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</si>
  <si>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</si>
  <si>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</si>
  <si>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</si>
  <si>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</si>
  <si>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</si>
  <si>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</si>
  <si>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</si>
  <si>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</si>
  <si>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</si>
  <si>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</si>
  <si>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</si>
  <si>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</si>
  <si>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</si>
  <si>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</si>
  <si>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</si>
  <si>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</si>
  <si>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</si>
  <si>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</si>
  <si>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</si>
  <si>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</si>
  <si>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</si>
  <si>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</si>
  <si>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</si>
  <si>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</si>
  <si>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</si>
  <si>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</si>
  <si>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</si>
  <si>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</si>
  <si>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</si>
  <si>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b</t>
    <phoneticPr fontId="6"/>
  </si>
  <si>
    <t>c</t>
    <phoneticPr fontId="6"/>
  </si>
  <si>
    <t>d</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</si>
</sst>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1">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0" fillId="0" borderId="0" xfId="0" applyFont="1" applyFill="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28576</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4C21D126-C5C8-4169-83F7-546C54EC451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6"/>
  <sheetViews>
    <sheetView tabSelected="1" zoomScaleNormal="100" workbookViewId="0">
      <selection activeCell="D11" sqref="D11"/>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43922</v>
      </c>
      <c r="C2" s="140" t="s">
        <v>1493</v>
      </c>
    </row>
    <row r="3" spans="1:28" ht="18.75" customHeight="1">
      <c r="A3" s="142">
        <v>44104</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t="s">
        <v>1521</v>
      </c>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s="180"/>
      <c r="K7" s="149" t="s">
        <v>54</v>
      </c>
      <c r="L7" s="150"/>
      <c r="M7" s="150"/>
    </row>
    <row r="8" spans="1:28" ht="18.75" customHeight="1">
      <c r="A8" s="140" t="s">
        <v>1495</v>
      </c>
      <c r="B8" s="140" t="b">
        <f>ISREF(承認記録)</f>
        <v>1</v>
      </c>
      <c r="D8" s="180" t="s">
        <v>1573</v>
      </c>
      <c r="K8" s="149" t="s">
        <v>779</v>
      </c>
      <c r="L8" s="150"/>
      <c r="M8" s="150"/>
    </row>
    <row r="9" spans="1:28" ht="18.75" customHeight="1">
      <c r="A9" s="140" t="s">
        <v>1496</v>
      </c>
      <c r="B9" s="140" t="b">
        <f>ISREF(取引区分)</f>
        <v>1</v>
      </c>
      <c r="D9" s="180" t="s">
        <v>1574</v>
      </c>
      <c r="K9" s="149" t="s">
        <v>166</v>
      </c>
      <c r="L9" s="150"/>
      <c r="M9" s="150"/>
    </row>
    <row r="10" spans="1:28" ht="18.75" customHeight="1">
      <c r="A10" s="140" t="s">
        <v>1516</v>
      </c>
      <c r="B10" s="140" t="b">
        <f ca="1">ISREF(取引区分(非ゼロ))</f>
        <v>0</v>
      </c>
      <c r="D10"/>
      <c r="K10" s="149" t="s">
        <v>1077</v>
      </c>
      <c r="L10" s="150"/>
      <c r="M10" s="150"/>
    </row>
    <row r="11" spans="1:28" ht="18.75" customHeight="1">
      <c r="A11" s="140" t="s">
        <v>1498</v>
      </c>
      <c r="B11" s="140" t="b">
        <f>ISREF(組織集計)</f>
        <v>1</v>
      </c>
      <c r="D11"/>
      <c r="K11" s="149" t="s">
        <v>87</v>
      </c>
      <c r="L11" s="150"/>
      <c r="M11" s="150"/>
    </row>
    <row r="12" spans="1:28" ht="18.75" customHeight="1">
      <c r="A12" s="140" t="s">
        <v>1517</v>
      </c>
      <c r="B12" s="140" t="b">
        <f ca="1">ISREF(組織集計(非ゼロ))</f>
        <v>0</v>
      </c>
      <c r="D12" t="s">
        <v>1575</v>
      </c>
      <c r="K12" s="149" t="s">
        <v>494</v>
      </c>
      <c r="L12" s="150"/>
      <c r="M12" s="150"/>
    </row>
    <row r="13" spans="1:28" ht="18.75" customHeight="1">
      <c r="A13" s="140" t="s">
        <v>1508</v>
      </c>
      <c r="B13" s="140" t="b">
        <f>ISREF(仕向地集計)</f>
        <v>0</v>
      </c>
      <c r="D13"/>
      <c r="K13" s="149" t="s">
        <v>73</v>
      </c>
      <c r="L13" s="150"/>
      <c r="M13" s="150"/>
    </row>
    <row r="14" spans="1:28" ht="18.75" customHeight="1">
      <c r="A14" s="140" t="s">
        <v>1509</v>
      </c>
      <c r="B14" s="140" t="b">
        <f ca="1">ISREF(仕向地集計(トップ))</f>
        <v>0</v>
      </c>
      <c r="D14"/>
      <c r="K14" s="149" t="s">
        <v>259</v>
      </c>
      <c r="L14" s="150"/>
      <c r="M14" s="150"/>
    </row>
    <row r="15" spans="1:28" ht="18.75" customHeight="1">
      <c r="A15" s="140" t="s">
        <v>1512</v>
      </c>
      <c r="B15" s="140" t="b">
        <f>ISREF(該当取引)</f>
        <v>0</v>
      </c>
      <c r="D15"/>
      <c r="K15" s="149" t="s">
        <v>252</v>
      </c>
      <c r="L15" s="150"/>
      <c r="M15" s="150"/>
    </row>
    <row r="16" spans="1:28" ht="18.75" customHeight="1">
      <c r="A16" s="140" t="s">
        <v>1520</v>
      </c>
      <c r="B16" s="140" t="b">
        <f>ISREF(Range_組織辞書)</f>
        <v>1</v>
      </c>
      <c r="D16"/>
      <c r="K16" s="149" t="s">
        <v>1085</v>
      </c>
      <c r="L16" s="150"/>
      <c r="M16" s="150"/>
    </row>
    <row r="17" spans="1:13" ht="18.75" customHeight="1">
      <c r="D17"/>
      <c r="K17" s="149" t="s">
        <v>116</v>
      </c>
      <c r="L17" s="150"/>
      <c r="M17" s="150"/>
    </row>
    <row r="18" spans="1:13" ht="18.75" customHeight="1">
      <c r="D18"/>
    </row>
    <row r="19" spans="1:13" ht="18.75" customHeight="1">
      <c r="A19" s="143" t="s">
        <v>1499</v>
      </c>
      <c r="B19" s="157"/>
      <c r="D19"/>
    </row>
    <row r="20" spans="1:13" ht="18.75" customHeight="1">
      <c r="A20" s="140" t="s">
        <v>1500</v>
      </c>
      <c r="B20" s="157"/>
      <c r="D20"/>
    </row>
    <row r="21" spans="1:13" ht="18.75" customHeight="1">
      <c r="A21" s="140" t="s">
        <v>1502</v>
      </c>
      <c r="B21" s="157"/>
      <c r="D21"/>
    </row>
    <row r="22" spans="1:13" ht="18.75" customHeight="1">
      <c r="A22" s="140" t="s">
        <v>1503</v>
      </c>
      <c r="B22" s="157"/>
      <c r="D22"/>
    </row>
    <row r="23" spans="1:13" ht="18.75" customHeight="1">
      <c r="A23" s="140" t="s">
        <v>1504</v>
      </c>
      <c r="B23" s="157"/>
      <c r="D23"/>
    </row>
    <row r="24" spans="1:13" ht="18.75" customHeight="1">
      <c r="A24" s="140" t="s">
        <v>1505</v>
      </c>
      <c r="B24" s="157"/>
      <c r="D24"/>
    </row>
    <row r="25" spans="1:13" ht="18.75" customHeight="1">
      <c r="A25" s="140" t="s">
        <v>1506</v>
      </c>
      <c r="B25" s="157"/>
      <c r="D25"/>
    </row>
    <row r="26" spans="1:13" ht="18.75" customHeight="1">
      <c r="D26"/>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集計名_組織_初期化">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R22"/>
  <sheetViews>
    <sheetView workbookViewId="0">
      <selection activeCell="C3" sqref="C3"/>
    </sheetView>
  </sheetViews>
  <sheetFormatPr defaultRowHeight="18.75"/>
  <sheetData>
    <row r="1" spans="1:18">
      <c r="A1" s="139" t="s">
        <v>1486</v>
      </c>
      <c r="B1" s="139" t="s">
        <v>1487</v>
      </c>
      <c r="C1" s="138"/>
      <c r="D1" s="139" t="s">
        <v>1488</v>
      </c>
      <c r="E1" s="139" t="s">
        <v>1489</v>
      </c>
    </row>
    <row r="2" spans="1:18">
      <c r="D2" t="s">
        <v>1521</v>
      </c>
      <c r="E2" t="s">
        <v>1072</v>
      </c>
      <c r="F2" t="s">
        <v>1074</v>
      </c>
      <c r="G2" t="s">
        <v>1522</v>
      </c>
      <c r="H2" t="s">
        <v>1078</v>
      </c>
      <c r="I2" t="s">
        <v>1079</v>
      </c>
      <c r="J2" t="s">
        <v>1081</v>
      </c>
      <c r="K2" t="s">
        <v>1082</v>
      </c>
      <c r="L2" t="s">
        <v>886</v>
      </c>
      <c r="M2" t="s">
        <v>604</v>
      </c>
      <c r="N2" t="s">
        <v>408</v>
      </c>
      <c r="O2" t="s">
        <v>1086</v>
      </c>
      <c r="P2" t="s">
        <v>1087</v>
      </c>
      <c r="Q2" t="s">
        <v>1089</v>
      </c>
    </row>
    <row r="3" spans="1:18">
      <c r="D3" t="s">
        <v>1242</v>
      </c>
      <c r="E3" t="s">
        <v>1090</v>
      </c>
      <c r="F3" t="s">
        <v>1092</v>
      </c>
      <c r="G3" t="s">
        <v>1093</v>
      </c>
      <c r="H3" t="s">
        <v>1094</v>
      </c>
      <c r="I3" t="s">
        <v>1096</v>
      </c>
      <c r="J3" t="s">
        <v>1523</v>
      </c>
      <c r="K3" t="s">
        <v>1524</v>
      </c>
      <c r="L3" t="s">
        <v>1099</v>
      </c>
    </row>
    <row r="4" spans="1:18">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c r="D5" t="s">
        <v>1287</v>
      </c>
      <c r="E5" t="s">
        <v>1526</v>
      </c>
      <c r="F5" t="s">
        <v>191</v>
      </c>
      <c r="G5" t="s">
        <v>1527</v>
      </c>
      <c r="H5" t="s">
        <v>1528</v>
      </c>
    </row>
    <row r="6" spans="1:18">
      <c r="D6" t="s">
        <v>1296</v>
      </c>
      <c r="E6" t="s">
        <v>1529</v>
      </c>
      <c r="F6" t="s">
        <v>368</v>
      </c>
      <c r="G6" t="s">
        <v>1195</v>
      </c>
      <c r="H6" t="s">
        <v>1117</v>
      </c>
    </row>
    <row r="7" spans="1:18">
      <c r="D7" t="s">
        <v>1530</v>
      </c>
      <c r="E7" t="s">
        <v>1531</v>
      </c>
      <c r="F7" t="s">
        <v>1532</v>
      </c>
      <c r="G7" t="s">
        <v>635</v>
      </c>
      <c r="H7" t="s">
        <v>1533</v>
      </c>
      <c r="I7" t="s">
        <v>1534</v>
      </c>
      <c r="J7" t="s">
        <v>1535</v>
      </c>
    </row>
    <row r="8" spans="1:18">
      <c r="D8" t="s">
        <v>1536</v>
      </c>
      <c r="E8" t="s">
        <v>1537</v>
      </c>
      <c r="F8" t="s">
        <v>271</v>
      </c>
      <c r="G8" t="s">
        <v>1538</v>
      </c>
      <c r="H8" t="s">
        <v>1539</v>
      </c>
      <c r="I8" t="s">
        <v>264</v>
      </c>
      <c r="J8" t="s">
        <v>1540</v>
      </c>
    </row>
    <row r="9" spans="1:18">
      <c r="D9" t="s">
        <v>1541</v>
      </c>
      <c r="E9" t="s">
        <v>1542</v>
      </c>
      <c r="F9" t="s">
        <v>396</v>
      </c>
      <c r="G9" t="s">
        <v>236</v>
      </c>
      <c r="H9" t="s">
        <v>1543</v>
      </c>
    </row>
    <row r="10" spans="1:18">
      <c r="D10" t="s">
        <v>1544</v>
      </c>
      <c r="E10" t="s">
        <v>718</v>
      </c>
      <c r="F10" t="s">
        <v>1545</v>
      </c>
      <c r="G10" t="s">
        <v>1546</v>
      </c>
      <c r="H10" t="s">
        <v>1547</v>
      </c>
    </row>
    <row r="11" spans="1:18">
      <c r="D11" t="s">
        <v>1548</v>
      </c>
      <c r="E11" t="s">
        <v>1549</v>
      </c>
      <c r="F11" t="s">
        <v>1550</v>
      </c>
    </row>
    <row r="12" spans="1:18">
      <c r="D12" t="s">
        <v>1551</v>
      </c>
      <c r="E12" t="s">
        <v>1552</v>
      </c>
      <c r="F12" t="s">
        <v>1553</v>
      </c>
      <c r="G12" t="s">
        <v>1554</v>
      </c>
      <c r="H12" t="s">
        <v>1555</v>
      </c>
      <c r="I12" t="s">
        <v>1556</v>
      </c>
    </row>
    <row r="13" spans="1:18">
      <c r="D13" t="s">
        <v>1557</v>
      </c>
    </row>
    <row r="14" spans="1:18">
      <c r="D14" t="s">
        <v>1558</v>
      </c>
      <c r="E14" t="s">
        <v>1559</v>
      </c>
      <c r="F14" t="s">
        <v>1560</v>
      </c>
      <c r="G14" t="s">
        <v>1561</v>
      </c>
    </row>
    <row r="15" spans="1:18">
      <c r="D15" t="s">
        <v>1562</v>
      </c>
      <c r="E15" t="s">
        <v>1563</v>
      </c>
      <c r="F15" t="s">
        <v>1149</v>
      </c>
      <c r="G15" t="s">
        <v>1150</v>
      </c>
      <c r="H15" t="s">
        <v>1151</v>
      </c>
    </row>
    <row r="16" spans="1:18">
      <c r="D16" t="s">
        <v>1385</v>
      </c>
    </row>
    <row r="17" spans="4:13">
      <c r="D17" t="s">
        <v>1564</v>
      </c>
      <c r="E17" t="s">
        <v>1565</v>
      </c>
      <c r="F17" t="s">
        <v>1566</v>
      </c>
      <c r="G17" t="s">
        <v>1567</v>
      </c>
      <c r="H17" t="s">
        <v>1568</v>
      </c>
    </row>
    <row r="18" spans="4:13">
      <c r="D18" t="s">
        <v>1398</v>
      </c>
      <c r="E18" t="s">
        <v>1156</v>
      </c>
      <c r="F18" t="s">
        <v>1157</v>
      </c>
      <c r="G18" t="s">
        <v>1569</v>
      </c>
      <c r="H18" t="s">
        <v>1159</v>
      </c>
      <c r="I18" t="s">
        <v>1160</v>
      </c>
      <c r="J18" t="s">
        <v>1410</v>
      </c>
      <c r="K18" t="s">
        <v>1161</v>
      </c>
      <c r="L18" t="s">
        <v>1570</v>
      </c>
      <c r="M18" t="s">
        <v>1571</v>
      </c>
    </row>
    <row r="19" spans="4:13">
      <c r="D19" t="s">
        <v>1419</v>
      </c>
      <c r="E19" t="s">
        <v>1164</v>
      </c>
      <c r="F19" t="s">
        <v>1165</v>
      </c>
      <c r="G19" t="s">
        <v>1166</v>
      </c>
      <c r="H19" t="s">
        <v>1167</v>
      </c>
    </row>
    <row r="20" spans="4:13">
      <c r="D20" t="s">
        <v>545</v>
      </c>
      <c r="E20" t="s">
        <v>1572</v>
      </c>
    </row>
    <row r="21" spans="4:13">
      <c r="D21" t="s">
        <v>1434</v>
      </c>
    </row>
    <row r="22" spans="4:13">
      <c r="D22" t="s">
        <v>1437</v>
      </c>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activeCell="D2" sqref="D2:G5"/>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7" t="s">
        <v>1179</v>
      </c>
      <c r="D7" s="179"/>
      <c r="E7" s="40">
        <v>87</v>
      </c>
      <c r="F7" t="s">
        <v>1063</v>
      </c>
      <c r="G7">
        <f t="shared" si="0"/>
        <v>180</v>
      </c>
      <c r="M7" s="38"/>
      <c r="N7" s="177" t="s">
        <v>1179</v>
      </c>
      <c r="O7" s="179"/>
      <c r="P7" s="40">
        <v>93</v>
      </c>
    </row>
    <row r="8" spans="1:18">
      <c r="B8" s="176" t="s">
        <v>1180</v>
      </c>
      <c r="C8" s="177"/>
      <c r="D8" s="179"/>
      <c r="E8" s="40">
        <v>105</v>
      </c>
      <c r="F8" t="s">
        <v>1176</v>
      </c>
      <c r="G8">
        <f t="shared" si="0"/>
        <v>210</v>
      </c>
      <c r="M8" s="176" t="s">
        <v>1180</v>
      </c>
      <c r="N8" s="177"/>
      <c r="O8" s="179"/>
      <c r="P8" s="40">
        <v>105</v>
      </c>
    </row>
    <row r="9" spans="1:18">
      <c r="B9" s="38"/>
      <c r="C9" s="39"/>
      <c r="D9" s="39"/>
      <c r="E9" s="41"/>
      <c r="G9">
        <f t="shared" si="0"/>
        <v>0</v>
      </c>
      <c r="M9" s="38"/>
      <c r="N9" s="39"/>
      <c r="O9" s="39"/>
      <c r="P9" s="41"/>
    </row>
    <row r="10" spans="1:18">
      <c r="B10" s="176" t="s">
        <v>1181</v>
      </c>
      <c r="C10" s="177"/>
      <c r="D10" s="177"/>
      <c r="E10" s="40">
        <v>1</v>
      </c>
      <c r="G10">
        <f t="shared" si="0"/>
        <v>81</v>
      </c>
      <c r="M10" s="176" t="s">
        <v>1181</v>
      </c>
      <c r="N10" s="177"/>
      <c r="O10" s="177"/>
      <c r="P10" s="40">
        <v>80</v>
      </c>
    </row>
    <row r="11" spans="1:18" ht="19.5" thickBot="1">
      <c r="B11" s="174" t="s">
        <v>1182</v>
      </c>
      <c r="C11" s="175"/>
      <c r="D11" s="175"/>
      <c r="E11" s="42">
        <f>G17</f>
        <v>279</v>
      </c>
      <c r="G11">
        <f t="shared" si="0"/>
        <v>542</v>
      </c>
      <c r="M11" s="174" t="s">
        <v>1182</v>
      </c>
      <c r="N11" s="175"/>
      <c r="O11" s="175"/>
      <c r="P11" s="42">
        <v>263</v>
      </c>
    </row>
    <row r="12" spans="1:18" ht="19.5" thickTop="1"/>
    <row r="13" spans="1:18">
      <c r="B13" s="176" t="s">
        <v>1183</v>
      </c>
      <c r="C13" s="177"/>
      <c r="D13" s="177"/>
      <c r="E13" s="40">
        <f>185+E8+E10</f>
        <v>291</v>
      </c>
      <c r="M13" s="176" t="s">
        <v>1183</v>
      </c>
      <c r="N13" s="177"/>
      <c r="O13" s="177"/>
      <c r="P13" s="40">
        <f>P8+P10</f>
        <v>185</v>
      </c>
    </row>
    <row r="14" spans="1:18" ht="19.5" thickBot="1">
      <c r="B14" s="174" t="s">
        <v>1184</v>
      </c>
      <c r="C14" s="175"/>
      <c r="D14" s="175"/>
      <c r="E14" s="42">
        <f>368+E11+E8</f>
        <v>752</v>
      </c>
      <c r="M14" s="174" t="s">
        <v>1184</v>
      </c>
      <c r="N14" s="175"/>
      <c r="O14" s="17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30</vt:i4>
      </vt:variant>
    </vt:vector>
  </HeadingPairs>
  <TitlesOfParts>
    <vt:vector size="39"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2020-10-25T16:26:08Z</dcterms:modified>
</cp:coreProperties>
</file>