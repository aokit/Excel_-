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39A4E45C-F0BF-4A9F-8178-09F5E8DCC6FB}"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ダッシュボード!$B$13</definedName>
    <definedName name="仕向地抽出">中間処理シート!$A$11</definedName>
    <definedName name="取引集計">ダッシュボード!$B$9</definedName>
    <definedName name="取引集計＿非ゼロ">ダッシュボード!$B$10</definedName>
    <definedName name="集計期間">ダッシュボード!$B$6</definedName>
    <definedName name="集計状況">ダッシュボード!$B$19</definedName>
    <definedName name="集計名例外解決">ダッシュボード!$B$20</definedName>
    <definedName name="少額特例適用件数">ダッシュボード!$B$23</definedName>
    <definedName name="承認記録">ダッシュボード!$B$8</definedName>
    <definedName name="申請者所属">yushutsu_kobetsu!$O:$O</definedName>
    <definedName name="組織" comment="組織の３文字略称の列ベクトル。セルの色で親組織とそれに属する組織が識別されているもの。かつ、第１行が親組織で始まるもの。">ダッシュボード!$B$7</definedName>
    <definedName name="組織集計">ダッシュボード!$B$11</definedName>
    <definedName name="組織集計＿非ゼロ">ダッシュボード!$B$12</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18" i="3"/>
  <c r="AL81" i="3"/>
  <c r="AL94" i="3"/>
  <c r="AL102" i="3"/>
  <c r="AL58" i="3"/>
  <c r="AL79" i="3"/>
  <c r="AL13" i="3"/>
  <c r="AL20" i="3"/>
  <c r="AL32" i="3"/>
  <c r="AL104" i="3"/>
  <c r="AL80" i="3"/>
  <c r="AL54" i="3"/>
  <c r="AL97" i="3"/>
  <c r="AL107" i="3"/>
  <c r="AL117" i="3"/>
  <c r="AL15" i="3"/>
  <c r="AL87" i="3"/>
  <c r="AL10" i="3"/>
  <c r="AL34" i="3"/>
  <c r="AL109" i="3"/>
  <c r="AL84" i="3"/>
  <c r="AL123" i="3"/>
  <c r="AL72" i="3"/>
  <c r="AL88" i="3"/>
  <c r="AL40" i="3"/>
  <c r="AL114" i="3"/>
  <c r="AL75" i="3"/>
  <c r="AL105" i="3"/>
  <c r="AL23" i="3"/>
  <c r="AL128" i="3"/>
  <c r="AL100" i="3"/>
  <c r="AL65" i="3"/>
  <c r="AL55" i="3"/>
  <c r="AL8" i="3"/>
  <c r="AL83" i="3"/>
  <c r="AL119" i="3"/>
  <c r="AL93" i="3"/>
  <c r="AL28" i="3"/>
  <c r="AL90" i="3"/>
  <c r="AL74" i="3"/>
  <c r="AL63" i="3"/>
  <c r="AL122" i="3"/>
  <c r="AL6" i="3"/>
  <c r="AL69" i="3"/>
  <c r="AL85" i="3"/>
  <c r="AL47" i="3"/>
  <c r="AL56" i="3"/>
  <c r="AL45" i="3"/>
  <c r="AL70" i="3"/>
  <c r="AL124" i="3"/>
  <c r="AL134" i="3"/>
  <c r="AL127" i="3"/>
  <c r="AL9" i="3"/>
  <c r="AL42" i="3"/>
  <c r="AL7" i="3"/>
  <c r="AL37" i="3"/>
  <c r="AL82" i="3"/>
  <c r="AL36" i="3"/>
  <c r="AL53" i="3"/>
  <c r="AL24" i="3"/>
  <c r="AL61" i="3"/>
  <c r="AL108" i="3"/>
  <c r="AL52" i="3"/>
  <c r="AL29" i="3"/>
  <c r="AL38" i="3"/>
  <c r="AL116" i="3"/>
  <c r="AL106" i="3"/>
  <c r="AL33" i="3"/>
  <c r="AL17" i="3"/>
  <c r="AL96" i="3"/>
  <c r="AL68" i="3"/>
  <c r="AL59" i="3"/>
  <c r="AL64" i="3"/>
  <c r="AL113" i="3"/>
  <c r="AL25" i="3"/>
  <c r="AL21" i="3"/>
  <c r="AL77" i="3"/>
  <c r="AL71" i="3"/>
  <c r="AL60" i="3"/>
  <c r="AL14" i="3"/>
  <c r="AL78" i="3"/>
  <c r="AL133" i="3"/>
  <c r="AL67" i="3"/>
  <c r="AL50" i="3"/>
  <c r="AL43" i="3"/>
  <c r="AL19" i="3"/>
  <c r="AL103" i="3"/>
  <c r="AL120" i="3"/>
  <c r="AL92" i="3"/>
  <c r="AL48" i="3"/>
  <c r="AL44" i="3"/>
  <c r="AL62" i="3"/>
  <c r="AL39" i="3"/>
  <c r="AL126" i="3"/>
  <c r="AL26" i="3"/>
  <c r="AL135" i="3"/>
  <c r="AL30" i="3"/>
  <c r="AL11" i="3"/>
  <c r="AL132" i="3"/>
  <c r="AL16" i="3"/>
  <c r="AL27" i="3"/>
  <c r="AL51" i="3"/>
  <c r="AL131" i="3"/>
  <c r="AL57" i="3"/>
  <c r="AL91" i="3"/>
  <c r="AL22" i="3"/>
  <c r="AL76" i="3"/>
  <c r="AL49" i="3"/>
  <c r="AL121" i="3"/>
  <c r="AL46" i="3"/>
  <c r="AL111" i="3"/>
  <c r="AL129" i="3"/>
  <c r="AL31" i="3"/>
  <c r="AL86" i="3"/>
  <c r="AL110" i="3"/>
  <c r="AL41" i="3"/>
  <c r="AL18" i="3"/>
  <c r="AL125" i="3"/>
  <c r="AL73" i="3"/>
  <c r="AL99" i="3"/>
  <c r="AL12" i="3"/>
  <c r="AL98" i="3"/>
  <c r="AL101" i="3"/>
  <c r="AL115" i="3"/>
  <c r="AL35" i="3"/>
  <c r="AL95" i="3"/>
  <c r="AL89" i="3"/>
  <c r="AL66" i="3"/>
  <c r="AL130" i="3"/>
  <c r="AL112"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F23" i="9"/>
  <c r="D12" i="9"/>
  <c r="C15" i="9"/>
  <c r="J15" i="9"/>
  <c r="J14" i="9"/>
  <c r="F27" i="9"/>
  <c r="J6" i="9"/>
  <c r="E6" i="9"/>
  <c r="I19" i="9"/>
  <c r="D29" i="9"/>
  <c r="F22" i="9"/>
  <c r="C11" i="9"/>
  <c r="E13" i="9"/>
  <c r="E33" i="9"/>
  <c r="E28" i="9"/>
  <c r="C5" i="9"/>
  <c r="F14" i="9"/>
  <c r="I6" i="9"/>
  <c r="F12" i="9"/>
  <c r="E21" i="9"/>
  <c r="I11" i="9"/>
  <c r="J9" i="9"/>
  <c r="I30" i="9"/>
  <c r="D9" i="9"/>
  <c r="I20" i="9"/>
  <c r="D15" i="9"/>
  <c r="D18" i="9"/>
  <c r="C9" i="9"/>
  <c r="D10" i="9"/>
  <c r="F11" i="9"/>
  <c r="D26" i="9"/>
  <c r="D8" i="9"/>
  <c r="F6" i="9"/>
  <c r="J12" i="9"/>
  <c r="E24" i="9"/>
  <c r="C24" i="9"/>
  <c r="A20" i="3"/>
  <c r="E4" i="9"/>
  <c r="I12" i="9"/>
  <c r="C14" i="9"/>
  <c r="D22" i="9"/>
  <c r="I21" i="9"/>
  <c r="F33" i="9"/>
  <c r="F31" i="9"/>
  <c r="C22" i="9"/>
  <c r="I24" i="9"/>
  <c r="F7" i="9"/>
  <c r="J19" i="9"/>
  <c r="I8" i="9"/>
  <c r="E12" i="9"/>
  <c r="D23" i="9"/>
  <c r="F21" i="9"/>
  <c r="D21" i="9"/>
  <c r="C4" i="9"/>
  <c r="D19" i="9"/>
  <c r="I7" i="9"/>
  <c r="J30" i="9"/>
  <c r="I31" i="9"/>
  <c r="I27" i="9"/>
  <c r="D11" i="9"/>
  <c r="E16" i="9"/>
  <c r="I16" i="9"/>
  <c r="E18" i="9"/>
  <c r="C31" i="9"/>
  <c r="C6" i="9"/>
  <c r="F25" i="9"/>
  <c r="C26" i="9"/>
  <c r="J8" i="9"/>
  <c r="J29" i="9"/>
  <c r="E10" i="9"/>
  <c r="I14" i="9"/>
  <c r="J10" i="9"/>
  <c r="A17" i="3"/>
  <c r="J33" i="9"/>
  <c r="J25" i="9"/>
  <c r="E25" i="9"/>
  <c r="I9" i="9"/>
  <c r="C21" i="9"/>
  <c r="J23" i="9"/>
  <c r="C23" i="9"/>
  <c r="D14" i="9"/>
  <c r="E15" i="9"/>
  <c r="D31" i="9"/>
  <c r="E11" i="9"/>
  <c r="C20" i="9"/>
  <c r="E31" i="9"/>
  <c r="E30" i="9"/>
  <c r="I15" i="9"/>
  <c r="E20" i="9"/>
  <c r="D5" i="9"/>
  <c r="E8" i="9"/>
  <c r="I26" i="9"/>
  <c r="I10" i="9"/>
  <c r="J28" i="9"/>
  <c r="E7" i="9"/>
  <c r="C27" i="9"/>
  <c r="E29" i="9"/>
  <c r="F10" i="9"/>
  <c r="F4" i="9"/>
  <c r="F13" i="9"/>
  <c r="F20" i="9"/>
  <c r="C7" i="9"/>
  <c r="F29" i="9"/>
  <c r="D25" i="9"/>
  <c r="D6" i="9"/>
  <c r="I25" i="9"/>
  <c r="D4" i="9"/>
  <c r="C16" i="9"/>
  <c r="I5" i="9"/>
  <c r="E23" i="9"/>
  <c r="C8" i="9"/>
  <c r="E19" i="9"/>
  <c r="E9" i="9"/>
  <c r="F24" i="9"/>
  <c r="C28" i="9"/>
  <c r="F26" i="9"/>
  <c r="D30" i="9"/>
  <c r="E27" i="9"/>
  <c r="C19" i="9"/>
  <c r="I29" i="9"/>
  <c r="J18" i="9"/>
  <c r="J4" i="9"/>
  <c r="E22" i="9"/>
  <c r="I23" i="9"/>
  <c r="J27" i="9"/>
  <c r="C33" i="9"/>
  <c r="F30" i="9"/>
  <c r="C13" i="9"/>
  <c r="F15" i="9"/>
  <c r="I22" i="9"/>
  <c r="F19" i="9"/>
  <c r="F18" i="9"/>
  <c r="I13" i="9"/>
  <c r="J20" i="9"/>
  <c r="I4" i="9"/>
  <c r="J7" i="9"/>
  <c r="D24" i="9"/>
  <c r="F28" i="9"/>
  <c r="E14" i="9"/>
  <c r="J13" i="9"/>
  <c r="I18" i="9"/>
  <c r="D28" i="9"/>
  <c r="F9" i="9"/>
  <c r="J21" i="9"/>
  <c r="I33" i="9"/>
  <c r="D27" i="9"/>
  <c r="E5" i="9"/>
  <c r="F8" i="9"/>
  <c r="J16" i="9"/>
  <c r="D7" i="9"/>
  <c r="C12" i="9"/>
  <c r="F5" i="9"/>
  <c r="D20" i="9"/>
  <c r="J24" i="9"/>
  <c r="C30" i="9"/>
  <c r="C10" i="9"/>
  <c r="J31" i="9"/>
  <c r="J26" i="9"/>
  <c r="A14" i="3"/>
  <c r="C25" i="9"/>
  <c r="J11" i="9"/>
  <c r="I28" i="9"/>
  <c r="C29" i="9"/>
  <c r="D13" i="9"/>
  <c r="D33" i="9"/>
  <c r="C18" i="9"/>
  <c r="D16" i="9"/>
  <c r="J5" i="9"/>
  <c r="F16" i="9"/>
  <c r="E26"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10" i="6" l="1"/>
  <c r="C10" i="6"/>
  <c r="D3" i="6"/>
  <c r="D26" i="6"/>
  <c r="C26" i="6"/>
  <c r="C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<sst xmlns="http://schemas.openxmlformats.org/spreadsheetml/2006/main" count="5930" uniqueCount="1858">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</sst>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ca="1"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ca="1"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ca="1" si="1"/>
        <v>旧 ＧＢ営</v>
      </c>
      <c r="G4" s="8" t="str">
        <f>IF(ISBLANK(E4),"",IF(COUNTIF(AK:AK,"="&amp;E4)&gt;0,"",MAX(G$1:G3)+1))</f>
        <v/>
      </c>
      <c r="H4" s="8">
        <f t="shared" ref="H4:H67" si="8">IF(E4="","",COUNTIF(B:B,E4))</f>
        <v>44</v>
      </c>
      <c r="J4" s="19" t="str">
        <f t="shared" ref="J4:J42" ca="1" si="9">AN6</f>
        <v/>
      </c>
      <c r="K4" s="19" t="str">
        <f ca="1">IF(J4="","",SUMIF(F:F,"="&amp;J4,H:H))</f>
        <v/>
      </c>
      <c r="L4">
        <v>3</v>
      </c>
      <c r="M4" s="8" t="str">
        <f ca="1">IF(J4="","",(SUM(K4:L4)&gt;0))</f>
        <v/>
      </c>
      <c r="N4" s="8" t="str">
        <f ca="1">IF(J4="","",IF(M4,COUNTIF(M$4:M4,TRUE),0))</f>
        <v/>
      </c>
      <c r="O4" s="8" t="str">
        <f ca="1">IFERROR(LOOKUP(1,0/(N$4:N$40=ROW()-ROW(O$3)),J$4:J$40),"")</f>
        <v/>
      </c>
      <c r="P4" s="8" t="str">
        <f ca="1">IF(O4="","",IFERROR(LOOKUP(1,0/(J$4:J$40=O4),K$4:K$40),""))</f>
        <v/>
      </c>
      <c r="Q4" s="8" t="str">
        <f ca="1">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ca="1" si="1"/>
        <v>旧 ＧＢＳ</v>
      </c>
      <c r="G5" s="8" t="str">
        <f>IF(ISBLANK(E5),"",IF(COUNTIF(AK:AK,"="&amp;E5)&gt;0,"",MAX(G$1:G4)+1))</f>
        <v/>
      </c>
      <c r="H5" s="8">
        <f t="shared" si="8"/>
        <v>5</v>
      </c>
      <c r="J5" s="19" t="str">
        <f t="shared" ca="1" si="9"/>
        <v/>
      </c>
      <c r="K5" s="19" t="str">
        <f t="shared" ref="K5:K40" ca="1" si="12">IF(J5="","",SUMIF(F:F,"="&amp;J5,H:H))</f>
        <v/>
      </c>
      <c r="M5" s="8" t="str">
        <f t="shared" ref="M5:M40" ca="1" si="13">IF(J5="","",(SUM(K5:L5)&gt;0))</f>
        <v/>
      </c>
      <c r="N5" s="8" t="str">
        <f ca="1">IF(J5="","",IF(M5,COUNTIF(M$4:M5,TRUE),0))</f>
        <v/>
      </c>
      <c r="O5" s="8" t="str">
        <f t="shared" ref="O5:O26" ca="1" si="14">IFERROR(LOOKUP(1,0/(N$4:N$40=ROW()-ROW(O$3)),J$4:J$40),"")</f>
        <v/>
      </c>
      <c r="P5" s="8" t="str">
        <f t="shared" ref="P5:P26" ca="1" si="15">IF(O5="","",IFERROR(LOOKUP(1,0/(J$4:J$40=O5),K$4:K$40),""))</f>
        <v/>
      </c>
      <c r="Q5" s="8" t="str">
        <f t="shared" ref="Q5:Q26" ca="1"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ca="1" si="1"/>
        <v>旧 ＩＰＲ</v>
      </c>
      <c r="G6" s="8" t="str">
        <f>IF(ISBLANK(E6),"",IF(COUNTIF(AK:AK,"="&amp;E6)&gt;0,"",MAX(G$1:G5)+1))</f>
        <v/>
      </c>
      <c r="H6" s="8">
        <f t="shared" si="8"/>
        <v>1</v>
      </c>
      <c r="J6" s="19" t="str">
        <f t="shared" ca="1" si="9"/>
        <v/>
      </c>
      <c r="K6" s="19" t="str">
        <f t="shared" ca="1" si="12"/>
        <v/>
      </c>
      <c r="L6">
        <v>74</v>
      </c>
      <c r="M6" s="8" t="str">
        <f t="shared" ca="1" si="13"/>
        <v/>
      </c>
      <c r="N6" s="8" t="str">
        <f ca="1">IF(J6="","",IF(M6,COUNTIF(M$4:M6,TRUE),0))</f>
        <v/>
      </c>
      <c r="O6" s="8" t="str">
        <f t="shared" ca="1" si="14"/>
        <v/>
      </c>
      <c r="P6" s="8" t="str">
        <f t="shared" ca="1" si="15"/>
        <v/>
      </c>
      <c r="Q6" s="8" t="str">
        <f t="shared" ca="1"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 ca="1">IF(セルの固定色(AK6)=セルの固定色(AK$6),1,"")</f>
        <v>#NAME?</v>
      </c>
      <c r="AM6" s="14" t="e">
        <f ca="1">IF(OR(ISBLANK(AL6),AL6=""),"",COUNTIF(AL$6:AL6,"&gt;0"))</f>
        <v>#NAME?</v>
      </c>
      <c r="AN6" s="14" t="str">
        <f t="shared" ref="AN6:AN44" ca="1" si="17">IFERROR(LOOKUP(1,0/(AM:AM=ROW()-ROW(AN$5)),AK:AK),IFERROR(LOOKUP(1,0/(G:G=AO6),F:F),""))</f>
        <v/>
      </c>
      <c r="AO6" s="14" t="e">
        <f t="shared" ref="AO6:AO44" ca="1" si="18">-(MAX(AM:AM)-ROW()+ROW(AO$6)-1)</f>
        <v>#NAME?</v>
      </c>
      <c r="AP6" s="14" t="e">
        <f ca="1">IF(ISBLANK(AK6),"",LOOKUP(1,0/(AM$6:AM6=MAX(AM$6:AM6)),AK$6:AK6))</f>
        <v>#NAME?</v>
      </c>
      <c r="AR6" t="s">
        <v>907</v>
      </c>
      <c r="AS6" t="s">
        <v>840</v>
      </c>
    </row>
    <row r="7" spans="1:47">
      <c r="A7" s="11">
        <f>COLUMN(B1)</f>
        <v>2</v>
      </c>
      <c r="B7" t="s">
        <v>47</v>
      </c>
      <c r="C7" s="8" t="b">
        <f>IF(B7="","",COUNTIF(B$1:B6,B7)=0)</f>
        <v>0</v>
      </c>
      <c r="D7" s="8" t="str">
        <f>IF(B7="","",IF(C7,COUNTIF(C$2:C7,TRUE),""))</f>
        <v/>
      </c>
      <c r="E7" s="8" t="str">
        <f t="shared" si="0"/>
        <v>Ｇ推進</v>
      </c>
      <c r="F7" s="8" t="str">
        <f t="shared" ca="1" si="1"/>
        <v>旧 Ｇ推進</v>
      </c>
      <c r="G7" s="8" t="str">
        <f>IF(ISBLANK(E7),"",IF(COUNTIF(AK:AK,"="&amp;E7)&gt;0,"",MAX(G$1:G6)+1))</f>
        <v/>
      </c>
      <c r="H7" s="8">
        <f t="shared" si="8"/>
        <v>5</v>
      </c>
      <c r="J7" s="19" t="str">
        <f t="shared" ca="1" si="9"/>
        <v/>
      </c>
      <c r="K7" s="19" t="str">
        <f t="shared" ca="1" si="12"/>
        <v/>
      </c>
      <c r="L7">
        <v>4</v>
      </c>
      <c r="M7" s="8" t="str">
        <f t="shared" ca="1" si="13"/>
        <v/>
      </c>
      <c r="N7" s="8" t="str">
        <f ca="1">IF(J7="","",IF(M7,COUNTIF(M$4:M7,TRUE),0))</f>
        <v/>
      </c>
      <c r="O7" s="8" t="str">
        <f t="shared" ca="1" si="14"/>
        <v/>
      </c>
      <c r="P7" s="8" t="str">
        <f t="shared" ca="1" si="15"/>
        <v/>
      </c>
      <c r="Q7" s="8" t="str">
        <f t="shared" ca="1"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 ca="1">IF(セルの固定色(AK7)=セルの固定色(AK$6),1,"")</f>
        <v>#NAME?</v>
      </c>
      <c r="AM7" s="14" t="e">
        <f ca="1">IF(OR(ISBLANK(AL7),AL7=""),"",COUNTIF(AL$6:AL7,"&gt;0"))</f>
        <v>#NAME?</v>
      </c>
      <c r="AN7" s="14" t="str">
        <f t="shared" ca="1" si="17"/>
        <v/>
      </c>
      <c r="AO7" s="14" t="e">
        <f t="shared" ca="1" si="18"/>
        <v>#NAME?</v>
      </c>
      <c r="AP7" s="14" t="e">
        <f ca="1">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ca="1" si="1"/>
        <v>旧 セ事Ｉ</v>
      </c>
      <c r="G8" s="8" t="str">
        <f>IF(ISBLANK(E8),"",IF(COUNTIF(AK:AK,"="&amp;E8)&gt;0,"",MAX(G$1:G7)+1))</f>
        <v/>
      </c>
      <c r="H8" s="8">
        <f t="shared" si="8"/>
        <v>3</v>
      </c>
      <c r="J8" s="19" t="str">
        <f t="shared" ca="1" si="9"/>
        <v/>
      </c>
      <c r="K8" s="19" t="str">
        <f t="shared" ca="1" si="12"/>
        <v/>
      </c>
      <c r="L8">
        <v>1</v>
      </c>
      <c r="M8" s="8" t="str">
        <f t="shared" ca="1" si="13"/>
        <v/>
      </c>
      <c r="N8" s="8" t="str">
        <f ca="1">IF(J8="","",IF(M8,COUNTIF(M$4:M8,TRUE),0))</f>
        <v/>
      </c>
      <c r="O8" s="8" t="str">
        <f t="shared" ca="1" si="14"/>
        <v/>
      </c>
      <c r="P8" s="8" t="str">
        <f t="shared" ca="1" si="15"/>
        <v/>
      </c>
      <c r="Q8" s="8" t="str">
        <f t="shared" ca="1"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 ca="1">IF(セルの固定色(AK8)=セルの固定色(AK$6),1,"")</f>
        <v>#NAME?</v>
      </c>
      <c r="AM8" s="14" t="e">
        <f ca="1">IF(OR(ISBLANK(AL8),AL8=""),"",COUNTIF(AL$6:AL8,"&gt;0"))</f>
        <v>#NAME?</v>
      </c>
      <c r="AN8" s="14" t="str">
        <f t="shared" ca="1" si="17"/>
        <v/>
      </c>
      <c r="AO8" s="14" t="e">
        <f t="shared" ca="1" si="18"/>
        <v>#NAME?</v>
      </c>
      <c r="AP8" s="14" t="e">
        <f ca="1">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ca="1" si="1"/>
        <v>旧 ＧＢ環</v>
      </c>
      <c r="G9" s="8" t="str">
        <f>IF(ISBLANK(E9),"",IF(COUNTIF(AK:AK,"="&amp;E9)&gt;0,"",MAX(G$1:G8)+1))</f>
        <v/>
      </c>
      <c r="H9" s="8">
        <f t="shared" si="8"/>
        <v>8</v>
      </c>
      <c r="J9" s="19" t="str">
        <f t="shared" ca="1" si="9"/>
        <v/>
      </c>
      <c r="K9" s="19" t="str">
        <f t="shared" ca="1" si="12"/>
        <v/>
      </c>
      <c r="M9" s="8" t="str">
        <f t="shared" ca="1" si="13"/>
        <v/>
      </c>
      <c r="N9" s="8" t="str">
        <f ca="1">IF(J9="","",IF(M9,COUNTIF(M$4:M9,TRUE),0))</f>
        <v/>
      </c>
      <c r="O9" s="8" t="str">
        <f t="shared" ca="1" si="14"/>
        <v/>
      </c>
      <c r="P9" s="8" t="str">
        <f t="shared" ca="1" si="15"/>
        <v/>
      </c>
      <c r="Q9" s="8" t="str">
        <f t="shared" ca="1"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 ca="1">IF(セルの固定色(AK9)=セルの固定色(AK$6),1,"")</f>
        <v>#NAME?</v>
      </c>
      <c r="AM9" s="14" t="e">
        <f ca="1">IF(OR(ISBLANK(AL9),AL9=""),"",COUNTIF(AL$6:AL9,"&gt;0"))</f>
        <v>#NAME?</v>
      </c>
      <c r="AN9" s="14" t="str">
        <f t="shared" ca="1" si="17"/>
        <v/>
      </c>
      <c r="AO9" s="14" t="e">
        <f t="shared" ca="1" si="18"/>
        <v>#NAME?</v>
      </c>
      <c r="AP9" s="14" t="e">
        <f ca="1">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ca="1" si="1"/>
        <v>旧 ＡＩＲ</v>
      </c>
      <c r="G10" s="8" t="str">
        <f>IF(ISBLANK(E10),"",IF(COUNTIF(AK:AK,"="&amp;E10)&gt;0,"",MAX(G$1:G9)+1))</f>
        <v/>
      </c>
      <c r="H10" s="8">
        <f t="shared" si="8"/>
        <v>1</v>
      </c>
      <c r="J10" s="19" t="str">
        <f t="shared" ca="1" si="9"/>
        <v/>
      </c>
      <c r="K10" s="19" t="str">
        <f t="shared" ca="1" si="12"/>
        <v/>
      </c>
      <c r="M10" s="8" t="str">
        <f t="shared" ca="1" si="13"/>
        <v/>
      </c>
      <c r="N10" s="8" t="str">
        <f ca="1">IF(J10="","",IF(M10,COUNTIF(M$4:M10,TRUE),0))</f>
        <v/>
      </c>
      <c r="O10" s="8" t="str">
        <f t="shared" ca="1" si="14"/>
        <v/>
      </c>
      <c r="P10" s="8" t="str">
        <f t="shared" ca="1" si="15"/>
        <v/>
      </c>
      <c r="Q10" s="8" t="str">
        <f t="shared" ca="1"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 ca="1">IF(セルの固定色(AK10)=セルの固定色(AK$6),1,"")</f>
        <v>#NAME?</v>
      </c>
      <c r="AM10" s="14" t="e">
        <f ca="1">IF(OR(ISBLANK(AL10),AL10=""),"",COUNTIF(AL$6:AL10,"&gt;0"))</f>
        <v>#NAME?</v>
      </c>
      <c r="AN10" s="14" t="str">
        <f t="shared" ca="1" si="17"/>
        <v/>
      </c>
      <c r="AO10" s="14" t="e">
        <f t="shared" ca="1" si="18"/>
        <v>#NAME?</v>
      </c>
      <c r="AP10" s="14" t="e">
        <f ca="1">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ca="1" si="1"/>
        <v>旧 ＡＩＤ</v>
      </c>
      <c r="G11" s="8" t="str">
        <f>IF(ISBLANK(E11),"",IF(COUNTIF(AK:AK,"="&amp;E11)&gt;0,"",MAX(G$1:G10)+1))</f>
        <v/>
      </c>
      <c r="H11" s="8">
        <f t="shared" si="8"/>
        <v>5</v>
      </c>
      <c r="J11" s="19" t="str">
        <f t="shared" ca="1" si="9"/>
        <v/>
      </c>
      <c r="K11" s="19" t="str">
        <f t="shared" ca="1" si="12"/>
        <v/>
      </c>
      <c r="M11" s="8" t="str">
        <f t="shared" ca="1" si="13"/>
        <v/>
      </c>
      <c r="N11" s="8" t="str">
        <f ca="1">IF(J11="","",IF(M11,COUNTIF(M$4:M11,TRUE),0))</f>
        <v/>
      </c>
      <c r="O11" s="8" t="str">
        <f t="shared" ca="1" si="14"/>
        <v/>
      </c>
      <c r="P11" s="8" t="str">
        <f t="shared" ca="1" si="15"/>
        <v/>
      </c>
      <c r="Q11" s="8" t="str">
        <f t="shared" ca="1"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 ca="1">IF(セルの固定色(AK11)=セルの固定色(AK$6),1,"")</f>
        <v>#NAME?</v>
      </c>
      <c r="AM11" s="14" t="e">
        <f ca="1">IF(OR(ISBLANK(AL11),AL11=""),"",COUNTIF(AL$6:AL11,"&gt;0"))</f>
        <v>#NAME?</v>
      </c>
      <c r="AN11" s="14" t="str">
        <f t="shared" ca="1" si="17"/>
        <v/>
      </c>
      <c r="AO11" s="14" t="e">
        <f t="shared" ca="1" si="18"/>
        <v>#NAME?</v>
      </c>
      <c r="AP11" s="14" t="e">
        <f ca="1">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ca="1" si="1"/>
        <v>旧 Ｖまち</v>
      </c>
      <c r="G12" s="8" t="str">
        <f>IF(ISBLANK(E12),"",IF(COUNTIF(AK:AK,"="&amp;E12)&gt;0,"",MAX(G$1:G11)+1))</f>
        <v/>
      </c>
      <c r="H12" s="8">
        <f t="shared" si="8"/>
        <v>1</v>
      </c>
      <c r="J12" s="19" t="str">
        <f t="shared" ca="1" si="9"/>
        <v/>
      </c>
      <c r="K12" s="19" t="str">
        <f t="shared" ca="1" si="12"/>
        <v/>
      </c>
      <c r="M12" s="8" t="str">
        <f t="shared" ca="1" si="13"/>
        <v/>
      </c>
      <c r="N12" s="8" t="str">
        <f ca="1">IF(J12="","",IF(M12,COUNTIF(M$4:M12,TRUE),0))</f>
        <v/>
      </c>
      <c r="O12" s="8" t="str">
        <f t="shared" ca="1" si="14"/>
        <v/>
      </c>
      <c r="P12" s="8" t="str">
        <f t="shared" ca="1" si="15"/>
        <v/>
      </c>
      <c r="Q12" s="8" t="str">
        <f t="shared" ca="1"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 ca="1">IF(セルの固定色(AK12)=セルの固定色(AK$6),1,"")</f>
        <v>#NAME?</v>
      </c>
      <c r="AM12" s="14" t="e">
        <f ca="1">IF(OR(ISBLANK(AL12),AL12=""),"",COUNTIF(AL$6:AL12,"&gt;0"))</f>
        <v>#NAME?</v>
      </c>
      <c r="AN12" s="14" t="str">
        <f t="shared" ca="1" si="17"/>
        <v/>
      </c>
      <c r="AO12" s="14" t="e">
        <f t="shared" ca="1" si="18"/>
        <v>#NAME?</v>
      </c>
      <c r="AP12" s="14" t="e">
        <f ca="1">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ca="1" si="1"/>
        <v>旧 人事部</v>
      </c>
      <c r="G13" s="8" t="str">
        <f>IF(ISBLANK(E13),"",IF(COUNTIF(AK:AK,"="&amp;E13)&gt;0,"",MAX(G$1:G12)+1))</f>
        <v/>
      </c>
      <c r="H13" s="8">
        <f t="shared" si="8"/>
        <v>1</v>
      </c>
      <c r="J13" s="19" t="str">
        <f t="shared" ca="1" si="9"/>
        <v/>
      </c>
      <c r="K13" s="19" t="str">
        <f t="shared" ca="1" si="12"/>
        <v/>
      </c>
      <c r="M13" s="8" t="str">
        <f t="shared" ca="1" si="13"/>
        <v/>
      </c>
      <c r="N13" s="8" t="str">
        <f ca="1">IF(J13="","",IF(M13,COUNTIF(M$4:M13,TRUE),0))</f>
        <v/>
      </c>
      <c r="O13" s="8" t="str">
        <f t="shared" ca="1" si="14"/>
        <v/>
      </c>
      <c r="P13" s="8" t="str">
        <f t="shared" ca="1" si="15"/>
        <v/>
      </c>
      <c r="Q13" s="8" t="str">
        <f t="shared" ca="1"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 ca="1">IF(セルの固定色(AK13)=セルの固定色(AK$6),1,"")</f>
        <v>#NAME?</v>
      </c>
      <c r="AM13" s="14" t="e">
        <f ca="1">IF(OR(ISBLANK(AL13),AL13=""),"",COUNTIF(AL$6:AL13,"&gt;0"))</f>
        <v>#NAME?</v>
      </c>
      <c r="AN13" s="14" t="str">
        <f t="shared" ca="1" si="17"/>
        <v/>
      </c>
      <c r="AO13" s="14" t="e">
        <f t="shared" ca="1" si="18"/>
        <v>#NAME?</v>
      </c>
      <c r="AP13" s="14" t="e">
        <f ca="1">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ca="1" si="1"/>
        <v>旧 ＧＩＯ</v>
      </c>
      <c r="G14" s="8" t="str">
        <f>IF(ISBLANK(E14),"",IF(COUNTIF(AK:AK,"="&amp;E14)&gt;0,"",MAX(G$1:G13)+1))</f>
        <v/>
      </c>
      <c r="H14" s="8">
        <f t="shared" si="8"/>
        <v>2</v>
      </c>
      <c r="J14" s="19" t="str">
        <f t="shared" ca="1" si="9"/>
        <v/>
      </c>
      <c r="K14" s="19" t="str">
        <f t="shared" ca="1" si="12"/>
        <v/>
      </c>
      <c r="M14" s="8" t="str">
        <f t="shared" ca="1" si="13"/>
        <v/>
      </c>
      <c r="N14" s="8" t="str">
        <f ca="1">IF(J14="","",IF(M14,COUNTIF(M$4:M14,TRUE),0))</f>
        <v/>
      </c>
      <c r="O14" s="8" t="str">
        <f t="shared" ca="1" si="14"/>
        <v/>
      </c>
      <c r="P14" s="8" t="str">
        <f t="shared" ca="1" si="15"/>
        <v/>
      </c>
      <c r="Q14" s="8" t="str">
        <f t="shared" ca="1"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 ca="1">IF(セルの固定色(AK14)=セルの固定色(AK$6),1,"")</f>
        <v>#NAME?</v>
      </c>
      <c r="AM14" s="14" t="e">
        <f ca="1">IF(OR(ISBLANK(AL14),AL14=""),"",COUNTIF(AL$6:AL14,"&gt;0"))</f>
        <v>#NAME?</v>
      </c>
      <c r="AN14" s="14" t="str">
        <f t="shared" ca="1" si="17"/>
        <v/>
      </c>
      <c r="AO14" s="14" t="e">
        <f t="shared" ca="1" si="18"/>
        <v>#NAME?</v>
      </c>
      <c r="AP14" s="14" t="e">
        <f ca="1">IF(ISBLANK(AK14),"",LOOKUP(1,0/(AM$6:AM14=MAX(AM$6:AM14)),AK$6:AK14))</f>
        <v>#N/A</v>
      </c>
    </row>
    <row r="15" spans="1:47">
      <c r="A15" s="7" t="s">
        <v>1088</v>
      </c>
      <c r="B15" t="s">
        <v>101</v>
      </c>
      <c r="C15" s="8" t="b">
        <f>IF(B15="","",COUNTIF(B$1:B14,B15)=0)</f>
        <v>0</v>
      </c>
      <c r="D15" s="8" t="str">
        <f>IF(B15="","",IF(C15,COUNTIF(C$2:C15,TRUE),""))</f>
        <v/>
      </c>
      <c r="E15" s="8" t="str">
        <f t="shared" si="0"/>
        <v>ＶＴＳ</v>
      </c>
      <c r="F15" s="8" t="str">
        <f t="shared" ca="1" si="1"/>
        <v>旧 ＶＴＳ</v>
      </c>
      <c r="G15" s="8" t="str">
        <f>IF(ISBLANK(E15),"",IF(COUNTIF(AK:AK,"="&amp;E15)&gt;0,"",MAX(G$1:G14)+1))</f>
        <v/>
      </c>
      <c r="H15" s="8">
        <f t="shared" si="8"/>
        <v>2</v>
      </c>
      <c r="J15" s="19" t="str">
        <f t="shared" ca="1" si="9"/>
        <v/>
      </c>
      <c r="K15" s="19" t="str">
        <f t="shared" ca="1" si="12"/>
        <v/>
      </c>
      <c r="M15" s="8" t="str">
        <f t="shared" ca="1" si="13"/>
        <v/>
      </c>
      <c r="N15" s="8" t="str">
        <f ca="1">IF(J15="","",IF(M15,COUNTIF(M$4:M15,TRUE),0))</f>
        <v/>
      </c>
      <c r="O15" s="8" t="str">
        <f t="shared" ca="1" si="14"/>
        <v/>
      </c>
      <c r="P15" s="8" t="str">
        <f t="shared" ca="1" si="15"/>
        <v/>
      </c>
      <c r="Q15" s="8" t="str">
        <f t="shared" ca="1" si="16"/>
        <v/>
      </c>
      <c r="S15" t="s">
        <v>54</v>
      </c>
      <c r="Z15" t="s">
        <v>83</v>
      </c>
      <c r="AB15" s="11" t="s">
        <v>59</v>
      </c>
      <c r="AC15" s="10">
        <f t="shared" si="7"/>
        <v>4</v>
      </c>
      <c r="AD15" s="12">
        <f t="shared" si="19"/>
        <v>4</v>
      </c>
      <c r="AE15" s="8">
        <f t="shared" si="4"/>
        <v>6</v>
      </c>
      <c r="AF15" s="8">
        <f>IF(AE15="","",AE15+COUNTIF(AE$2:AE15,AE15)-1)</f>
        <v>6</v>
      </c>
      <c r="AK15" s="18" t="s">
        <v>604</v>
      </c>
      <c r="AL15" s="14" t="e">
        <f ca="1">IF(セルの固定色(AK15)=セルの固定色(AK$6),1,"")</f>
        <v>#NAME?</v>
      </c>
      <c r="AM15" s="14" t="e">
        <f ca="1">IF(OR(ISBLANK(AL15),AL15=""),"",COUNTIF(AL$6:AL15,"&gt;0"))</f>
        <v>#NAME?</v>
      </c>
      <c r="AN15" s="14" t="str">
        <f t="shared" ca="1" si="17"/>
        <v/>
      </c>
      <c r="AO15" s="14" t="e">
        <f t="shared" ca="1" si="18"/>
        <v>#NAME?</v>
      </c>
      <c r="AP15" s="14" t="e">
        <f ca="1">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ca="1" si="9"/>
        <v/>
      </c>
      <c r="K16" s="19" t="str">
        <f t="shared" ca="1" si="12"/>
        <v/>
      </c>
      <c r="M16" s="8" t="str">
        <f t="shared" ca="1" si="13"/>
        <v/>
      </c>
      <c r="N16" s="8" t="str">
        <f ca="1">IF(J16="","",IF(M16,COUNTIF(M$4:M16,TRUE),0))</f>
        <v/>
      </c>
      <c r="O16" s="8" t="str">
        <f t="shared" ca="1" si="14"/>
        <v/>
      </c>
      <c r="P16" s="8" t="str">
        <f t="shared" ca="1" si="15"/>
        <v/>
      </c>
      <c r="Q16" s="8" t="str">
        <f t="shared" ca="1" si="16"/>
        <v/>
      </c>
      <c r="S16" t="s">
        <v>54</v>
      </c>
      <c r="Z16" t="s">
        <v>68</v>
      </c>
      <c r="AB16" s="11" t="s">
        <v>795</v>
      </c>
      <c r="AC16" s="10">
        <f t="shared" si="7"/>
        <v>1</v>
      </c>
      <c r="AD16" s="12">
        <f t="shared" si="19"/>
        <v>1</v>
      </c>
      <c r="AE16" s="8">
        <f t="shared" si="4"/>
        <v>15</v>
      </c>
      <c r="AF16" s="8">
        <f>IF(AE16="","",AE16+COUNTIF(AE$2:AE16,AE16)-1)</f>
        <v>19</v>
      </c>
      <c r="AK16" s="18" t="s">
        <v>408</v>
      </c>
      <c r="AL16" s="14" t="e">
        <f ca="1">IF(セルの固定色(AK16)=セルの固定色(AK$6),1,"")</f>
        <v>#NAME?</v>
      </c>
      <c r="AM16" s="14" t="e">
        <f ca="1">IF(OR(ISBLANK(AL16),AL16=""),"",COUNTIF(AL$6:AL16,"&gt;0"))</f>
        <v>#NAME?</v>
      </c>
      <c r="AN16" s="14" t="str">
        <f t="shared" ca="1" si="17"/>
        <v/>
      </c>
      <c r="AO16" s="14" t="e">
        <f t="shared" ca="1" si="18"/>
        <v>#NAME?</v>
      </c>
      <c r="AP16" s="14" t="e">
        <f ca="1">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ca="1" si="9"/>
        <v/>
      </c>
      <c r="K17" s="19" t="str">
        <f t="shared" ca="1" si="12"/>
        <v/>
      </c>
      <c r="M17" s="8" t="str">
        <f t="shared" ca="1" si="13"/>
        <v/>
      </c>
      <c r="N17" s="8" t="str">
        <f ca="1">IF(J17="","",IF(M17,COUNTIF(M$4:M17,TRUE),0))</f>
        <v/>
      </c>
      <c r="O17" s="8" t="str">
        <f t="shared" ca="1" si="14"/>
        <v/>
      </c>
      <c r="P17" s="8" t="str">
        <f t="shared" ca="1" si="15"/>
        <v/>
      </c>
      <c r="Q17" s="8" t="str">
        <f t="shared" ca="1" si="16"/>
        <v/>
      </c>
      <c r="S17" t="s">
        <v>27</v>
      </c>
      <c r="Z17" t="s">
        <v>246</v>
      </c>
      <c r="AB17" s="11" t="s">
        <v>532</v>
      </c>
      <c r="AC17" s="10">
        <f t="shared" si="7"/>
        <v>2</v>
      </c>
      <c r="AD17" s="12">
        <f t="shared" si="19"/>
        <v>2</v>
      </c>
      <c r="AE17" s="8">
        <f t="shared" si="4"/>
        <v>10</v>
      </c>
      <c r="AF17" s="8">
        <f>IF(AE17="","",AE17+COUNTIF(AE$2:AE17,AE17)-1)</f>
        <v>11</v>
      </c>
      <c r="AK17" s="18" t="s">
        <v>1086</v>
      </c>
      <c r="AL17" s="14" t="e">
        <f ca="1">IF(セルの固定色(AK17)=セルの固定色(AK$6),1,"")</f>
        <v>#NAME?</v>
      </c>
      <c r="AM17" s="14" t="e">
        <f ca="1">IF(OR(ISBLANK(AL17),AL17=""),"",COUNTIF(AL$6:AL17,"&gt;0"))</f>
        <v>#NAME?</v>
      </c>
      <c r="AN17" s="14" t="str">
        <f t="shared" ca="1" si="17"/>
        <v/>
      </c>
      <c r="AO17" s="14" t="e">
        <f t="shared" ca="1" si="18"/>
        <v>#NAME?</v>
      </c>
      <c r="AP17" s="14" t="e">
        <f ca="1">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ca="1" si="9"/>
        <v/>
      </c>
      <c r="K18" s="19" t="str">
        <f t="shared" ca="1" si="12"/>
        <v/>
      </c>
      <c r="M18" s="8" t="str">
        <f t="shared" ca="1" si="13"/>
        <v/>
      </c>
      <c r="N18" s="8" t="str">
        <f ca="1">IF(J18="","",IF(M18,COUNTIF(M$4:M18,TRUE),0))</f>
        <v/>
      </c>
      <c r="O18" s="8" t="str">
        <f t="shared" ca="1" si="14"/>
        <v/>
      </c>
      <c r="P18" s="8" t="str">
        <f t="shared" ca="1" si="15"/>
        <v/>
      </c>
      <c r="Q18" s="8" t="str">
        <f t="shared" ca="1" si="16"/>
        <v/>
      </c>
      <c r="S18" t="s">
        <v>27</v>
      </c>
      <c r="Z18" t="s">
        <v>83</v>
      </c>
      <c r="AB18" s="11" t="s">
        <v>208</v>
      </c>
      <c r="AC18" s="10">
        <f t="shared" si="7"/>
        <v>2</v>
      </c>
      <c r="AD18" s="12">
        <f t="shared" si="19"/>
        <v>2</v>
      </c>
      <c r="AE18" s="8">
        <f t="shared" si="4"/>
        <v>10</v>
      </c>
      <c r="AF18" s="8">
        <f>IF(AE18="","",AE18+COUNTIF(AE$2:AE18,AE18)-1)</f>
        <v>12</v>
      </c>
      <c r="AK18" s="22" t="s">
        <v>1087</v>
      </c>
      <c r="AL18" s="14" t="e">
        <f ca="1">IF(セルの固定色(AK18)=セルの固定色(AK$6),1,"")</f>
        <v>#NAME?</v>
      </c>
      <c r="AM18" s="14" t="e">
        <f ca="1">IF(OR(ISBLANK(AL18),AL18=""),"",COUNTIF(AL$6:AL18,"&gt;0"))</f>
        <v>#NAME?</v>
      </c>
      <c r="AN18" s="14" t="str">
        <f t="shared" ca="1" si="17"/>
        <v/>
      </c>
      <c r="AO18" s="14" t="e">
        <f t="shared" ca="1" si="18"/>
        <v>#NAME?</v>
      </c>
      <c r="AP18" s="14" t="e">
        <f ca="1">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ca="1" si="9"/>
        <v/>
      </c>
      <c r="K19" s="19" t="str">
        <f t="shared" ca="1" si="12"/>
        <v/>
      </c>
      <c r="M19" s="8" t="str">
        <f t="shared" ca="1" si="13"/>
        <v/>
      </c>
      <c r="N19" s="8" t="str">
        <f ca="1">IF(J19="","",IF(M19,COUNTIF(M$4:M19,TRUE),0))</f>
        <v/>
      </c>
      <c r="O19" s="8" t="str">
        <f t="shared" ca="1" si="14"/>
        <v/>
      </c>
      <c r="P19" s="8" t="str">
        <f t="shared" ca="1" si="15"/>
        <v/>
      </c>
      <c r="Q19" s="8" t="str">
        <f t="shared" ca="1" si="16"/>
        <v/>
      </c>
      <c r="S19" t="s">
        <v>54</v>
      </c>
      <c r="Z19" t="s">
        <v>83</v>
      </c>
      <c r="AB19" s="11" t="s">
        <v>826</v>
      </c>
      <c r="AC19" s="10">
        <f t="shared" si="7"/>
        <v>1</v>
      </c>
      <c r="AD19" s="12">
        <f t="shared" si="19"/>
        <v>1</v>
      </c>
      <c r="AE19" s="8">
        <f t="shared" si="4"/>
        <v>15</v>
      </c>
      <c r="AF19" s="8">
        <f>IF(AE19="","",AE19+COUNTIF(AE$2:AE19,AE19)-1)</f>
        <v>20</v>
      </c>
      <c r="AK19" s="22" t="s">
        <v>1089</v>
      </c>
      <c r="AL19" s="14" t="e">
        <f ca="1">IF(セルの固定色(AK19)=セルの固定色(AK$6),1,"")</f>
        <v>#NAME?</v>
      </c>
      <c r="AM19" s="14" t="e">
        <f ca="1">IF(OR(ISBLANK(AL19),AL19=""),"",COUNTIF(AL$6:AL19,"&gt;0"))</f>
        <v>#NAME?</v>
      </c>
      <c r="AN19" s="14" t="str">
        <f t="shared" ca="1" si="17"/>
        <v/>
      </c>
      <c r="AO19" s="14" t="e">
        <f t="shared" ca="1" si="18"/>
        <v>#NAME?</v>
      </c>
      <c r="AP19" s="14" t="e">
        <f ca="1">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ca="1" si="9"/>
        <v/>
      </c>
      <c r="K20" s="19" t="str">
        <f t="shared" ca="1" si="12"/>
        <v/>
      </c>
      <c r="M20" s="8" t="str">
        <f t="shared" ca="1" si="13"/>
        <v/>
      </c>
      <c r="N20" s="8" t="str">
        <f ca="1">IF(J20="","",IF(M20,COUNTIF(M$4:M20,TRUE),0))</f>
        <v/>
      </c>
      <c r="O20" s="8" t="str">
        <f t="shared" ca="1" si="14"/>
        <v/>
      </c>
      <c r="P20" s="8" t="str">
        <f t="shared" ca="1" si="15"/>
        <v/>
      </c>
      <c r="Q20" s="8" t="str">
        <f t="shared" ca="1" si="16"/>
        <v/>
      </c>
      <c r="S20" t="s">
        <v>54</v>
      </c>
      <c r="Z20" t="s">
        <v>68</v>
      </c>
      <c r="AB20" s="11" t="s">
        <v>222</v>
      </c>
      <c r="AC20" s="10">
        <f t="shared" si="7"/>
        <v>7</v>
      </c>
      <c r="AD20" s="12">
        <f t="shared" si="19"/>
        <v>7</v>
      </c>
      <c r="AE20" s="8">
        <f t="shared" si="4"/>
        <v>4</v>
      </c>
      <c r="AF20" s="8">
        <f>IF(AE20="","",AE20+COUNTIF(AE$2:AE20,AE20)-1)</f>
        <v>4</v>
      </c>
      <c r="AK20" s="23" t="s">
        <v>1463</v>
      </c>
      <c r="AL20" s="14" t="e">
        <f ca="1">IF(セルの固定色(AK20)=セルの固定色(AK$6),1,"")</f>
        <v>#NAME?</v>
      </c>
      <c r="AM20" s="14" t="e">
        <f ca="1">IF(OR(ISBLANK(AL20),AL20=""),"",COUNTIF(AL$6:AL20,"&gt;0"))</f>
        <v>#NAME?</v>
      </c>
      <c r="AN20" s="14" t="str">
        <f t="shared" ca="1" si="17"/>
        <v/>
      </c>
      <c r="AO20" s="14" t="e">
        <f t="shared" ca="1" si="18"/>
        <v>#NAME?</v>
      </c>
      <c r="AP20" s="14" t="e">
        <f ca="1">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ca="1" si="9"/>
        <v/>
      </c>
      <c r="K21" s="19" t="str">
        <f t="shared" ca="1" si="12"/>
        <v/>
      </c>
      <c r="M21" s="8" t="str">
        <f t="shared" ca="1" si="13"/>
        <v/>
      </c>
      <c r="N21" s="8" t="str">
        <f ca="1">IF(J21="","",IF(M21,COUNTIF(M$4:M21,TRUE),0))</f>
        <v/>
      </c>
      <c r="O21" s="8" t="str">
        <f t="shared" ca="1" si="14"/>
        <v/>
      </c>
      <c r="P21" s="8" t="str">
        <f t="shared" ca="1" si="15"/>
        <v/>
      </c>
      <c r="Q21" s="8" t="str">
        <f t="shared" ca="1" si="16"/>
        <v/>
      </c>
      <c r="S21" t="s">
        <v>27</v>
      </c>
      <c r="Z21" t="s">
        <v>68</v>
      </c>
      <c r="AB21" s="11" t="s">
        <v>105</v>
      </c>
      <c r="AC21" s="10">
        <f t="shared" si="7"/>
        <v>1</v>
      </c>
      <c r="AD21" s="12">
        <f t="shared" si="19"/>
        <v>1</v>
      </c>
      <c r="AE21" s="8">
        <f t="shared" si="4"/>
        <v>15</v>
      </c>
      <c r="AF21" s="8">
        <f>IF(AE21="","",AE21+COUNTIF(AE$2:AE21,AE21)-1)</f>
        <v>21</v>
      </c>
      <c r="AK21" s="18" t="s">
        <v>1090</v>
      </c>
      <c r="AL21" s="14" t="e">
        <f ca="1">IF(セルの固定色(AK21)=セルの固定色(AK$6),1,"")</f>
        <v>#NAME?</v>
      </c>
      <c r="AM21" s="14" t="e">
        <f ca="1">IF(OR(ISBLANK(AL21),AL21=""),"",COUNTIF(AL$6:AL21,"&gt;0"))</f>
        <v>#NAME?</v>
      </c>
      <c r="AN21" s="14" t="str">
        <f t="shared" ca="1" si="17"/>
        <v/>
      </c>
      <c r="AO21" s="14" t="e">
        <f t="shared" ca="1" si="18"/>
        <v>#NAME?</v>
      </c>
      <c r="AP21" s="14" t="e">
        <f ca="1">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ca="1" si="9"/>
        <v/>
      </c>
      <c r="K22" s="19" t="str">
        <f t="shared" ca="1" si="12"/>
        <v/>
      </c>
      <c r="M22" s="8" t="str">
        <f t="shared" ca="1" si="13"/>
        <v/>
      </c>
      <c r="N22" s="8" t="str">
        <f ca="1">IF(J22="","",IF(M22,COUNTIF(M$4:M22,TRUE),0))</f>
        <v/>
      </c>
      <c r="O22" s="8" t="str">
        <f t="shared" ca="1" si="14"/>
        <v/>
      </c>
      <c r="P22" s="8" t="str">
        <f t="shared" ca="1" si="15"/>
        <v/>
      </c>
      <c r="Q22" s="8" t="str">
        <f t="shared" ca="1" si="16"/>
        <v/>
      </c>
      <c r="S22" t="s">
        <v>494</v>
      </c>
      <c r="Z22" t="s">
        <v>44</v>
      </c>
      <c r="AB22" s="11" t="s">
        <v>903</v>
      </c>
      <c r="AC22" s="10">
        <f t="shared" si="7"/>
        <v>2</v>
      </c>
      <c r="AD22" s="12">
        <f t="shared" si="19"/>
        <v>2</v>
      </c>
      <c r="AE22" s="8">
        <f t="shared" si="4"/>
        <v>10</v>
      </c>
      <c r="AF22" s="8">
        <f>IF(AE22="","",AE22+COUNTIF(AE$2:AE22,AE22)-1)</f>
        <v>13</v>
      </c>
      <c r="AK22" s="18" t="s">
        <v>1092</v>
      </c>
      <c r="AL22" s="14" t="e">
        <f ca="1">IF(セルの固定色(AK22)=セルの固定色(AK$6),1,"")</f>
        <v>#NAME?</v>
      </c>
      <c r="AM22" s="14" t="e">
        <f ca="1">IF(OR(ISBLANK(AL22),AL22=""),"",COUNTIF(AL$6:AL22,"&gt;0"))</f>
        <v>#NAME?</v>
      </c>
      <c r="AN22" s="14" t="str">
        <f t="shared" ca="1" si="17"/>
        <v/>
      </c>
      <c r="AO22" s="14" t="e">
        <f t="shared" ca="1" si="18"/>
        <v>#NAME?</v>
      </c>
      <c r="AP22" s="14" t="e">
        <f ca="1">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ca="1" si="9"/>
        <v/>
      </c>
      <c r="K23" s="19" t="str">
        <f t="shared" ca="1" si="12"/>
        <v/>
      </c>
      <c r="M23" s="8" t="str">
        <f t="shared" ca="1" si="13"/>
        <v/>
      </c>
      <c r="N23" s="8" t="str">
        <f ca="1">IF(J23="","",IF(M23,COUNTIF(M$4:M23,TRUE),0))</f>
        <v/>
      </c>
      <c r="O23" s="8" t="str">
        <f t="shared" ca="1" si="14"/>
        <v/>
      </c>
      <c r="P23" s="8" t="str">
        <f t="shared" ca="1" si="15"/>
        <v/>
      </c>
      <c r="Q23" s="8" t="str">
        <f t="shared" ca="1" si="16"/>
        <v/>
      </c>
      <c r="S23" t="s">
        <v>54</v>
      </c>
      <c r="Z23" t="s">
        <v>37</v>
      </c>
      <c r="AB23" s="11" t="s">
        <v>911</v>
      </c>
      <c r="AC23" s="10">
        <f t="shared" si="7"/>
        <v>1</v>
      </c>
      <c r="AD23" s="12">
        <f t="shared" si="19"/>
        <v>1</v>
      </c>
      <c r="AE23" s="8">
        <f t="shared" si="4"/>
        <v>15</v>
      </c>
      <c r="AF23" s="8">
        <f>IF(AE23="","",AE23+COUNTIF(AE$2:AE23,AE23)-1)</f>
        <v>22</v>
      </c>
      <c r="AK23" s="18" t="s">
        <v>1093</v>
      </c>
      <c r="AL23" s="14" t="e">
        <f ca="1">IF(セルの固定色(AK23)=セルの固定色(AK$6),1,"")</f>
        <v>#NAME?</v>
      </c>
      <c r="AM23" s="14" t="e">
        <f ca="1">IF(OR(ISBLANK(AL23),AL23=""),"",COUNTIF(AL$6:AL23,"&gt;0"))</f>
        <v>#NAME?</v>
      </c>
      <c r="AN23" s="14" t="str">
        <f t="shared" ca="1" si="17"/>
        <v/>
      </c>
      <c r="AO23" s="14" t="e">
        <f t="shared" ca="1" si="18"/>
        <v>#NAME?</v>
      </c>
      <c r="AP23" s="14" t="e">
        <f ca="1">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ca="1" si="9"/>
        <v/>
      </c>
      <c r="K24" s="19" t="str">
        <f t="shared" ca="1" si="12"/>
        <v/>
      </c>
      <c r="M24" s="8" t="str">
        <f t="shared" ca="1" si="13"/>
        <v/>
      </c>
      <c r="N24" s="8" t="str">
        <f ca="1">IF(J24="","",IF(M24,COUNTIF(M$4:M24,TRUE),0))</f>
        <v/>
      </c>
      <c r="O24" s="8" t="str">
        <f t="shared" ca="1" si="14"/>
        <v/>
      </c>
      <c r="P24" s="8" t="str">
        <f t="shared" ca="1" si="15"/>
        <v/>
      </c>
      <c r="Q24" s="8" t="str">
        <f t="shared" ca="1" si="16"/>
        <v/>
      </c>
      <c r="S24" t="s">
        <v>494</v>
      </c>
      <c r="Z24" t="s">
        <v>773</v>
      </c>
      <c r="AB24" s="11" t="s">
        <v>985</v>
      </c>
      <c r="AC24" s="10">
        <f t="shared" si="7"/>
        <v>1</v>
      </c>
      <c r="AD24" s="12">
        <f>SUM(AC24)</f>
        <v>1</v>
      </c>
      <c r="AE24" s="8">
        <f t="shared" si="4"/>
        <v>15</v>
      </c>
      <c r="AF24" s="8">
        <f>IF(AE24="","",AE24+COUNTIF(AE$2:AE24,AE24)-1)</f>
        <v>23</v>
      </c>
      <c r="AK24" s="24" t="s">
        <v>1094</v>
      </c>
      <c r="AL24" s="14" t="e">
        <f ca="1">IF(セルの固定色(AK24)=セルの固定色(AK$6),1,"")</f>
        <v>#NAME?</v>
      </c>
      <c r="AM24" s="14" t="e">
        <f ca="1">IF(OR(ISBLANK(AL24),AL24=""),"",COUNTIF(AL$6:AL24,"&gt;0"))</f>
        <v>#NAME?</v>
      </c>
      <c r="AN24" s="14" t="str">
        <f t="shared" ca="1" si="17"/>
        <v/>
      </c>
      <c r="AO24" s="14" t="e">
        <f t="shared" ca="1" si="18"/>
        <v>#NAME?</v>
      </c>
      <c r="AP24" s="14" t="e">
        <f ca="1">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ca="1" si="9"/>
        <v/>
      </c>
      <c r="K25" s="19" t="str">
        <f t="shared" ca="1" si="12"/>
        <v/>
      </c>
      <c r="M25" s="8" t="str">
        <f t="shared" ca="1" si="13"/>
        <v/>
      </c>
      <c r="N25" s="8" t="str">
        <f ca="1">IF(J25="","",IF(M25,COUNTIF(M$4:M25,TRUE),0))</f>
        <v/>
      </c>
      <c r="O25" s="8" t="str">
        <f t="shared" ca="1" si="14"/>
        <v/>
      </c>
      <c r="P25" s="8" t="str">
        <f t="shared" ca="1" si="15"/>
        <v/>
      </c>
      <c r="Q25" s="8" t="str">
        <f t="shared" ca="1" si="16"/>
        <v/>
      </c>
      <c r="S25" t="s">
        <v>779</v>
      </c>
      <c r="Z25" t="s">
        <v>780</v>
      </c>
      <c r="AB25" s="11" t="s">
        <v>477</v>
      </c>
      <c r="AC25" s="10">
        <f t="shared" si="7"/>
        <v>1</v>
      </c>
      <c r="AD25" s="12">
        <f t="shared" ref="AD25" si="21">SUM(AC25)</f>
        <v>1</v>
      </c>
      <c r="AE25" s="8">
        <f t="shared" si="4"/>
        <v>15</v>
      </c>
      <c r="AF25" s="8">
        <f>IF(AE25="","",AE25+COUNTIF(AE$2:AE25,AE25)-1)</f>
        <v>24</v>
      </c>
      <c r="AK25" s="24" t="s">
        <v>1096</v>
      </c>
      <c r="AL25" s="14" t="e">
        <f ca="1">IF(セルの固定色(AK25)=セルの固定色(AK$6),1,"")</f>
        <v>#NAME?</v>
      </c>
      <c r="AM25" s="14" t="e">
        <f ca="1">IF(OR(ISBLANK(AL25),AL25=""),"",COUNTIF(AL$6:AL25,"&gt;0"))</f>
        <v>#NAME?</v>
      </c>
      <c r="AN25" s="14" t="str">
        <f t="shared" ca="1" si="17"/>
        <v/>
      </c>
      <c r="AO25" s="14" t="e">
        <f t="shared" ca="1" si="18"/>
        <v>#NAME?</v>
      </c>
      <c r="AP25" s="14" t="e">
        <f ca="1">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ca="1" si="9"/>
        <v/>
      </c>
      <c r="K26" s="19" t="str">
        <f t="shared" ca="1" si="12"/>
        <v/>
      </c>
      <c r="M26" s="8" t="str">
        <f t="shared" ca="1" si="13"/>
        <v/>
      </c>
      <c r="N26" s="8" t="str">
        <f ca="1">IF(J26="","",IF(M26,COUNTIF(M$4:M26,TRUE),0))</f>
        <v/>
      </c>
      <c r="O26" s="8" t="str">
        <f t="shared" ca="1" si="14"/>
        <v/>
      </c>
      <c r="P26" s="8" t="str">
        <f t="shared" ca="1" si="15"/>
        <v/>
      </c>
      <c r="Q26" s="8" t="str">
        <f t="shared" ca="1" si="16"/>
        <v/>
      </c>
      <c r="S26" t="s">
        <v>87</v>
      </c>
      <c r="Z26" t="s">
        <v>68</v>
      </c>
      <c r="AB26" s="11" t="s">
        <v>999</v>
      </c>
      <c r="AC26" s="10">
        <f t="shared" si="7"/>
        <v>1</v>
      </c>
      <c r="AD26" s="12">
        <f>SUM(AC26)</f>
        <v>1</v>
      </c>
      <c r="AE26" s="8">
        <f t="shared" si="4"/>
        <v>15</v>
      </c>
      <c r="AF26" s="8">
        <f>IF(AE26="","",AE26+COUNTIF(AE$2:AE26,AE26)-1)</f>
        <v>25</v>
      </c>
      <c r="AK26" s="24" t="s">
        <v>1097</v>
      </c>
      <c r="AL26" s="14" t="e">
        <f ca="1">IF(セルの固定色(AK26)=セルの固定色(AK$6),1,"")</f>
        <v>#NAME?</v>
      </c>
      <c r="AM26" s="14" t="e">
        <f ca="1">IF(OR(ISBLANK(AL26),AL26=""),"",COUNTIF(AL$6:AL26,"&gt;0"))</f>
        <v>#NAME?</v>
      </c>
      <c r="AN26" s="14" t="str">
        <f t="shared" ca="1" si="17"/>
        <v/>
      </c>
      <c r="AO26" s="14" t="e">
        <f t="shared" ca="1" si="18"/>
        <v>#NAME?</v>
      </c>
      <c r="AP26" s="14" t="e">
        <f ca="1">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ca="1" si="9"/>
        <v/>
      </c>
      <c r="K27" s="19" t="str">
        <f t="shared" ca="1" si="12"/>
        <v/>
      </c>
      <c r="M27" s="8" t="str">
        <f t="shared" ca="1" si="13"/>
        <v/>
      </c>
      <c r="N27" s="8" t="str">
        <f ca="1">IF(J27="","",IF(M27,COUNTIF(M$4:M27,TRUE),0))</f>
        <v/>
      </c>
      <c r="P27" s="27">
        <f ca="1">SUM(P4:P26)</f>
        <v>0</v>
      </c>
      <c r="Q27" s="27">
        <f ca="1">SUM(Q4:Q26)</f>
        <v>0</v>
      </c>
      <c r="S27" t="s">
        <v>27</v>
      </c>
      <c r="Z27" t="s">
        <v>59</v>
      </c>
      <c r="AB27" s="11" t="s">
        <v>639</v>
      </c>
      <c r="AC27" s="10">
        <f t="shared" si="7"/>
        <v>1</v>
      </c>
      <c r="AD27" s="12">
        <f>SUM(AC27)</f>
        <v>1</v>
      </c>
      <c r="AE27" s="8">
        <f t="shared" si="4"/>
        <v>15</v>
      </c>
      <c r="AF27" s="8">
        <f>IF(AE27="","",AE27+COUNTIF(AE$2:AE27,AE27)-1)</f>
        <v>26</v>
      </c>
      <c r="AK27" s="25" t="s">
        <v>1098</v>
      </c>
      <c r="AL27" s="14" t="e">
        <f ca="1">IF(セルの固定色(AK27)=セルの固定色(AK$6),1,"")</f>
        <v>#NAME?</v>
      </c>
      <c r="AM27" s="14" t="e">
        <f ca="1">IF(OR(ISBLANK(AL27),AL27=""),"",COUNTIF(AL$6:AL27,"&gt;0"))</f>
        <v>#NAME?</v>
      </c>
      <c r="AN27" s="14" t="str">
        <f t="shared" ca="1" si="17"/>
        <v/>
      </c>
      <c r="AO27" s="14" t="e">
        <f t="shared" ca="1" si="18"/>
        <v>#NAME?</v>
      </c>
      <c r="AP27" s="14" t="e">
        <f ca="1">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ca="1" si="9"/>
        <v/>
      </c>
      <c r="K28" s="19" t="str">
        <f t="shared" ca="1" si="12"/>
        <v/>
      </c>
      <c r="M28" s="8" t="str">
        <f t="shared" ca="1" si="13"/>
        <v/>
      </c>
      <c r="N28" s="8" t="str">
        <f ca="1">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 ca="1">IF(セルの固定色(AK28)=セルの固定色(AK$6),1,"")</f>
        <v>#NAME?</v>
      </c>
      <c r="AM28" s="14" t="e">
        <f ca="1">IF(OR(ISBLANK(AL28),AL28=""),"",COUNTIF(AL$6:AL28,"&gt;0"))</f>
        <v>#NAME?</v>
      </c>
      <c r="AN28" s="14" t="str">
        <f t="shared" ca="1" si="17"/>
        <v/>
      </c>
      <c r="AO28" s="14" t="e">
        <f t="shared" ca="1" si="18"/>
        <v>#NAME?</v>
      </c>
      <c r="AP28" s="14" t="e">
        <f ca="1">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ca="1" si="9"/>
        <v/>
      </c>
      <c r="K29" s="19" t="str">
        <f t="shared" ca="1" si="12"/>
        <v/>
      </c>
      <c r="M29" s="8" t="str">
        <f t="shared" ca="1" si="13"/>
        <v/>
      </c>
      <c r="N29" s="8" t="str">
        <f ca="1">IF(J29="","",IF(M29,COUNTIF(M$4:M29,TRUE),0))</f>
        <v/>
      </c>
      <c r="S29" t="s">
        <v>27</v>
      </c>
      <c r="Z29" t="s">
        <v>37</v>
      </c>
      <c r="AC29" s="8" t="str">
        <f t="shared" si="7"/>
        <v/>
      </c>
      <c r="AE29" s="8" t="str">
        <f t="shared" si="4"/>
        <v/>
      </c>
      <c r="AF29" s="8" t="str">
        <f>IF(AE29="","",AE29+COUNTIF(AE$2:AE29,AE29)-1)</f>
        <v/>
      </c>
      <c r="AK29" s="23" t="s">
        <v>1464</v>
      </c>
      <c r="AL29" s="14" t="e">
        <f ca="1">IF(セルの固定色(AK29)=セルの固定色(AK$6),1,"")</f>
        <v>#NAME?</v>
      </c>
      <c r="AM29" s="14" t="e">
        <f ca="1">IF(OR(ISBLANK(AL29),AL29=""),"",COUNTIF(AL$6:AL29,"&gt;0"))</f>
        <v>#NAME?</v>
      </c>
      <c r="AN29" s="14" t="str">
        <f t="shared" ca="1" si="17"/>
        <v/>
      </c>
      <c r="AO29" s="14" t="e">
        <f t="shared" ca="1" si="18"/>
        <v>#NAME?</v>
      </c>
      <c r="AP29" s="14" t="e">
        <f ca="1">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ca="1" si="9"/>
        <v/>
      </c>
      <c r="K30" s="19" t="str">
        <f t="shared" ca="1" si="12"/>
        <v/>
      </c>
      <c r="M30" s="8" t="str">
        <f t="shared" ca="1" si="13"/>
        <v/>
      </c>
      <c r="N30" s="8" t="str">
        <f ca="1">IF(J30="","",IF(M30,COUNTIF(M$4:M30,TRUE),0))</f>
        <v/>
      </c>
      <c r="S30" t="s">
        <v>27</v>
      </c>
      <c r="Z30" t="s">
        <v>795</v>
      </c>
      <c r="AB30" s="28" t="s">
        <v>715</v>
      </c>
      <c r="AC30" s="8">
        <f t="shared" si="7"/>
        <v>1</v>
      </c>
      <c r="AD30" s="12">
        <f>SUM(AC30)</f>
        <v>1</v>
      </c>
      <c r="AE30" s="8">
        <f t="shared" si="4"/>
        <v>15</v>
      </c>
      <c r="AF30" s="8">
        <f>IF(AE30="","",AE30+COUNTIF(AE$2:AE30,AE30)-1)</f>
        <v>28</v>
      </c>
      <c r="AK30" s="18" t="s">
        <v>1101</v>
      </c>
      <c r="AL30" s="14" t="e">
        <f ca="1">IF(セルの固定色(AK30)=セルの固定色(AK$6),1,"")</f>
        <v>#NAME?</v>
      </c>
      <c r="AM30" s="14" t="e">
        <f ca="1">IF(OR(ISBLANK(AL30),AL30=""),"",COUNTIF(AL$6:AL30,"&gt;0"))</f>
        <v>#NAME?</v>
      </c>
      <c r="AN30" s="14" t="str">
        <f t="shared" ca="1" si="17"/>
        <v/>
      </c>
      <c r="AO30" s="14" t="e">
        <f t="shared" ca="1" si="18"/>
        <v>#NAME?</v>
      </c>
      <c r="AP30" s="14" t="e">
        <f ca="1">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ca="1" si="9"/>
        <v/>
      </c>
      <c r="K31" s="19" t="str">
        <f t="shared" ca="1" si="12"/>
        <v/>
      </c>
      <c r="M31" s="8" t="str">
        <f t="shared" ca="1" si="13"/>
        <v/>
      </c>
      <c r="N31" s="8" t="str">
        <f ca="1">IF(J31="","",IF(M31,COUNTIF(M$4:M31,TRUE),0))</f>
        <v/>
      </c>
      <c r="S31" t="s">
        <v>27</v>
      </c>
      <c r="Z31" t="s">
        <v>246</v>
      </c>
      <c r="AB31" s="28" t="s">
        <v>733</v>
      </c>
      <c r="AC31" s="8">
        <f t="shared" si="7"/>
        <v>1</v>
      </c>
      <c r="AD31" s="12">
        <f>SUM(AC31)</f>
        <v>1</v>
      </c>
      <c r="AE31" s="8">
        <f t="shared" si="4"/>
        <v>15</v>
      </c>
      <c r="AF31" s="8">
        <f>IF(AE31="","",AE31+COUNTIF(AE$2:AE31,AE31)-1)</f>
        <v>29</v>
      </c>
      <c r="AK31" s="18" t="s">
        <v>47</v>
      </c>
      <c r="AL31" s="14" t="e">
        <f ca="1">IF(セルの固定色(AK31)=セルの固定色(AK$6),1,"")</f>
        <v>#NAME?</v>
      </c>
      <c r="AM31" s="14" t="e">
        <f ca="1">IF(OR(ISBLANK(AL31),AL31=""),"",COUNTIF(AL$6:AL31,"&gt;0"))</f>
        <v>#NAME?</v>
      </c>
      <c r="AN31" s="14" t="str">
        <f t="shared" ca="1" si="17"/>
        <v/>
      </c>
      <c r="AO31" s="14" t="e">
        <f t="shared" ca="1" si="18"/>
        <v>#NAME?</v>
      </c>
      <c r="AP31" s="14" t="e">
        <f ca="1">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ca="1" si="9"/>
        <v/>
      </c>
      <c r="K32" s="19" t="str">
        <f t="shared" ca="1" si="12"/>
        <v/>
      </c>
      <c r="M32" s="8" t="str">
        <f t="shared" ca="1" si="13"/>
        <v/>
      </c>
      <c r="N32" s="8" t="str">
        <f ca="1">IF(J32="","",IF(M32,COUNTIF(M$4:M32,TRUE),0))</f>
        <v/>
      </c>
      <c r="S32" t="s">
        <v>54</v>
      </c>
      <c r="Z32" t="s">
        <v>532</v>
      </c>
      <c r="AB32" s="28" t="s">
        <v>242</v>
      </c>
      <c r="AC32" s="8">
        <f t="shared" si="7"/>
        <v>1</v>
      </c>
      <c r="AD32" s="12">
        <f>SUM(AC32)</f>
        <v>1</v>
      </c>
      <c r="AE32" s="8">
        <f t="shared" si="4"/>
        <v>15</v>
      </c>
      <c r="AF32" s="8">
        <f>IF(AE32="","",AE32+COUNTIF(AE$2:AE32,AE32)-1)</f>
        <v>30</v>
      </c>
      <c r="AK32" s="18" t="s">
        <v>1102</v>
      </c>
      <c r="AL32" s="14" t="e">
        <f ca="1">IF(セルの固定色(AK32)=セルの固定色(AK$6),1,"")</f>
        <v>#NAME?</v>
      </c>
      <c r="AM32" s="14" t="e">
        <f ca="1">IF(OR(ISBLANK(AL32),AL32=""),"",COUNTIF(AL$6:AL32,"&gt;0"))</f>
        <v>#NAME?</v>
      </c>
      <c r="AN32" s="14" t="str">
        <f t="shared" ca="1" si="17"/>
        <v/>
      </c>
      <c r="AO32" s="14" t="e">
        <f t="shared" ca="1" si="18"/>
        <v>#NAME?</v>
      </c>
      <c r="AP32" s="14" t="e">
        <f ca="1">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ca="1" si="9"/>
        <v/>
      </c>
      <c r="K33" s="19" t="str">
        <f t="shared" ca="1" si="12"/>
        <v/>
      </c>
      <c r="M33" s="8" t="str">
        <f t="shared" ca="1" si="13"/>
        <v/>
      </c>
      <c r="N33" s="8" t="str">
        <f ca="1">IF(J33="","",IF(M33,COUNTIF(M$4:M33,TRUE),0))</f>
        <v/>
      </c>
      <c r="S33" t="s">
        <v>27</v>
      </c>
      <c r="Z33" t="s">
        <v>208</v>
      </c>
      <c r="AB33" s="28" t="s">
        <v>925</v>
      </c>
      <c r="AC33" s="8">
        <f t="shared" si="7"/>
        <v>2</v>
      </c>
      <c r="AD33" s="12">
        <f>SUM(AC33)</f>
        <v>2</v>
      </c>
      <c r="AE33" s="8">
        <f t="shared" si="4"/>
        <v>10</v>
      </c>
      <c r="AF33" s="8">
        <f>IF(AE33="","",AE33+COUNTIF(AE$2:AE33,AE33)-1)</f>
        <v>14</v>
      </c>
      <c r="AK33" s="18" t="s">
        <v>1103</v>
      </c>
      <c r="AL33" s="14" t="e">
        <f ca="1">IF(セルの固定色(AK33)=セルの固定色(AK$6),1,"")</f>
        <v>#NAME?</v>
      </c>
      <c r="AM33" s="14" t="e">
        <f ca="1">IF(OR(ISBLANK(AL33),AL33=""),"",COUNTIF(AL$6:AL33,"&gt;0"))</f>
        <v>#NAME?</v>
      </c>
      <c r="AN33" s="14" t="str">
        <f t="shared" ca="1" si="17"/>
        <v/>
      </c>
      <c r="AO33" s="14" t="e">
        <f t="shared" ca="1" si="18"/>
        <v>#NAME?</v>
      </c>
      <c r="AP33" s="14" t="e">
        <f ca="1">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ca="1" si="9"/>
        <v/>
      </c>
      <c r="K34" s="19" t="str">
        <f t="shared" ca="1" si="12"/>
        <v/>
      </c>
      <c r="M34" s="8" t="str">
        <f t="shared" ca="1" si="13"/>
        <v/>
      </c>
      <c r="N34" s="8" t="str">
        <f ca="1">IF(J34="","",IF(M34,COUNTIF(M$4:M34,TRUE),0))</f>
        <v/>
      </c>
      <c r="S34" t="s">
        <v>27</v>
      </c>
      <c r="Z34" t="s">
        <v>532</v>
      </c>
      <c r="AC34" s="8" t="str">
        <f t="shared" si="7"/>
        <v/>
      </c>
      <c r="AE34" s="8" t="str">
        <f t="shared" si="4"/>
        <v/>
      </c>
      <c r="AF34" s="8" t="str">
        <f>IF(AE34="","",AE34+COUNTIF(AE$2:AE34,AE34)-1)</f>
        <v/>
      </c>
      <c r="AK34" s="18" t="s">
        <v>1104</v>
      </c>
      <c r="AL34" s="14" t="e">
        <f ca="1">IF(セルの固定色(AK34)=セルの固定色(AK$6),1,"")</f>
        <v>#NAME?</v>
      </c>
      <c r="AM34" s="14" t="e">
        <f ca="1">IF(OR(ISBLANK(AL34),AL34=""),"",COUNTIF(AL$6:AL34,"&gt;0"))</f>
        <v>#NAME?</v>
      </c>
      <c r="AN34" s="14" t="str">
        <f t="shared" ca="1" si="17"/>
        <v/>
      </c>
      <c r="AO34" s="14" t="e">
        <f t="shared" ca="1" si="18"/>
        <v>#NAME?</v>
      </c>
      <c r="AP34" s="14" t="e">
        <f ca="1">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ca="1" si="9"/>
        <v/>
      </c>
      <c r="K35" s="19" t="str">
        <f t="shared" ca="1" si="12"/>
        <v/>
      </c>
      <c r="M35" s="8" t="str">
        <f t="shared" ca="1" si="13"/>
        <v/>
      </c>
      <c r="N35" s="8" t="str">
        <f ca="1">IF(J35="","",IF(M35,COUNTIF(M$4:M35,TRUE),0))</f>
        <v/>
      </c>
      <c r="S35" t="s">
        <v>27</v>
      </c>
      <c r="Z35" t="s">
        <v>37</v>
      </c>
      <c r="AC35" s="8" t="str">
        <f t="shared" si="7"/>
        <v/>
      </c>
      <c r="AE35" s="8" t="str">
        <f t="shared" si="4"/>
        <v/>
      </c>
      <c r="AF35" s="8" t="str">
        <f>IF(AE35="","",AE35+COUNTIF(AE$2:AE35,AE35)-1)</f>
        <v/>
      </c>
      <c r="AK35" s="18" t="s">
        <v>101</v>
      </c>
      <c r="AL35" s="14" t="e">
        <f ca="1">IF(セルの固定色(AK35)=セルの固定色(AK$6),1,"")</f>
        <v>#NAME?</v>
      </c>
      <c r="AM35" s="14" t="e">
        <f ca="1">IF(OR(ISBLANK(AL35),AL35=""),"",COUNTIF(AL$6:AL35,"&gt;0"))</f>
        <v>#NAME?</v>
      </c>
      <c r="AN35" s="14" t="str">
        <f t="shared" ca="1" si="17"/>
        <v/>
      </c>
      <c r="AO35" s="14" t="e">
        <f t="shared" ca="1" si="18"/>
        <v>#NAME?</v>
      </c>
      <c r="AP35" s="14" t="e">
        <f ca="1">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ca="1" si="9"/>
        <v/>
      </c>
      <c r="K36" s="19" t="str">
        <f t="shared" ca="1" si="12"/>
        <v/>
      </c>
      <c r="M36" s="8" t="str">
        <f t="shared" ca="1" si="13"/>
        <v/>
      </c>
      <c r="N36" s="8" t="str">
        <f ca="1">IF(J36="","",IF(M36,COUNTIF(M$4:M36,TRUE),0))</f>
        <v/>
      </c>
      <c r="S36" t="s">
        <v>54</v>
      </c>
      <c r="Z36" t="s">
        <v>37</v>
      </c>
      <c r="AC36" s="8" t="str">
        <f t="shared" si="7"/>
        <v/>
      </c>
      <c r="AE36" s="8" t="str">
        <f t="shared" si="4"/>
        <v/>
      </c>
      <c r="AF36" s="8" t="str">
        <f>IF(AE36="","",AE36+COUNTIF(AE$2:AE36,AE36)-1)</f>
        <v/>
      </c>
      <c r="AK36" s="18" t="s">
        <v>1105</v>
      </c>
      <c r="AL36" s="14" t="e">
        <f ca="1">IF(セルの固定色(AK36)=セルの固定色(AK$6),1,"")</f>
        <v>#NAME?</v>
      </c>
      <c r="AM36" s="14" t="e">
        <f ca="1">IF(OR(ISBLANK(AL36),AL36=""),"",COUNTIF(AL$6:AL36,"&gt;0"))</f>
        <v>#NAME?</v>
      </c>
      <c r="AN36" s="14" t="str">
        <f t="shared" ca="1" si="17"/>
        <v/>
      </c>
      <c r="AO36" s="14" t="e">
        <f t="shared" ca="1" si="18"/>
        <v>#NAME?</v>
      </c>
      <c r="AP36" s="14" t="e">
        <f ca="1">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ca="1" si="9"/>
        <v/>
      </c>
      <c r="K37" s="19" t="str">
        <f t="shared" ca="1" si="12"/>
        <v/>
      </c>
      <c r="M37" s="8" t="str">
        <f t="shared" ca="1" si="13"/>
        <v/>
      </c>
      <c r="N37" s="8" t="str">
        <f ca="1">IF(J37="","",IF(M37,COUNTIF(M$4:M37,TRUE),0))</f>
        <v/>
      </c>
      <c r="S37" t="s">
        <v>27</v>
      </c>
      <c r="Z37" t="s">
        <v>68</v>
      </c>
      <c r="AC37" s="8" t="str">
        <f t="shared" si="7"/>
        <v/>
      </c>
      <c r="AE37" s="8" t="str">
        <f t="shared" si="4"/>
        <v/>
      </c>
      <c r="AF37" s="8" t="str">
        <f>IF(AE37="","",AE37+COUNTIF(AE$2:AE37,AE37)-1)</f>
        <v/>
      </c>
      <c r="AK37" s="18" t="s">
        <v>32</v>
      </c>
      <c r="AL37" s="14" t="e">
        <f ca="1">IF(セルの固定色(AK37)=セルの固定色(AK$6),1,"")</f>
        <v>#NAME?</v>
      </c>
      <c r="AM37" s="14" t="e">
        <f ca="1">IF(OR(ISBLANK(AL37),AL37=""),"",COUNTIF(AL$6:AL37,"&gt;0"))</f>
        <v>#NAME?</v>
      </c>
      <c r="AN37" s="14" t="str">
        <f t="shared" ca="1" si="17"/>
        <v/>
      </c>
      <c r="AO37" s="14" t="e">
        <f t="shared" ca="1" si="18"/>
        <v>#NAME?</v>
      </c>
      <c r="AP37" s="14" t="e">
        <f ca="1">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ca="1" si="9"/>
        <v/>
      </c>
      <c r="K38" s="19" t="str">
        <f t="shared" ca="1" si="12"/>
        <v/>
      </c>
      <c r="M38" s="8" t="str">
        <f t="shared" ca="1" si="13"/>
        <v/>
      </c>
      <c r="N38" s="8" t="str">
        <f ca="1">IF(J38="","",IF(M38,COUNTIF(M$4:M38,TRUE),0))</f>
        <v/>
      </c>
      <c r="S38" t="s">
        <v>27</v>
      </c>
      <c r="Z38" t="s">
        <v>242</v>
      </c>
      <c r="AC38" s="8" t="str">
        <f t="shared" si="7"/>
        <v/>
      </c>
      <c r="AE38" s="8" t="str">
        <f t="shared" si="4"/>
        <v/>
      </c>
      <c r="AF38" s="8" t="str">
        <f>IF(AE38="","",AE38+COUNTIF(AE$2:AE38,AE38)-1)</f>
        <v/>
      </c>
      <c r="AK38" s="18" t="s">
        <v>128</v>
      </c>
      <c r="AL38" s="14" t="e">
        <f ca="1">IF(セルの固定色(AK38)=セルの固定色(AK$6),1,"")</f>
        <v>#NAME?</v>
      </c>
      <c r="AM38" s="14" t="e">
        <f ca="1">IF(OR(ISBLANK(AL38),AL38=""),"",COUNTIF(AL$6:AL38,"&gt;0"))</f>
        <v>#NAME?</v>
      </c>
      <c r="AN38" s="14" t="str">
        <f t="shared" ca="1" si="17"/>
        <v/>
      </c>
      <c r="AO38" s="14" t="e">
        <f t="shared" ca="1" si="18"/>
        <v>#NAME?</v>
      </c>
      <c r="AP38" s="14" t="e">
        <f ca="1">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ca="1" si="9"/>
        <v/>
      </c>
      <c r="K39" s="19" t="str">
        <f t="shared" ca="1" si="12"/>
        <v/>
      </c>
      <c r="M39" s="8" t="str">
        <f t="shared" ca="1" si="13"/>
        <v/>
      </c>
      <c r="N39" s="8" t="str">
        <f ca="1">IF(J39="","",IF(M39,COUNTIF(M$4:M39,TRUE),0))</f>
        <v/>
      </c>
      <c r="S39" t="s">
        <v>27</v>
      </c>
      <c r="Z39" t="s">
        <v>826</v>
      </c>
      <c r="AC39" s="8" t="str">
        <f t="shared" si="7"/>
        <v/>
      </c>
      <c r="AE39" s="8" t="str">
        <f t="shared" si="4"/>
        <v/>
      </c>
      <c r="AF39" s="8" t="str">
        <f>IF(AE39="","",AE39+COUNTIF(AE$2:AE39,AE39)-1)</f>
        <v/>
      </c>
      <c r="AK39" s="18" t="s">
        <v>1106</v>
      </c>
      <c r="AL39" s="14" t="e">
        <f ca="1">IF(セルの固定色(AK39)=セルの固定色(AK$6),1,"")</f>
        <v>#NAME?</v>
      </c>
      <c r="AM39" s="14" t="e">
        <f ca="1">IF(OR(ISBLANK(AL39),AL39=""),"",COUNTIF(AL$6:AL39,"&gt;0"))</f>
        <v>#NAME?</v>
      </c>
      <c r="AN39" s="14" t="str">
        <f t="shared" ca="1" si="17"/>
        <v/>
      </c>
      <c r="AO39" s="14" t="e">
        <f t="shared" ca="1" si="18"/>
        <v>#NAME?</v>
      </c>
      <c r="AP39" s="14" t="e">
        <f ca="1">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ca="1" si="9"/>
        <v/>
      </c>
      <c r="K40" s="19" t="str">
        <f t="shared" ca="1" si="12"/>
        <v/>
      </c>
      <c r="M40" s="8" t="str">
        <f t="shared" ca="1" si="13"/>
        <v/>
      </c>
      <c r="N40" s="8" t="str">
        <f ca="1">IF(J40="","",IF(M40,COUNTIF(M$4:M40,TRUE),0))</f>
        <v/>
      </c>
      <c r="S40" t="s">
        <v>54</v>
      </c>
      <c r="Z40" t="s">
        <v>44</v>
      </c>
      <c r="AC40" s="8" t="str">
        <f t="shared" si="7"/>
        <v/>
      </c>
      <c r="AE40" s="8" t="str">
        <f t="shared" si="4"/>
        <v/>
      </c>
      <c r="AF40" s="8" t="str">
        <f>IF(AE40="","",AE40+COUNTIF(AE$2:AE40,AE40)-1)</f>
        <v/>
      </c>
      <c r="AK40" s="18" t="s">
        <v>1107</v>
      </c>
      <c r="AL40" s="14" t="e">
        <f ca="1">IF(セルの固定色(AK40)=セルの固定色(AK$6),1,"")</f>
        <v>#NAME?</v>
      </c>
      <c r="AM40" s="14" t="e">
        <f ca="1">IF(OR(ISBLANK(AL40),AL40=""),"",COUNTIF(AL$6:AL40,"&gt;0"))</f>
        <v>#NAME?</v>
      </c>
      <c r="AN40" s="14" t="str">
        <f t="shared" ca="1" si="17"/>
        <v/>
      </c>
      <c r="AO40" s="14" t="e">
        <f t="shared" ca="1" si="18"/>
        <v>#NAME?</v>
      </c>
      <c r="AP40" s="14" t="e">
        <f ca="1">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ca="1" si="9"/>
        <v/>
      </c>
      <c r="S41" t="s">
        <v>27</v>
      </c>
      <c r="Z41" t="s">
        <v>59</v>
      </c>
      <c r="AC41" s="8" t="str">
        <f t="shared" si="7"/>
        <v/>
      </c>
      <c r="AE41" s="8" t="str">
        <f t="shared" si="4"/>
        <v/>
      </c>
      <c r="AF41" s="8" t="str">
        <f>IF(AE41="","",AE41+COUNTIF(AE$2:AE41,AE41)-1)</f>
        <v/>
      </c>
      <c r="AK41" s="18" t="s">
        <v>1108</v>
      </c>
      <c r="AL41" s="14" t="e">
        <f ca="1">IF(セルの固定色(AK41)=セルの固定色(AK$6),1,"")</f>
        <v>#NAME?</v>
      </c>
      <c r="AM41" s="14" t="e">
        <f ca="1">IF(OR(ISBLANK(AL41),AL41=""),"",COUNTIF(AL$6:AL41,"&gt;0"))</f>
        <v>#NAME?</v>
      </c>
      <c r="AN41" s="14" t="str">
        <f t="shared" ca="1" si="17"/>
        <v/>
      </c>
      <c r="AO41" s="14" t="e">
        <f t="shared" ca="1" si="18"/>
        <v>#NAME?</v>
      </c>
      <c r="AP41" s="14" t="e">
        <f ca="1">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ca="1" si="9"/>
        <v/>
      </c>
      <c r="S42" t="s">
        <v>116</v>
      </c>
      <c r="Z42" t="s">
        <v>68</v>
      </c>
      <c r="AC42" s="8" t="str">
        <f t="shared" si="7"/>
        <v/>
      </c>
      <c r="AE42" s="8" t="str">
        <f t="shared" si="4"/>
        <v/>
      </c>
      <c r="AF42" s="8" t="str">
        <f>IF(AE42="","",AE42+COUNTIF(AE$2:AE42,AE42)-1)</f>
        <v/>
      </c>
      <c r="AK42" s="18" t="s">
        <v>1109</v>
      </c>
      <c r="AL42" s="14" t="e">
        <f ca="1">IF(セルの固定色(AK42)=セルの固定色(AK$6),1,"")</f>
        <v>#NAME?</v>
      </c>
      <c r="AM42" s="14" t="e">
        <f ca="1">IF(OR(ISBLANK(AL42),AL42=""),"",COUNTIF(AL$6:AL42,"&gt;0"))</f>
        <v>#NAME?</v>
      </c>
      <c r="AN42" s="14" t="str">
        <f t="shared" ca="1" si="17"/>
        <v/>
      </c>
      <c r="AO42" s="14" t="e">
        <f t="shared" ca="1" si="18"/>
        <v>#NAME?</v>
      </c>
      <c r="AP42" s="14" t="e">
        <f ca="1">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 ca="1">IF(セルの固定色(AK43)=セルの固定色(AK$6),1,"")</f>
        <v>#NAME?</v>
      </c>
      <c r="AM43" s="14" t="e">
        <f ca="1">IF(OR(ISBLANK(AL43),AL43=""),"",COUNTIF(AL$6:AL43,"&gt;0"))</f>
        <v>#NAME?</v>
      </c>
      <c r="AN43" s="14" t="str">
        <f t="shared" ca="1" si="17"/>
        <v/>
      </c>
      <c r="AO43" s="14" t="e">
        <f t="shared" ca="1" si="18"/>
        <v>#NAME?</v>
      </c>
      <c r="AP43" s="14" t="e">
        <f ca="1">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 ca="1">IF(セルの固定色(AK44)=セルの固定色(AK$6),1,"")</f>
        <v>#NAME?</v>
      </c>
      <c r="AM44" s="14" t="e">
        <f ca="1">IF(OR(ISBLANK(AL44),AL44=""),"",COUNTIF(AL$6:AL44,"&gt;0"))</f>
        <v>#NAME?</v>
      </c>
      <c r="AN44" s="14" t="str">
        <f t="shared" ca="1" si="17"/>
        <v/>
      </c>
      <c r="AO44" s="14" t="e">
        <f t="shared" ca="1" si="18"/>
        <v>#NAME?</v>
      </c>
      <c r="AP44" s="14" t="e">
        <f ca="1">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 ca="1">IF(セルの固定色(AK45)=セルの固定色(AK$6),1,"")</f>
        <v>#NAME?</v>
      </c>
      <c r="AM45" s="14" t="e">
        <f ca="1">IF(OR(ISBLANK(AL45),AL45=""),"",COUNTIF(AL$6:AL45,"&gt;0"))</f>
        <v>#NAME?</v>
      </c>
      <c r="AP45" s="14" t="e">
        <f ca="1">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 ca="1">IF(セルの固定色(AK46)=セルの固定色(AK$6),1,"")</f>
        <v>#NAME?</v>
      </c>
      <c r="AM46" s="14" t="e">
        <f ca="1">IF(OR(ISBLANK(AL46),AL46=""),"",COUNTIF(AL$6:AL46,"&gt;0"))</f>
        <v>#NAME?</v>
      </c>
      <c r="AP46" s="14" t="e">
        <f ca="1">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 ca="1">IF(セルの固定色(AK47)=セルの固定色(AK$6),1,"")</f>
        <v>#NAME?</v>
      </c>
      <c r="AM47" s="14" t="e">
        <f ca="1">IF(OR(ISBLANK(AL47),AL47=""),"",COUNTIF(AL$6:AL47,"&gt;0"))</f>
        <v>#NAME?</v>
      </c>
      <c r="AP47" s="14" t="e">
        <f ca="1">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 ca="1">IF(セルの固定色(AK48)=セルの固定色(AK$6),1,"")</f>
        <v>#NAME?</v>
      </c>
      <c r="AM48" s="14" t="e">
        <f ca="1">IF(OR(ISBLANK(AL48),AL48=""),"",COUNTIF(AL$6:AL48,"&gt;0"))</f>
        <v>#NAME?</v>
      </c>
      <c r="AP48" s="14" t="e">
        <f ca="1">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 ca="1">IF(セルの固定色(AK49)=セルの固定色(AK$6),1,"")</f>
        <v>#NAME?</v>
      </c>
      <c r="AM49" s="14" t="e">
        <f ca="1">IF(OR(ISBLANK(AL49),AL49=""),"",COUNTIF(AL$6:AL49,"&gt;0"))</f>
        <v>#NAME?</v>
      </c>
      <c r="AP49" s="14" t="e">
        <f ca="1">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 ca="1">IF(セルの固定色(AK50)=セルの固定色(AK$6),1,"")</f>
        <v>#NAME?</v>
      </c>
      <c r="AM50" s="14" t="e">
        <f ca="1">IF(OR(ISBLANK(AL50),AL50=""),"",COUNTIF(AL$6:AL50,"&gt;0"))</f>
        <v>#NAME?</v>
      </c>
      <c r="AP50" s="14" t="e">
        <f ca="1">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 ca="1">IF(セルの固定色(AK51)=セルの固定色(AK$6),1,"")</f>
        <v>#NAME?</v>
      </c>
      <c r="AM51" s="14" t="e">
        <f ca="1">IF(OR(ISBLANK(AL51),AL51=""),"",COUNTIF(AL$6:AL51,"&gt;0"))</f>
        <v>#NAME?</v>
      </c>
      <c r="AP51" s="14" t="e">
        <f ca="1">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 ca="1">IF(セルの固定色(AK52)=セルの固定色(AK$6),1,"")</f>
        <v>#NAME?</v>
      </c>
      <c r="AM52" s="14" t="e">
        <f ca="1">IF(OR(ISBLANK(AL52),AL52=""),"",COUNTIF(AL$6:AL52,"&gt;0"))</f>
        <v>#NAME?</v>
      </c>
      <c r="AP52" s="14" t="e">
        <f ca="1">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 ca="1">IF(セルの固定色(AK53)=セルの固定色(AK$6),1,"")</f>
        <v>#NAME?</v>
      </c>
      <c r="AM53" s="14" t="e">
        <f ca="1">IF(OR(ISBLANK(AL53),AL53=""),"",COUNTIF(AL$6:AL53,"&gt;0"))</f>
        <v>#NAME?</v>
      </c>
      <c r="AP53" s="14" t="e">
        <f ca="1">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 ca="1">IF(セルの固定色(AK54)=セルの固定色(AK$6),1,"")</f>
        <v>#NAME?</v>
      </c>
      <c r="AM54" s="14" t="e">
        <f ca="1">IF(OR(ISBLANK(AL54),AL54=""),"",COUNTIF(AL$6:AL54,"&gt;0"))</f>
        <v>#NAME?</v>
      </c>
      <c r="AP54" s="14" t="e">
        <f ca="1">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 ca="1">IF(セルの固定色(AK55)=セルの固定色(AK$6),1,"")</f>
        <v>#NAME?</v>
      </c>
      <c r="AM55" s="14" t="e">
        <f ca="1">IF(OR(ISBLANK(AL55),AL55=""),"",COUNTIF(AL$6:AL55,"&gt;0"))</f>
        <v>#NAME?</v>
      </c>
      <c r="AP55" s="14" t="e">
        <f ca="1">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 ca="1">IF(セルの固定色(AK56)=セルの固定色(AK$6),1,"")</f>
        <v>#NAME?</v>
      </c>
      <c r="AM56" s="14" t="e">
        <f ca="1">IF(OR(ISBLANK(AL56),AL56=""),"",COUNTIF(AL$6:AL56,"&gt;0"))</f>
        <v>#NAME?</v>
      </c>
      <c r="AP56" s="14" t="e">
        <f ca="1">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 ca="1">IF(セルの固定色(AK57)=セルの固定色(AK$6),1,"")</f>
        <v>#NAME?</v>
      </c>
      <c r="AM57" s="14" t="e">
        <f ca="1">IF(OR(ISBLANK(AL57),AL57=""),"",COUNTIF(AL$6:AL57,"&gt;0"))</f>
        <v>#NAME?</v>
      </c>
      <c r="AP57" s="14" t="e">
        <f ca="1">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 ca="1">IF(セルの固定色(AK58)=セルの固定色(AK$6),1,"")</f>
        <v>#NAME?</v>
      </c>
      <c r="AM58" s="14" t="e">
        <f ca="1">IF(OR(ISBLANK(AL58),AL58=""),"",COUNTIF(AL$6:AL58,"&gt;0"))</f>
        <v>#NAME?</v>
      </c>
      <c r="AP58" s="14" t="e">
        <f ca="1">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 ca="1">IF(セルの固定色(AK59)=セルの固定色(AK$6),1,"")</f>
        <v>#NAME?</v>
      </c>
      <c r="AM59" s="14" t="e">
        <f ca="1">IF(OR(ISBLANK(AL59),AL59=""),"",COUNTIF(AL$6:AL59,"&gt;0"))</f>
        <v>#NAME?</v>
      </c>
      <c r="AP59" s="14" t="e">
        <f ca="1">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 ca="1">IF(セルの固定色(AK60)=セルの固定色(AK$6),1,"")</f>
        <v>#NAME?</v>
      </c>
      <c r="AM60" s="14" t="e">
        <f ca="1">IF(OR(ISBLANK(AL60),AL60=""),"",COUNTIF(AL$6:AL60,"&gt;0"))</f>
        <v>#NAME?</v>
      </c>
      <c r="AP60" s="14" t="e">
        <f ca="1">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 ca="1">IF(セルの固定色(AK61)=セルの固定色(AK$6),1,"")</f>
        <v>#NAME?</v>
      </c>
      <c r="AM61" s="14" t="e">
        <f ca="1">IF(OR(ISBLANK(AL61),AL61=""),"",COUNTIF(AL$6:AL61,"&gt;0"))</f>
        <v>#NAME?</v>
      </c>
      <c r="AP61" s="14" t="e">
        <f ca="1">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 ca="1">IF(セルの固定色(AK62)=セルの固定色(AK$6),1,"")</f>
        <v>#NAME?</v>
      </c>
      <c r="AM62" s="14" t="e">
        <f ca="1">IF(OR(ISBLANK(AL62),AL62=""),"",COUNTIF(AL$6:AL62,"&gt;0"))</f>
        <v>#NAME?</v>
      </c>
      <c r="AP62" s="14" t="e">
        <f ca="1">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 ca="1">IF(セルの固定色(AK63)=セルの固定色(AK$6),1,"")</f>
        <v>#NAME?</v>
      </c>
      <c r="AM63" s="14" t="e">
        <f ca="1">IF(OR(ISBLANK(AL63),AL63=""),"",COUNTIF(AL$6:AL63,"&gt;0"))</f>
        <v>#NAME?</v>
      </c>
      <c r="AP63" s="14" t="e">
        <f ca="1">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 ca="1">IF(セルの固定色(AK64)=セルの固定色(AK$6),1,"")</f>
        <v>#NAME?</v>
      </c>
      <c r="AM64" s="14" t="e">
        <f ca="1">IF(OR(ISBLANK(AL64),AL64=""),"",COUNTIF(AL$6:AL64,"&gt;0"))</f>
        <v>#NAME?</v>
      </c>
      <c r="AP64" s="14" t="e">
        <f ca="1">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 ca="1">IF(セルの固定色(AK65)=セルの固定色(AK$6),1,"")</f>
        <v>#NAME?</v>
      </c>
      <c r="AM65" s="14" t="e">
        <f ca="1">IF(OR(ISBLANK(AL65),AL65=""),"",COUNTIF(AL$6:AL65,"&gt;0"))</f>
        <v>#NAME?</v>
      </c>
      <c r="AP65" s="14" t="e">
        <f ca="1">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 ca="1">IF(セルの固定色(AK66)=セルの固定色(AK$6),1,"")</f>
        <v>#NAME?</v>
      </c>
      <c r="AM66" s="14" t="e">
        <f ca="1">IF(OR(ISBLANK(AL66),AL66=""),"",COUNTIF(AL$6:AL66,"&gt;0"))</f>
        <v>#NAME?</v>
      </c>
      <c r="AP66" s="14" t="e">
        <f ca="1">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 ca="1">IF(セルの固定色(AK67)=セルの固定色(AK$6),1,"")</f>
        <v>#NAME?</v>
      </c>
      <c r="AM67" s="14" t="e">
        <f ca="1">IF(OR(ISBLANK(AL67),AL67=""),"",COUNTIF(AL$6:AL67,"&gt;0"))</f>
        <v>#NAME?</v>
      </c>
      <c r="AP67" s="14" t="e">
        <f ca="1">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 ca="1">IF(セルの固定色(AK68)=セルの固定色(AK$6),1,"")</f>
        <v>#NAME?</v>
      </c>
      <c r="AM68" s="14" t="e">
        <f ca="1">IF(OR(ISBLANK(AL68),AL68=""),"",COUNTIF(AL$6:AL68,"&gt;0"))</f>
        <v>#NAME?</v>
      </c>
      <c r="AP68" s="14" t="e">
        <f ca="1">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 ca="1">IF(セルの固定色(AK69)=セルの固定色(AK$6),1,"")</f>
        <v>#NAME?</v>
      </c>
      <c r="AM69" s="14" t="e">
        <f ca="1">IF(OR(ISBLANK(AL69),AL69=""),"",COUNTIF(AL$6:AL69,"&gt;0"))</f>
        <v>#NAME?</v>
      </c>
      <c r="AP69" s="14" t="e">
        <f ca="1">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 ca="1">IF(セルの固定色(AK70)=セルの固定色(AK$6),1,"")</f>
        <v>#NAME?</v>
      </c>
      <c r="AM70" s="14" t="e">
        <f ca="1">IF(OR(ISBLANK(AL70),AL70=""),"",COUNTIF(AL$6:AL70,"&gt;0"))</f>
        <v>#NAME?</v>
      </c>
      <c r="AP70" s="14" t="e">
        <f ca="1">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 ca="1">IF(セルの固定色(AK71)=セルの固定色(AK$6),1,"")</f>
        <v>#NAME?</v>
      </c>
      <c r="AM71" s="14" t="e">
        <f ca="1">IF(OR(ISBLANK(AL71),AL71=""),"",COUNTIF(AL$6:AL71,"&gt;0"))</f>
        <v>#NAME?</v>
      </c>
      <c r="AP71" s="14" t="e">
        <f ca="1">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 ca="1">IF(セルの固定色(AK72)=セルの固定色(AK$6),1,"")</f>
        <v>#NAME?</v>
      </c>
      <c r="AM72" s="14" t="e">
        <f ca="1">IF(OR(ISBLANK(AL72),AL72=""),"",COUNTIF(AL$6:AL72,"&gt;0"))</f>
        <v>#NAME?</v>
      </c>
      <c r="AP72" s="14" t="e">
        <f ca="1">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 ca="1">IF(セルの固定色(AK73)=セルの固定色(AK$6),1,"")</f>
        <v>#NAME?</v>
      </c>
      <c r="AM73" s="14" t="e">
        <f ca="1">IF(OR(ISBLANK(AL73),AL73=""),"",COUNTIF(AL$6:AL73,"&gt;0"))</f>
        <v>#NAME?</v>
      </c>
      <c r="AP73" s="14" t="e">
        <f ca="1">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 ca="1">IF(セルの固定色(AK74)=セルの固定色(AK$6),1,"")</f>
        <v>#NAME?</v>
      </c>
      <c r="AM74" s="14" t="e">
        <f ca="1">IF(OR(ISBLANK(AL74),AL74=""),"",COUNTIF(AL$6:AL74,"&gt;0"))</f>
        <v>#NAME?</v>
      </c>
      <c r="AP74" s="14" t="e">
        <f ca="1">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 ca="1">IF(セルの固定色(AK75)=セルの固定色(AK$6),1,"")</f>
        <v>#NAME?</v>
      </c>
      <c r="AM75" s="14" t="e">
        <f ca="1">IF(OR(ISBLANK(AL75),AL75=""),"",COUNTIF(AL$6:AL75,"&gt;0"))</f>
        <v>#NAME?</v>
      </c>
      <c r="AP75" s="14" t="e">
        <f ca="1">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 ca="1">IF(セルの固定色(AK76)=セルの固定色(AK$6),1,"")</f>
        <v>#NAME?</v>
      </c>
      <c r="AM76" s="14" t="e">
        <f ca="1">IF(OR(ISBLANK(AL76),AL76=""),"",COUNTIF(AL$6:AL76,"&gt;0"))</f>
        <v>#NAME?</v>
      </c>
      <c r="AP76" s="14" t="e">
        <f ca="1">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 ca="1">IF(セルの固定色(AK77)=セルの固定色(AK$6),1,"")</f>
        <v>#NAME?</v>
      </c>
      <c r="AM77" s="14" t="e">
        <f ca="1">IF(OR(ISBLANK(AL77),AL77=""),"",COUNTIF(AL$6:AL77,"&gt;0"))</f>
        <v>#NAME?</v>
      </c>
      <c r="AP77" s="14" t="e">
        <f ca="1">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 ca="1">IF(セルの固定色(AK78)=セルの固定色(AK$6),1,"")</f>
        <v>#NAME?</v>
      </c>
      <c r="AM78" s="14" t="e">
        <f ca="1">IF(OR(ISBLANK(AL78),AL78=""),"",COUNTIF(AL$6:AL78,"&gt;0"))</f>
        <v>#NAME?</v>
      </c>
      <c r="AP78" s="14" t="e">
        <f ca="1">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 ca="1">IF(セルの固定色(AK79)=セルの固定色(AK$6),1,"")</f>
        <v>#NAME?</v>
      </c>
      <c r="AM79" s="14" t="e">
        <f ca="1">IF(OR(ISBLANK(AL79),AL79=""),"",COUNTIF(AL$6:AL79,"&gt;0"))</f>
        <v>#NAME?</v>
      </c>
      <c r="AP79" s="14" t="e">
        <f ca="1">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 ca="1">IF(セルの固定色(AK80)=セルの固定色(AK$6),1,"")</f>
        <v>#NAME?</v>
      </c>
      <c r="AM80" s="14" t="e">
        <f ca="1">IF(OR(ISBLANK(AL80),AL80=""),"",COUNTIF(AL$6:AL80,"&gt;0"))</f>
        <v>#NAME?</v>
      </c>
      <c r="AP80" s="14" t="e">
        <f ca="1">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 ca="1">IF(セルの固定色(AK81)=セルの固定色(AK$6),1,"")</f>
        <v>#NAME?</v>
      </c>
      <c r="AM81" s="14" t="e">
        <f ca="1">IF(OR(ISBLANK(AL81),AL81=""),"",COUNTIF(AL$6:AL81,"&gt;0"))</f>
        <v>#NAME?</v>
      </c>
      <c r="AP81" s="14" t="e">
        <f ca="1">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 ca="1">IF(セルの固定色(AK82)=セルの固定色(AK$6),1,"")</f>
        <v>#NAME?</v>
      </c>
      <c r="AM82" s="14" t="e">
        <f ca="1">IF(OR(ISBLANK(AL82),AL82=""),"",COUNTIF(AL$6:AL82,"&gt;0"))</f>
        <v>#NAME?</v>
      </c>
      <c r="AP82" s="14" t="e">
        <f ca="1">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 ca="1">IF(セルの固定色(AK83)=セルの固定色(AK$6),1,"")</f>
        <v>#NAME?</v>
      </c>
      <c r="AM83" s="14" t="e">
        <f ca="1">IF(OR(ISBLANK(AL83),AL83=""),"",COUNTIF(AL$6:AL83,"&gt;0"))</f>
        <v>#NAME?</v>
      </c>
      <c r="AP83" s="14" t="e">
        <f ca="1">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 ca="1">IF(セルの固定色(AK84)=セルの固定色(AK$6),1,"")</f>
        <v>#NAME?</v>
      </c>
      <c r="AM84" s="14" t="e">
        <f ca="1">IF(OR(ISBLANK(AL84),AL84=""),"",COUNTIF(AL$6:AL84,"&gt;0"))</f>
        <v>#NAME?</v>
      </c>
      <c r="AP84" s="14" t="e">
        <f ca="1">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 ca="1">IF(セルの固定色(AK85)=セルの固定色(AK$6),1,"")</f>
        <v>#NAME?</v>
      </c>
      <c r="AM85" s="14" t="e">
        <f ca="1">IF(OR(ISBLANK(AL85),AL85=""),"",COUNTIF(AL$6:AL85,"&gt;0"))</f>
        <v>#NAME?</v>
      </c>
      <c r="AP85" s="14" t="e">
        <f ca="1">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 ca="1">IF(セルの固定色(AK86)=セルの固定色(AK$6),1,"")</f>
        <v>#NAME?</v>
      </c>
      <c r="AM86" s="14" t="e">
        <f ca="1">IF(OR(ISBLANK(AL86),AL86=""),"",COUNTIF(AL$6:AL86,"&gt;0"))</f>
        <v>#NAME?</v>
      </c>
      <c r="AP86" s="14" t="e">
        <f ca="1">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 ca="1">IF(セルの固定色(AK87)=セルの固定色(AK$6),1,"")</f>
        <v>#NAME?</v>
      </c>
      <c r="AM87" s="14" t="e">
        <f ca="1">IF(OR(ISBLANK(AL87),AL87=""),"",COUNTIF(AL$6:AL87,"&gt;0"))</f>
        <v>#NAME?</v>
      </c>
      <c r="AP87" s="14" t="e">
        <f ca="1">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 ca="1">IF(セルの固定色(AK88)=セルの固定色(AK$6),1,"")</f>
        <v>#NAME?</v>
      </c>
      <c r="AM88" s="14" t="e">
        <f ca="1">IF(OR(ISBLANK(AL88),AL88=""),"",COUNTIF(AL$6:AL88,"&gt;0"))</f>
        <v>#NAME?</v>
      </c>
      <c r="AP88" s="14" t="e">
        <f ca="1">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 ca="1">IF(セルの固定色(AK89)=セルの固定色(AK$6),1,"")</f>
        <v>#NAME?</v>
      </c>
      <c r="AM89" s="14" t="e">
        <f ca="1">IF(OR(ISBLANK(AL89),AL89=""),"",COUNTIF(AL$6:AL89,"&gt;0"))</f>
        <v>#NAME?</v>
      </c>
      <c r="AP89" s="14" t="e">
        <f ca="1">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 ca="1">IF(セルの固定色(AK90)=セルの固定色(AK$6),1,"")</f>
        <v>#NAME?</v>
      </c>
      <c r="AM90" s="14" t="e">
        <f ca="1">IF(OR(ISBLANK(AL90),AL90=""),"",COUNTIF(AL$6:AL90,"&gt;0"))</f>
        <v>#NAME?</v>
      </c>
      <c r="AP90" s="14" t="e">
        <f ca="1">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 ca="1">IF(セルの固定色(AK91)=セルの固定色(AK$6),1,"")</f>
        <v>#NAME?</v>
      </c>
      <c r="AM91" s="14" t="e">
        <f ca="1">IF(OR(ISBLANK(AL91),AL91=""),"",COUNTIF(AL$6:AL91,"&gt;0"))</f>
        <v>#NAME?</v>
      </c>
      <c r="AP91" s="14" t="e">
        <f ca="1">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 ca="1">IF(セルの固定色(AK92)=セルの固定色(AK$6),1,"")</f>
        <v>#NAME?</v>
      </c>
      <c r="AM92" s="14" t="e">
        <f ca="1">IF(OR(ISBLANK(AL92),AL92=""),"",COUNTIF(AL$6:AL92,"&gt;0"))</f>
        <v>#NAME?</v>
      </c>
      <c r="AP92" s="14" t="e">
        <f ca="1">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 ca="1">IF(セルの固定色(AK93)=セルの固定色(AK$6),1,"")</f>
        <v>#NAME?</v>
      </c>
      <c r="AM93" s="14" t="e">
        <f ca="1">IF(OR(ISBLANK(AL93),AL93=""),"",COUNTIF(AL$6:AL93,"&gt;0"))</f>
        <v>#NAME?</v>
      </c>
      <c r="AP93" s="14" t="e">
        <f ca="1">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 ca="1">IF(セルの固定色(AK94)=セルの固定色(AK$6),1,"")</f>
        <v>#NAME?</v>
      </c>
      <c r="AM94" s="14" t="e">
        <f ca="1">IF(OR(ISBLANK(AL94),AL94=""),"",COUNTIF(AL$6:AL94,"&gt;0"))</f>
        <v>#NAME?</v>
      </c>
      <c r="AP94" s="14" t="e">
        <f ca="1">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 ca="1">IF(セルの固定色(AK95)=セルの固定色(AK$6),1,"")</f>
        <v>#NAME?</v>
      </c>
      <c r="AM95" s="14" t="e">
        <f ca="1">IF(OR(ISBLANK(AL95),AL95=""),"",COUNTIF(AL$6:AL95,"&gt;0"))</f>
        <v>#NAME?</v>
      </c>
      <c r="AP95" s="14" t="e">
        <f ca="1">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 ca="1">IF(セルの固定色(AK96)=セルの固定色(AK$6),1,"")</f>
        <v>#NAME?</v>
      </c>
      <c r="AM96" s="14" t="e">
        <f ca="1">IF(OR(ISBLANK(AL96),AL96=""),"",COUNTIF(AL$6:AL96,"&gt;0"))</f>
        <v>#NAME?</v>
      </c>
      <c r="AP96" s="14" t="e">
        <f ca="1">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 ca="1">IF(セルの固定色(AK97)=セルの固定色(AK$6),1,"")</f>
        <v>#NAME?</v>
      </c>
      <c r="AM97" s="14" t="e">
        <f ca="1">IF(OR(ISBLANK(AL97),AL97=""),"",COUNTIF(AL$6:AL97,"&gt;0"))</f>
        <v>#NAME?</v>
      </c>
      <c r="AP97" s="14" t="e">
        <f ca="1">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 ca="1">IF(セルの固定色(AK98)=セルの固定色(AK$6),1,"")</f>
        <v>#NAME?</v>
      </c>
      <c r="AM98" s="14" t="e">
        <f ca="1">IF(OR(ISBLANK(AL98),AL98=""),"",COUNTIF(AL$6:AL98,"&gt;0"))</f>
        <v>#NAME?</v>
      </c>
      <c r="AP98" s="14" t="e">
        <f ca="1">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 ca="1">IF(セルの固定色(AK99)=セルの固定色(AK$6),1,"")</f>
        <v>#NAME?</v>
      </c>
      <c r="AM99" s="14" t="e">
        <f ca="1">IF(OR(ISBLANK(AL99),AL99=""),"",COUNTIF(AL$6:AL99,"&gt;0"))</f>
        <v>#NAME?</v>
      </c>
      <c r="AP99" s="14" t="e">
        <f ca="1">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 ca="1">IF(セルの固定色(AK100)=セルの固定色(AK$6),1,"")</f>
        <v>#NAME?</v>
      </c>
      <c r="AM100" s="14" t="e">
        <f ca="1">IF(OR(ISBLANK(AL100),AL100=""),"",COUNTIF(AL$6:AL100,"&gt;0"))</f>
        <v>#NAME?</v>
      </c>
      <c r="AP100" s="14" t="e">
        <f ca="1">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 ca="1">IF(セルの固定色(AK101)=セルの固定色(AK$6),1,"")</f>
        <v>#NAME?</v>
      </c>
      <c r="AM101" s="14" t="e">
        <f ca="1">IF(OR(ISBLANK(AL101),AL101=""),"",COUNTIF(AL$6:AL101,"&gt;0"))</f>
        <v>#NAME?</v>
      </c>
      <c r="AP101" s="14" t="e">
        <f ca="1">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 ca="1">IF(セルの固定色(AK102)=セルの固定色(AK$6),1,"")</f>
        <v>#NAME?</v>
      </c>
      <c r="AM102" s="14" t="e">
        <f ca="1">IF(OR(ISBLANK(AL102),AL102=""),"",COUNTIF(AL$6:AL102,"&gt;0"))</f>
        <v>#NAME?</v>
      </c>
      <c r="AP102" s="14" t="e">
        <f ca="1">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 ca="1">IF(セルの固定色(AK103)=セルの固定色(AK$6),1,"")</f>
        <v>#NAME?</v>
      </c>
      <c r="AM103" s="14" t="e">
        <f ca="1">IF(OR(ISBLANK(AL103),AL103=""),"",COUNTIF(AL$6:AL103,"&gt;0"))</f>
        <v>#NAME?</v>
      </c>
      <c r="AP103" s="14" t="e">
        <f ca="1">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 ca="1">IF(セルの固定色(AK104)=セルの固定色(AK$6),1,"")</f>
        <v>#NAME?</v>
      </c>
      <c r="AM104" s="14" t="e">
        <f ca="1">IF(OR(ISBLANK(AL104),AL104=""),"",COUNTIF(AL$6:AL104,"&gt;0"))</f>
        <v>#NAME?</v>
      </c>
      <c r="AP104" s="14" t="e">
        <f ca="1">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 ca="1">IF(セルの固定色(AK105)=セルの固定色(AK$6),1,"")</f>
        <v>#NAME?</v>
      </c>
      <c r="AM105" s="14" t="e">
        <f ca="1">IF(OR(ISBLANK(AL105),AL105=""),"",COUNTIF(AL$6:AL105,"&gt;0"))</f>
        <v>#NAME?</v>
      </c>
      <c r="AP105" s="14" t="e">
        <f ca="1">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 ca="1">IF(セルの固定色(AK106)=セルの固定色(AK$6),1,"")</f>
        <v>#NAME?</v>
      </c>
      <c r="AM106" s="14" t="e">
        <f ca="1">IF(OR(ISBLANK(AL106),AL106=""),"",COUNTIF(AL$6:AL106,"&gt;0"))</f>
        <v>#NAME?</v>
      </c>
      <c r="AP106" s="14" t="e">
        <f ca="1">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 ca="1">IF(セルの固定色(AK107)=セルの固定色(AK$6),1,"")</f>
        <v>#NAME?</v>
      </c>
      <c r="AM107" s="14" t="e">
        <f ca="1">IF(OR(ISBLANK(AL107),AL107=""),"",COUNTIF(AL$6:AL107,"&gt;0"))</f>
        <v>#NAME?</v>
      </c>
      <c r="AP107" s="14" t="e">
        <f ca="1">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 ca="1">IF(セルの固定色(AK108)=セルの固定色(AK$6),1,"")</f>
        <v>#NAME?</v>
      </c>
      <c r="AM108" s="14" t="e">
        <f ca="1">IF(OR(ISBLANK(AL108),AL108=""),"",COUNTIF(AL$6:AL108,"&gt;0"))</f>
        <v>#NAME?</v>
      </c>
      <c r="AP108" s="14" t="e">
        <f ca="1">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 ca="1">IF(セルの固定色(AK109)=セルの固定色(AK$6),1,"")</f>
        <v>#NAME?</v>
      </c>
      <c r="AM109" s="14" t="e">
        <f ca="1">IF(OR(ISBLANK(AL109),AL109=""),"",COUNTIF(AL$6:AL109,"&gt;0"))</f>
        <v>#NAME?</v>
      </c>
      <c r="AP109" s="14" t="e">
        <f ca="1">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 ca="1">IF(セルの固定色(AK110)=セルの固定色(AK$6),1,"")</f>
        <v>#NAME?</v>
      </c>
      <c r="AM110" s="14" t="e">
        <f ca="1">IF(OR(ISBLANK(AL110),AL110=""),"",COUNTIF(AL$6:AL110,"&gt;0"))</f>
        <v>#NAME?</v>
      </c>
      <c r="AP110" s="14" t="e">
        <f ca="1">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 ca="1">IF(セルの固定色(AK111)=セルの固定色(AK$6),1,"")</f>
        <v>#NAME?</v>
      </c>
      <c r="AM111" s="14" t="e">
        <f ca="1">IF(OR(ISBLANK(AL111),AL111=""),"",COUNTIF(AL$6:AL111,"&gt;0"))</f>
        <v>#NAME?</v>
      </c>
      <c r="AP111" s="14" t="e">
        <f ca="1">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 ca="1">IF(セルの固定色(AK112)=セルの固定色(AK$6),1,"")</f>
        <v>#NAME?</v>
      </c>
      <c r="AM112" s="14" t="e">
        <f ca="1">IF(OR(ISBLANK(AL112),AL112=""),"",COUNTIF(AL$6:AL112,"&gt;0"))</f>
        <v>#NAME?</v>
      </c>
      <c r="AP112" s="14" t="e">
        <f ca="1">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 ca="1">IF(セルの固定色(AK113)=セルの固定色(AK$6),1,"")</f>
        <v>#NAME?</v>
      </c>
      <c r="AM113" s="14" t="e">
        <f ca="1">IF(OR(ISBLANK(AL113),AL113=""),"",COUNTIF(AL$6:AL113,"&gt;0"))</f>
        <v>#NAME?</v>
      </c>
      <c r="AP113" s="14" t="e">
        <f ca="1">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 ca="1">IF(セルの固定色(AK114)=セルの固定色(AK$6),1,"")</f>
        <v>#NAME?</v>
      </c>
      <c r="AM114" s="14" t="e">
        <f ca="1">IF(OR(ISBLANK(AL114),AL114=""),"",COUNTIF(AL$6:AL114,"&gt;0"))</f>
        <v>#NAME?</v>
      </c>
      <c r="AP114" s="14" t="e">
        <f ca="1">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 ca="1">IF(セルの固定色(AK115)=セルの固定色(AK$6),1,"")</f>
        <v>#NAME?</v>
      </c>
      <c r="AM115" s="14" t="e">
        <f ca="1">IF(OR(ISBLANK(AL115),AL115=""),"",COUNTIF(AL$6:AL115,"&gt;0"))</f>
        <v>#NAME?</v>
      </c>
      <c r="AP115" s="14" t="e">
        <f ca="1">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 ca="1">IF(セルの固定色(AK116)=セルの固定色(AK$6),1,"")</f>
        <v>#NAME?</v>
      </c>
      <c r="AM116" s="14" t="e">
        <f ca="1">IF(OR(ISBLANK(AL116),AL116=""),"",COUNTIF(AL$6:AL116,"&gt;0"))</f>
        <v>#NAME?</v>
      </c>
      <c r="AP116" s="14" t="e">
        <f ca="1">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 ca="1">IF(セルの固定色(AK117)=セルの固定色(AK$6),1,"")</f>
        <v>#NAME?</v>
      </c>
      <c r="AM117" s="14" t="e">
        <f ca="1">IF(OR(ISBLANK(AL117),AL117=""),"",COUNTIF(AL$6:AL117,"&gt;0"))</f>
        <v>#NAME?</v>
      </c>
      <c r="AP117" s="14" t="e">
        <f ca="1">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 ca="1">IF(セルの固定色(AK118)=セルの固定色(AK$6),1,"")</f>
        <v>#NAME?</v>
      </c>
      <c r="AM118" s="14" t="e">
        <f ca="1">IF(OR(ISBLANK(AL118),AL118=""),"",COUNTIF(AL$6:AL118,"&gt;0"))</f>
        <v>#NAME?</v>
      </c>
      <c r="AP118" s="14" t="e">
        <f ca="1">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 ca="1">IF(セルの固定色(AK119)=セルの固定色(AK$6),1,"")</f>
        <v>#NAME?</v>
      </c>
      <c r="AM119" s="14" t="e">
        <f ca="1">IF(OR(ISBLANK(AL119),AL119=""),"",COUNTIF(AL$6:AL119,"&gt;0"))</f>
        <v>#NAME?</v>
      </c>
      <c r="AP119" s="14" t="e">
        <f ca="1">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 ca="1">IF(セルの固定色(AK120)=セルの固定色(AK$6),1,"")</f>
        <v>#NAME?</v>
      </c>
      <c r="AM120" s="14" t="e">
        <f ca="1">IF(OR(ISBLANK(AL120),AL120=""),"",COUNTIF(AL$6:AL120,"&gt;0"))</f>
        <v>#NAME?</v>
      </c>
      <c r="AP120" s="14" t="e">
        <f ca="1">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 ca="1">IF(セルの固定色(AK121)=セルの固定色(AK$6),1,"")</f>
        <v>#NAME?</v>
      </c>
      <c r="AM121" s="14" t="e">
        <f ca="1">IF(OR(ISBLANK(AL121),AL121=""),"",COUNTIF(AL$6:AL121,"&gt;0"))</f>
        <v>#NAME?</v>
      </c>
      <c r="AP121" s="14" t="e">
        <f ca="1">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 ca="1">IF(セルの固定色(AK122)=セルの固定色(AK$6),1,"")</f>
        <v>#NAME?</v>
      </c>
      <c r="AM122" s="14" t="e">
        <f ca="1">IF(OR(ISBLANK(AL122),AL122=""),"",COUNTIF(AL$6:AL122,"&gt;0"))</f>
        <v>#NAME?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 ca="1">IF(セルの固定色(AK123)=セルの固定色(AK$6),1,"")</f>
        <v>#NAME?</v>
      </c>
      <c r="AM123" s="14" t="e">
        <f ca="1">IF(OR(ISBLANK(AL123),AL123=""),"",COUNTIF(AL$6:AL123,"&gt;0"))</f>
        <v>#NAME?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 ca="1">IF(セルの固定色(AK124)=セルの固定色(AK$6),1,"")</f>
        <v>#NAME?</v>
      </c>
      <c r="AM124" s="14" t="e">
        <f ca="1">IF(OR(ISBLANK(AL124),AL124=""),"",COUNTIF(AL$6:AL124,"&gt;0"))</f>
        <v>#NAME?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 ca="1">IF(セルの固定色(AK125)=セルの固定色(AK$6),1,"")</f>
        <v>#NAME?</v>
      </c>
      <c r="AM125" s="14" t="e">
        <f ca="1">IF(OR(ISBLANK(AL125),AL125=""),"",COUNTIF(AL$6:AL125,"&gt;0"))</f>
        <v>#NAME?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 ca="1">IF(セルの固定色(AK126)=セルの固定色(AK$6),1,"")</f>
        <v>#NAME?</v>
      </c>
      <c r="AM126" s="14" t="e">
        <f ca="1">IF(OR(ISBLANK(AL126),AL126=""),"",COUNTIF(AL$6:AL126,"&gt;0"))</f>
        <v>#NAME?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 ca="1">IF(セルの固定色(AK127)=セルの固定色(AK$6),1,"")</f>
        <v>#NAME?</v>
      </c>
      <c r="AM127" s="14" t="e">
        <f ca="1">IF(OR(ISBLANK(AL127),AL127=""),"",COUNTIF(AL$6:AL127,"&gt;0"))</f>
        <v>#NAME?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 ca="1">IF(セルの固定色(AK128)=セルの固定色(AK$6),1,"")</f>
        <v>#NAME?</v>
      </c>
      <c r="AM128" s="14" t="e">
        <f ca="1">IF(OR(ISBLANK(AL128),AL128=""),"",COUNTIF(AL$6:AL128,"&gt;0"))</f>
        <v>#NAME?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 ca="1">IF(セルの固定色(AK129)=セルの固定色(AK$6),1,"")</f>
        <v>#NAME?</v>
      </c>
      <c r="AM129" s="14" t="e">
        <f ca="1">IF(OR(ISBLANK(AL129),AL129=""),"",COUNTIF(AL$6:AL129,"&gt;0"))</f>
        <v>#NAME?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 ca="1">IF(セルの固定色(AK130)=セルの固定色(AK$6),1,"")</f>
        <v>#NAME?</v>
      </c>
      <c r="AM130" s="14" t="e">
        <f ca="1">IF(OR(ISBLANK(AL130),AL130=""),"",COUNTIF(AL$6:AL130,"&gt;0"))</f>
        <v>#NAME?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 ca="1">IF(セルの固定色(AK131)=セルの固定色(AK$6),1,"")</f>
        <v>#NAME?</v>
      </c>
      <c r="AM131" s="14" t="e">
        <f ca="1">IF(OR(ISBLANK(AL131),AL131=""),"",COUNTIF(AL$6:AL131,"&gt;0"))</f>
        <v>#NAME?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 ca="1">IF(セルの固定色(AK132)=セルの固定色(AK$6),1,"")</f>
        <v>#NAME?</v>
      </c>
      <c r="AM132" s="14" t="e">
        <f ca="1">IF(OR(ISBLANK(AL132),AL132=""),"",COUNTIF(AL$6:AL132,"&gt;0"))</f>
        <v>#NAME?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 ca="1">IF(セルの固定色(AK133)=セルの固定色(AK$6),1,"")</f>
        <v>#NAME?</v>
      </c>
      <c r="AM133" s="14" t="e">
        <f ca="1">IF(OR(ISBLANK(AL133),AL133=""),"",COUNTIF(AL$6:AL133,"&gt;0"))</f>
        <v>#NAME?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 ca="1">IF(セルの固定色(AK134)=セルの固定色(AK$6),1,"")</f>
        <v>#NAME?</v>
      </c>
      <c r="AM134" s="14" t="e">
        <f ca="1">IF(OR(ISBLANK(AL134),AL134=""),"",COUNTIF(AL$6:AL134,"&gt;0"))</f>
        <v>#NAME?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 ca="1">IF(セルの固定色(AK135)=セルの固定色(AK$6),1,"")</f>
        <v>#NAME?</v>
      </c>
      <c r="AM135" s="14" t="e">
        <f ca="1">IF(OR(ISBLANK(AL135),AL135=""),"",COUNTIF(AL$6:AL135,"&gt;0"))</f>
        <v>#NAME?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W7" sqref="W7"/>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1843</v>
      </c>
      <c r="H1" s="165"/>
      <c r="I1" s="166"/>
      <c r="K1" s="164" t="s">
        <v>1507</v>
      </c>
      <c r="L1" s="165"/>
      <c r="M1" s="166"/>
      <c r="N1" s="164" t="s">
        <v>1843</v>
      </c>
      <c r="O1" s="165"/>
      <c r="P1" s="166"/>
      <c r="R1" s="164" t="s">
        <v>1508</v>
      </c>
      <c r="S1" s="165"/>
      <c r="T1" s="166"/>
      <c r="U1" s="164" t="s">
        <v>1857</v>
      </c>
      <c r="V1" s="165"/>
      <c r="W1" s="166"/>
      <c r="Y1" s="164" t="s">
        <v>1510</v>
      </c>
      <c r="Z1" s="165"/>
      <c r="AA1" s="165"/>
      <c r="AB1" s="166"/>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N3" s="140" t="s">
        <v>1514</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1517</v>
      </c>
      <c r="E6" s="161">
        <v>3</v>
      </c>
      <c r="F6" s="138">
        <v>2</v>
      </c>
      <c r="G6" s="138" t="s">
        <v>1517</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1854</v>
      </c>
      <c r="B9" s="140" t="b">
        <f>ISREF(取引集計)</f>
        <v>1</v>
      </c>
      <c r="D9" s="138" t="s">
        <v>1287</v>
      </c>
      <c r="E9" s="162">
        <v>4</v>
      </c>
      <c r="F9" s="138">
        <v>1</v>
      </c>
      <c r="G9" s="138" t="s">
        <v>1296</v>
      </c>
      <c r="H9" s="138">
        <v>1</v>
      </c>
      <c r="I9" s="138">
        <v>0</v>
      </c>
      <c r="K9" s="149" t="s">
        <v>166</v>
      </c>
      <c r="L9" s="150"/>
      <c r="M9" s="150"/>
    </row>
    <row r="10" spans="1:28" ht="18.75" customHeight="1">
      <c r="A10" s="140" t="s">
        <v>1855</v>
      </c>
      <c r="B10" s="140" t="b">
        <f>ISREF(取引集計＿非ゼロ)</f>
        <v>1</v>
      </c>
      <c r="D10" s="138" t="s">
        <v>1296</v>
      </c>
      <c r="E10" s="162">
        <v>1</v>
      </c>
      <c r="F10" s="138">
        <v>0</v>
      </c>
      <c r="G10" s="138" t="s">
        <v>1526</v>
      </c>
      <c r="H10" s="138">
        <v>0</v>
      </c>
      <c r="I10" s="138">
        <v>1</v>
      </c>
      <c r="K10" s="149" t="s">
        <v>1077</v>
      </c>
      <c r="L10" s="150"/>
      <c r="M10" s="150"/>
    </row>
    <row r="11" spans="1:28" ht="18.75" customHeight="1">
      <c r="A11" s="140" t="s">
        <v>1498</v>
      </c>
      <c r="B11" s="140" t="b">
        <f>ISREF(組織集計)</f>
        <v>1</v>
      </c>
      <c r="D11" s="138" t="s">
        <v>1526</v>
      </c>
      <c r="F11" s="138">
        <v>1</v>
      </c>
      <c r="G11" s="138" t="s">
        <v>545</v>
      </c>
      <c r="H11" s="138">
        <v>0</v>
      </c>
      <c r="I11" s="138">
        <v>1</v>
      </c>
      <c r="K11" s="149" t="s">
        <v>87</v>
      </c>
      <c r="L11" s="150"/>
      <c r="M11" s="150"/>
    </row>
    <row r="12" spans="1:28" ht="18.75" customHeight="1">
      <c r="A12" s="140" t="s">
        <v>1843</v>
      </c>
      <c r="B12" s="140" t="b">
        <f>ISREF(組織集計＿非ゼロ)</f>
        <v>1</v>
      </c>
      <c r="D12" s="138" t="s">
        <v>1532</v>
      </c>
      <c r="F12" s="138">
        <v>0</v>
      </c>
      <c r="G12" s="138"/>
      <c r="H12" s="138"/>
      <c r="I12" s="138"/>
      <c r="K12" s="149" t="s">
        <v>494</v>
      </c>
      <c r="L12" s="150"/>
      <c r="M12" s="150"/>
    </row>
    <row r="13" spans="1:28" ht="18.75" customHeight="1">
      <c r="A13" s="140" t="s">
        <v>1508</v>
      </c>
      <c r="B13" s="140" t="b">
        <f>ISREF(仕向地集計)</f>
        <v>1</v>
      </c>
      <c r="D13" s="138" t="s">
        <v>1537</v>
      </c>
      <c r="F13" s="138">
        <v>0</v>
      </c>
      <c r="G13" s="138"/>
      <c r="H13" s="138"/>
      <c r="I13" s="138"/>
      <c r="K13" s="149" t="s">
        <v>73</v>
      </c>
      <c r="L13" s="150"/>
      <c r="M13" s="150"/>
    </row>
    <row r="14" spans="1:28" ht="18.75" customHeight="1">
      <c r="A14" s="140" t="s">
        <v>1856</v>
      </c>
      <c r="B14" s="140" t="b">
        <f ca="1">ISREF(仕向地集計(トップ))</f>
        <v>0</v>
      </c>
      <c r="D14" s="138" t="s">
        <v>1540</v>
      </c>
      <c r="F14" s="138">
        <v>0</v>
      </c>
      <c r="G14" s="138"/>
      <c r="H14" s="138"/>
      <c r="I14" s="138"/>
      <c r="K14" s="149" t="s">
        <v>259</v>
      </c>
      <c r="L14" s="150"/>
      <c r="M14" s="150"/>
    </row>
    <row r="15" spans="1:28" ht="18.75" customHeight="1">
      <c r="A15" s="140" t="s">
        <v>1510</v>
      </c>
      <c r="B15" s="140" t="b">
        <f>ISREF(該当取引)</f>
        <v>0</v>
      </c>
      <c r="D15" s="138" t="s">
        <v>1544</v>
      </c>
      <c r="F15" s="138">
        <v>0</v>
      </c>
      <c r="G15" s="138"/>
      <c r="H15" s="138"/>
      <c r="I15" s="138"/>
      <c r="K15" s="149" t="s">
        <v>252</v>
      </c>
      <c r="L15" s="150"/>
      <c r="M15" s="150"/>
    </row>
    <row r="16" spans="1:28" ht="18.75" customHeight="1">
      <c r="A16" s="140" t="s">
        <v>1516</v>
      </c>
      <c r="B16" s="140" t="b">
        <f>ISREF(Range_組織辞書)</f>
        <v>1</v>
      </c>
      <c r="D16" s="138" t="s">
        <v>1547</v>
      </c>
      <c r="F16" s="138">
        <v>0</v>
      </c>
      <c r="G16" s="138"/>
      <c r="H16" s="138"/>
      <c r="I16" s="138"/>
      <c r="K16" s="149" t="s">
        <v>1085</v>
      </c>
      <c r="L16" s="150"/>
      <c r="M16" s="150"/>
    </row>
    <row r="17" spans="1:13" ht="18.75" customHeight="1">
      <c r="D17" s="138" t="s">
        <v>1553</v>
      </c>
      <c r="F17" s="138">
        <v>0</v>
      </c>
      <c r="G17" s="138"/>
      <c r="H17" s="138"/>
      <c r="I17" s="138"/>
      <c r="K17" s="149" t="s">
        <v>116</v>
      </c>
      <c r="L17" s="150"/>
      <c r="M17" s="150"/>
    </row>
    <row r="18" spans="1:13" ht="18.75" customHeight="1">
      <c r="D18" s="138" t="s">
        <v>1554</v>
      </c>
      <c r="F18" s="138">
        <v>0</v>
      </c>
      <c r="G18" s="138"/>
      <c r="H18" s="138"/>
      <c r="I18" s="138"/>
    </row>
    <row r="19" spans="1:13" ht="18.75" customHeight="1">
      <c r="A19" s="143" t="s">
        <v>1499</v>
      </c>
      <c r="B19" s="157"/>
      <c r="D19" s="138" t="s">
        <v>1558</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1560</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1569</v>
      </c>
      <c r="E2" s="159"/>
      <c r="F2" s="159"/>
      <c r="G2" s="159"/>
      <c r="H2" s="159"/>
      <c r="I2" s="159"/>
    </row>
    <row r="3" spans="1:9" ht="18.75">
      <c r="D3" s="159" t="s">
        <v>1570</v>
      </c>
      <c r="E3" s="159" t="s">
        <v>68</v>
      </c>
      <c r="F3" s="159" t="s">
        <v>1571</v>
      </c>
      <c r="G3" s="159" t="s">
        <v>1572</v>
      </c>
      <c r="H3" s="159"/>
      <c r="I3" s="159"/>
    </row>
    <row r="4" spans="1:9" ht="18.75">
      <c r="D4" s="159" t="s">
        <v>1573</v>
      </c>
      <c r="E4" s="159"/>
      <c r="F4" s="159"/>
      <c r="G4" s="159"/>
      <c r="H4" s="159"/>
      <c r="I4" s="159"/>
    </row>
    <row r="5" spans="1:9" ht="18.75">
      <c r="D5" s="159" t="s">
        <v>514</v>
      </c>
      <c r="E5" s="159" t="s">
        <v>1574</v>
      </c>
      <c r="F5" s="159"/>
      <c r="G5" s="159"/>
      <c r="H5" s="159"/>
      <c r="I5" s="159"/>
    </row>
    <row r="6" spans="1:9" ht="18.75">
      <c r="D6" s="159" t="s">
        <v>1575</v>
      </c>
      <c r="E6" s="159" t="s">
        <v>79</v>
      </c>
      <c r="F6" s="159"/>
      <c r="G6" s="159"/>
      <c r="H6" s="159"/>
      <c r="I6" s="159"/>
    </row>
    <row r="7" spans="1:9" ht="18.75">
      <c r="D7" s="159" t="s">
        <v>780</v>
      </c>
      <c r="E7" s="159" t="s">
        <v>1576</v>
      </c>
      <c r="F7" s="159"/>
      <c r="G7" s="159"/>
      <c r="H7" s="159"/>
      <c r="I7" s="159"/>
    </row>
    <row r="8" spans="1:9" ht="18.75">
      <c r="D8" s="159" t="s">
        <v>1577</v>
      </c>
      <c r="E8" s="159" t="s">
        <v>1578</v>
      </c>
      <c r="F8" s="159"/>
      <c r="G8" s="159"/>
      <c r="H8" s="159"/>
      <c r="I8" s="159"/>
    </row>
    <row r="9" spans="1:9" ht="18.75">
      <c r="D9" s="159" t="s">
        <v>639</v>
      </c>
      <c r="E9" s="159" t="s">
        <v>1579</v>
      </c>
      <c r="F9" s="159" t="s">
        <v>1580</v>
      </c>
      <c r="G9" s="159" t="s">
        <v>1581</v>
      </c>
      <c r="H9" s="159"/>
      <c r="I9" s="159"/>
    </row>
    <row r="10" spans="1:9" ht="18.75">
      <c r="D10" s="159" t="s">
        <v>105</v>
      </c>
      <c r="E10" s="159"/>
      <c r="F10" s="159"/>
      <c r="G10" s="159"/>
      <c r="H10" s="159"/>
      <c r="I10" s="159"/>
    </row>
    <row r="11" spans="1:9" ht="18.75">
      <c r="D11" s="159" t="s">
        <v>1582</v>
      </c>
      <c r="E11" s="159"/>
      <c r="F11" s="159"/>
      <c r="G11" s="159"/>
      <c r="H11" s="159"/>
      <c r="I11" s="159"/>
    </row>
    <row r="12" spans="1:9" ht="18.75">
      <c r="D12" s="159" t="s">
        <v>28</v>
      </c>
      <c r="E12" s="159"/>
      <c r="F12" s="159"/>
      <c r="G12" s="159"/>
      <c r="H12" s="159"/>
      <c r="I12" s="159"/>
    </row>
    <row r="13" spans="1:9" ht="18.75">
      <c r="D13" s="159" t="s">
        <v>1583</v>
      </c>
      <c r="E13" s="159" t="s">
        <v>1584</v>
      </c>
      <c r="F13" s="159" t="s">
        <v>1585</v>
      </c>
      <c r="G13" s="159" t="s">
        <v>1586</v>
      </c>
      <c r="H13" s="159"/>
      <c r="I13" s="159"/>
    </row>
    <row r="14" spans="1:9" ht="18.75">
      <c r="D14" s="159" t="s">
        <v>903</v>
      </c>
      <c r="E14" s="159"/>
      <c r="F14" s="159"/>
      <c r="G14" s="159"/>
      <c r="H14" s="159"/>
      <c r="I14" s="159"/>
    </row>
    <row r="15" spans="1:9" ht="18.75">
      <c r="D15" s="159" t="s">
        <v>1587</v>
      </c>
      <c r="E15" s="159" t="s">
        <v>124</v>
      </c>
      <c r="F15" s="159"/>
      <c r="G15" s="159"/>
      <c r="H15" s="159"/>
      <c r="I15" s="159"/>
    </row>
    <row r="16" spans="1:9" ht="18.75">
      <c r="D16" s="159" t="s">
        <v>999</v>
      </c>
      <c r="E16" s="159"/>
      <c r="F16" s="159"/>
      <c r="G16" s="159"/>
      <c r="H16" s="159"/>
      <c r="I16" s="159"/>
    </row>
    <row r="17" spans="4:9" ht="18.75">
      <c r="D17" s="159" t="s">
        <v>1588</v>
      </c>
      <c r="E17" s="159"/>
      <c r="F17" s="159"/>
      <c r="G17" s="159"/>
      <c r="H17" s="159"/>
      <c r="I17" s="159"/>
    </row>
    <row r="18" spans="4:9" ht="18.75">
      <c r="D18" s="159" t="s">
        <v>222</v>
      </c>
      <c r="E18" s="159"/>
      <c r="F18" s="159"/>
      <c r="G18" s="159"/>
      <c r="H18" s="159"/>
      <c r="I18" s="159"/>
    </row>
    <row r="19" spans="4:9" ht="18.75">
      <c r="D19" s="159" t="s">
        <v>1589</v>
      </c>
      <c r="E19" s="159"/>
      <c r="F19" s="159"/>
      <c r="G19" s="159"/>
      <c r="H19" s="159"/>
      <c r="I19" s="159"/>
    </row>
    <row r="20" spans="4:9" ht="18.75">
      <c r="D20" s="159" t="s">
        <v>826</v>
      </c>
      <c r="E20" s="159" t="s">
        <v>1590</v>
      </c>
      <c r="F20" s="159" t="s">
        <v>1591</v>
      </c>
      <c r="G20" s="159" t="s">
        <v>1592</v>
      </c>
      <c r="H20" s="159"/>
      <c r="I20" s="159"/>
    </row>
    <row r="21" spans="4:9" ht="18.75">
      <c r="D21" s="159" t="s">
        <v>167</v>
      </c>
      <c r="E21" s="159" t="s">
        <v>1593</v>
      </c>
      <c r="F21" s="159"/>
      <c r="G21" s="159"/>
      <c r="H21" s="159"/>
      <c r="I21" s="159"/>
    </row>
    <row r="22" spans="4:9" ht="18.75">
      <c r="D22" s="159" t="s">
        <v>985</v>
      </c>
      <c r="E22" s="159" t="s">
        <v>1594</v>
      </c>
      <c r="F22" s="159"/>
      <c r="G22" s="159"/>
      <c r="H22" s="159"/>
      <c r="I22" s="159"/>
    </row>
    <row r="23" spans="4:9" ht="18.75">
      <c r="D23" s="159" t="s">
        <v>669</v>
      </c>
      <c r="E23" s="159"/>
      <c r="F23" s="159"/>
      <c r="G23" s="159"/>
      <c r="H23" s="159"/>
      <c r="I23" s="159"/>
    </row>
    <row r="24" spans="4:9" ht="18.75">
      <c r="D24" s="159" t="s">
        <v>1595</v>
      </c>
      <c r="E24" s="159" t="s">
        <v>1596</v>
      </c>
      <c r="F24" s="159"/>
      <c r="G24" s="159"/>
      <c r="H24" s="159"/>
      <c r="I24" s="159"/>
    </row>
    <row r="25" spans="4:9" ht="18.75">
      <c r="D25" s="159" t="s">
        <v>1597</v>
      </c>
      <c r="E25" s="159"/>
      <c r="F25" s="159"/>
      <c r="G25" s="159"/>
      <c r="H25" s="159"/>
      <c r="I25" s="159"/>
    </row>
    <row r="26" spans="4:9" ht="18.75">
      <c r="D26" s="159" t="s">
        <v>378</v>
      </c>
      <c r="E26" s="159"/>
      <c r="F26" s="159"/>
      <c r="G26" s="159"/>
      <c r="H26" s="159"/>
      <c r="I26" s="159"/>
    </row>
    <row r="27" spans="4:9" ht="18.75">
      <c r="D27" s="159" t="s">
        <v>1598</v>
      </c>
      <c r="E27" s="159"/>
      <c r="F27" s="159"/>
      <c r="G27" s="159"/>
      <c r="H27" s="159"/>
      <c r="I27" s="159"/>
    </row>
    <row r="28" spans="4:9" ht="18.75">
      <c r="D28" s="159" t="s">
        <v>1599</v>
      </c>
      <c r="E28" s="159" t="s">
        <v>1600</v>
      </c>
      <c r="F28" s="159"/>
      <c r="G28" s="159"/>
      <c r="H28" s="159"/>
      <c r="I28" s="159"/>
    </row>
    <row r="29" spans="4:9" ht="18.75">
      <c r="D29" s="159" t="s">
        <v>1601</v>
      </c>
      <c r="E29" s="159"/>
      <c r="F29" s="159"/>
      <c r="G29" s="159"/>
      <c r="H29" s="159"/>
      <c r="I29" s="159"/>
    </row>
    <row r="30" spans="4:9" ht="18.75">
      <c r="D30" s="159" t="s">
        <v>1602</v>
      </c>
      <c r="E30" s="159" t="s">
        <v>1603</v>
      </c>
      <c r="F30" s="159"/>
      <c r="G30" s="159"/>
      <c r="H30" s="159"/>
      <c r="I30" s="159"/>
    </row>
    <row r="31" spans="4:9" ht="18.75">
      <c r="D31" s="159" t="s">
        <v>1604</v>
      </c>
      <c r="E31" s="159"/>
      <c r="F31" s="159"/>
      <c r="G31" s="159"/>
      <c r="H31" s="159"/>
      <c r="I31" s="159"/>
    </row>
    <row r="32" spans="4:9" ht="18.75">
      <c r="D32" s="159" t="s">
        <v>1605</v>
      </c>
      <c r="E32" s="159"/>
      <c r="F32" s="159"/>
      <c r="G32" s="159"/>
      <c r="H32" s="159"/>
      <c r="I32" s="159"/>
    </row>
    <row r="33" spans="4:9" ht="18.75">
      <c r="D33" s="159" t="s">
        <v>1606</v>
      </c>
      <c r="E33" s="159" t="s">
        <v>1607</v>
      </c>
      <c r="F33" s="159"/>
      <c r="G33" s="159"/>
      <c r="H33" s="159"/>
      <c r="I33" s="159"/>
    </row>
    <row r="34" spans="4:9" ht="18.75">
      <c r="D34" s="159" t="s">
        <v>1608</v>
      </c>
      <c r="E34" s="159" t="s">
        <v>1609</v>
      </c>
      <c r="F34" s="159"/>
      <c r="G34" s="159"/>
      <c r="H34" s="159"/>
      <c r="I34" s="159"/>
    </row>
    <row r="35" spans="4:9" ht="18.75">
      <c r="D35" s="159" t="s">
        <v>1610</v>
      </c>
      <c r="E35" s="159"/>
      <c r="F35" s="159"/>
      <c r="G35" s="159"/>
      <c r="H35" s="159"/>
      <c r="I35" s="159"/>
    </row>
    <row r="36" spans="4:9" ht="18.75">
      <c r="D36" s="159" t="s">
        <v>795</v>
      </c>
      <c r="E36" s="159"/>
      <c r="F36" s="159"/>
      <c r="G36" s="159"/>
      <c r="H36" s="159"/>
      <c r="I36" s="159"/>
    </row>
    <row r="37" spans="4:9" ht="18.75">
      <c r="D37" s="159" t="s">
        <v>1611</v>
      </c>
      <c r="E37" s="159"/>
      <c r="F37" s="159"/>
      <c r="G37" s="159"/>
      <c r="H37" s="159"/>
      <c r="I37" s="159"/>
    </row>
    <row r="38" spans="4:9" ht="18.75">
      <c r="D38" s="159" t="s">
        <v>1612</v>
      </c>
      <c r="E38" s="159"/>
      <c r="F38" s="159"/>
      <c r="G38" s="159"/>
      <c r="H38" s="159"/>
      <c r="I38" s="159"/>
    </row>
    <row r="39" spans="4:9" ht="18.75">
      <c r="D39" s="159" t="s">
        <v>99</v>
      </c>
      <c r="E39" s="159" t="s">
        <v>1613</v>
      </c>
      <c r="F39" s="159"/>
      <c r="G39" s="159"/>
      <c r="H39" s="159"/>
      <c r="I39" s="159"/>
    </row>
    <row r="40" spans="4:9" ht="18.75">
      <c r="D40" s="159" t="s">
        <v>1037</v>
      </c>
      <c r="E40" s="159" t="s">
        <v>1614</v>
      </c>
      <c r="F40" s="159"/>
      <c r="G40" s="159"/>
      <c r="H40" s="159"/>
      <c r="I40" s="159"/>
    </row>
    <row r="41" spans="4:9" ht="18.75">
      <c r="D41" s="159" t="s">
        <v>1615</v>
      </c>
      <c r="E41" s="159" t="s">
        <v>1616</v>
      </c>
      <c r="F41" s="159"/>
      <c r="G41" s="159"/>
      <c r="H41" s="159"/>
      <c r="I41" s="159"/>
    </row>
    <row r="42" spans="4:9" ht="18.75">
      <c r="D42" s="159" t="s">
        <v>1617</v>
      </c>
      <c r="E42" s="159" t="s">
        <v>1618</v>
      </c>
      <c r="F42" s="159"/>
      <c r="G42" s="159"/>
      <c r="H42" s="159"/>
      <c r="I42" s="159"/>
    </row>
    <row r="43" spans="4:9" ht="18.75">
      <c r="D43" s="159" t="s">
        <v>1619</v>
      </c>
      <c r="E43" s="159"/>
      <c r="F43" s="159"/>
      <c r="G43" s="159"/>
      <c r="H43" s="159"/>
      <c r="I43" s="159"/>
    </row>
    <row r="44" spans="4:9" ht="18.75">
      <c r="D44" s="159" t="s">
        <v>1620</v>
      </c>
      <c r="E44" s="159"/>
      <c r="F44" s="159"/>
      <c r="G44" s="159"/>
      <c r="H44" s="159"/>
      <c r="I44" s="159"/>
    </row>
    <row r="45" spans="4:9" ht="18.75">
      <c r="D45" s="159" t="s">
        <v>1621</v>
      </c>
      <c r="E45" s="159"/>
      <c r="F45" s="159"/>
      <c r="G45" s="159"/>
      <c r="H45" s="159"/>
      <c r="I45" s="159"/>
    </row>
    <row r="46" spans="4:9" ht="18.75">
      <c r="D46" s="159" t="s">
        <v>1622</v>
      </c>
      <c r="E46" s="159" t="s">
        <v>1623</v>
      </c>
      <c r="F46" s="159" t="s">
        <v>1624</v>
      </c>
      <c r="G46" s="159" t="s">
        <v>1625</v>
      </c>
      <c r="H46" s="159" t="s">
        <v>1626</v>
      </c>
      <c r="I46" s="159" t="s">
        <v>1627</v>
      </c>
    </row>
    <row r="47" spans="4:9" ht="18.75">
      <c r="D47" s="159" t="s">
        <v>1628</v>
      </c>
      <c r="E47" s="159" t="s">
        <v>1629</v>
      </c>
      <c r="F47" s="159"/>
      <c r="G47" s="159"/>
      <c r="H47" s="159"/>
      <c r="I47" s="159"/>
    </row>
    <row r="48" spans="4:9" ht="18.75">
      <c r="D48" s="159" t="s">
        <v>1630</v>
      </c>
      <c r="E48" s="159" t="s">
        <v>1631</v>
      </c>
      <c r="F48" s="159"/>
      <c r="G48" s="159"/>
      <c r="H48" s="159"/>
      <c r="I48" s="159"/>
    </row>
    <row r="49" spans="4:9" ht="18.75">
      <c r="D49" s="159" t="s">
        <v>1632</v>
      </c>
      <c r="E49" s="159" t="s">
        <v>1633</v>
      </c>
      <c r="F49" s="159"/>
      <c r="G49" s="159"/>
      <c r="H49" s="159"/>
      <c r="I49" s="159"/>
    </row>
    <row r="50" spans="4:9" ht="18.75">
      <c r="D50" s="159" t="s">
        <v>1634</v>
      </c>
      <c r="E50" s="159"/>
      <c r="F50" s="159"/>
      <c r="G50" s="159"/>
      <c r="H50" s="159"/>
      <c r="I50" s="159"/>
    </row>
    <row r="51" spans="4:9" ht="18.75">
      <c r="D51" s="159" t="s">
        <v>1635</v>
      </c>
      <c r="E51" s="159"/>
      <c r="F51" s="159"/>
      <c r="G51" s="159"/>
      <c r="H51" s="159"/>
      <c r="I51" s="159"/>
    </row>
    <row r="52" spans="4:9" ht="18.75">
      <c r="D52" s="159" t="s">
        <v>1636</v>
      </c>
      <c r="E52" s="159"/>
      <c r="F52" s="159"/>
      <c r="G52" s="159"/>
      <c r="H52" s="159"/>
      <c r="I52" s="159"/>
    </row>
    <row r="53" spans="4:9" ht="18.75">
      <c r="D53" s="159" t="s">
        <v>1637</v>
      </c>
      <c r="E53" s="159"/>
      <c r="F53" s="159"/>
      <c r="G53" s="159"/>
      <c r="H53" s="159"/>
      <c r="I53" s="159"/>
    </row>
    <row r="54" spans="4:9" ht="18.75">
      <c r="D54" s="159" t="s">
        <v>189</v>
      </c>
      <c r="E54" s="159"/>
      <c r="F54" s="159"/>
      <c r="G54" s="159"/>
      <c r="H54" s="159"/>
      <c r="I54" s="159"/>
    </row>
    <row r="55" spans="4:9" ht="18.75">
      <c r="D55" s="159" t="s">
        <v>1638</v>
      </c>
      <c r="E55" s="159"/>
      <c r="F55" s="159"/>
      <c r="G55" s="159"/>
      <c r="H55" s="159"/>
      <c r="I55" s="159"/>
    </row>
    <row r="56" spans="4:9" ht="18.75">
      <c r="D56" s="159" t="s">
        <v>1639</v>
      </c>
      <c r="E56" s="159"/>
      <c r="F56" s="159"/>
      <c r="G56" s="159"/>
      <c r="H56" s="159"/>
      <c r="I56" s="159"/>
    </row>
    <row r="57" spans="4:9" ht="18.75">
      <c r="D57" s="159" t="s">
        <v>246</v>
      </c>
      <c r="E57" s="159"/>
      <c r="F57" s="159"/>
      <c r="G57" s="159"/>
      <c r="H57" s="159"/>
      <c r="I57" s="159"/>
    </row>
    <row r="58" spans="4:9" ht="18.75">
      <c r="D58" s="159" t="s">
        <v>1640</v>
      </c>
      <c r="E58" s="159" t="s">
        <v>1641</v>
      </c>
      <c r="F58" s="159"/>
      <c r="G58" s="159"/>
      <c r="H58" s="159"/>
      <c r="I58" s="159"/>
    </row>
    <row r="59" spans="4:9" ht="18.75">
      <c r="D59" s="159" t="s">
        <v>1642</v>
      </c>
      <c r="E59" s="159"/>
      <c r="F59" s="159"/>
      <c r="G59" s="159"/>
      <c r="H59" s="159"/>
      <c r="I59" s="159"/>
    </row>
    <row r="60" spans="4:9" ht="18.75">
      <c r="D60" s="159" t="s">
        <v>1643</v>
      </c>
      <c r="E60" s="159"/>
      <c r="F60" s="159"/>
      <c r="G60" s="159"/>
      <c r="H60" s="159"/>
      <c r="I60" s="159"/>
    </row>
    <row r="61" spans="4:9" ht="18.75">
      <c r="D61" s="159" t="s">
        <v>1644</v>
      </c>
      <c r="E61" s="159"/>
      <c r="F61" s="159"/>
      <c r="G61" s="159"/>
      <c r="H61" s="159"/>
      <c r="I61" s="159"/>
    </row>
    <row r="62" spans="4:9" ht="18.75">
      <c r="D62" s="159" t="s">
        <v>1645</v>
      </c>
      <c r="E62" s="159"/>
      <c r="F62" s="159"/>
      <c r="G62" s="159"/>
      <c r="H62" s="159"/>
      <c r="I62" s="159"/>
    </row>
    <row r="63" spans="4:9" ht="18.75">
      <c r="D63" s="159" t="s">
        <v>710</v>
      </c>
      <c r="E63" s="159"/>
      <c r="F63" s="159"/>
      <c r="G63" s="159"/>
      <c r="H63" s="159"/>
      <c r="I63" s="159"/>
    </row>
    <row r="64" spans="4:9" ht="18.75">
      <c r="D64" s="159" t="s">
        <v>1646</v>
      </c>
      <c r="E64" s="159" t="s">
        <v>1647</v>
      </c>
      <c r="F64" s="159"/>
      <c r="G64" s="159"/>
      <c r="H64" s="159"/>
      <c r="I64" s="159"/>
    </row>
    <row r="65" spans="4:9" ht="18.75">
      <c r="D65" s="159" t="s">
        <v>1648</v>
      </c>
      <c r="E65" s="159" t="s">
        <v>1649</v>
      </c>
      <c r="F65" s="159"/>
      <c r="G65" s="159"/>
      <c r="H65" s="159"/>
      <c r="I65" s="159"/>
    </row>
    <row r="66" spans="4:9" ht="18.75">
      <c r="D66" s="159" t="s">
        <v>1650</v>
      </c>
      <c r="E66" s="159"/>
      <c r="F66" s="159"/>
      <c r="G66" s="159"/>
      <c r="H66" s="159"/>
      <c r="I66" s="159"/>
    </row>
    <row r="67" spans="4:9" ht="18.75">
      <c r="D67" s="159" t="s">
        <v>1651</v>
      </c>
      <c r="E67" s="159"/>
      <c r="F67" s="159"/>
      <c r="G67" s="159"/>
      <c r="H67" s="159"/>
      <c r="I67" s="159"/>
    </row>
    <row r="68" spans="4:9" ht="18.75">
      <c r="D68" s="159" t="s">
        <v>1652</v>
      </c>
      <c r="E68" s="159"/>
      <c r="F68" s="159"/>
      <c r="G68" s="159"/>
      <c r="H68" s="159"/>
      <c r="I68" s="159"/>
    </row>
    <row r="69" spans="4:9" ht="18.75">
      <c r="D69" s="159" t="s">
        <v>1653</v>
      </c>
      <c r="E69" s="159"/>
      <c r="F69" s="159"/>
      <c r="G69" s="159"/>
      <c r="H69" s="159"/>
      <c r="I69" s="159"/>
    </row>
    <row r="70" spans="4:9" ht="18.75">
      <c r="D70" s="159" t="s">
        <v>1654</v>
      </c>
      <c r="E70" s="159"/>
      <c r="F70" s="159"/>
      <c r="G70" s="159"/>
      <c r="H70" s="159"/>
      <c r="I70" s="159"/>
    </row>
    <row r="71" spans="4:9" ht="18.75">
      <c r="D71" s="159" t="s">
        <v>1655</v>
      </c>
      <c r="E71" s="159"/>
      <c r="F71" s="159"/>
      <c r="G71" s="159"/>
      <c r="H71" s="159"/>
      <c r="I71" s="159"/>
    </row>
    <row r="72" spans="4:9" ht="18.75">
      <c r="D72" s="159" t="s">
        <v>1656</v>
      </c>
      <c r="E72" s="159"/>
      <c r="F72" s="159"/>
      <c r="G72" s="159"/>
      <c r="H72" s="159"/>
      <c r="I72" s="159"/>
    </row>
    <row r="73" spans="4:9" ht="18.75">
      <c r="D73" s="159" t="s">
        <v>1657</v>
      </c>
      <c r="E73" s="159"/>
      <c r="F73" s="159"/>
      <c r="G73" s="159"/>
      <c r="H73" s="159"/>
      <c r="I73" s="159"/>
    </row>
    <row r="74" spans="4:9" ht="18.75">
      <c r="D74" s="159" t="s">
        <v>1658</v>
      </c>
      <c r="E74" s="159" t="s">
        <v>1659</v>
      </c>
      <c r="F74" s="159"/>
      <c r="G74" s="159"/>
      <c r="H74" s="159"/>
      <c r="I74" s="159"/>
    </row>
    <row r="75" spans="4:9" ht="18.75">
      <c r="D75" s="159" t="s">
        <v>1660</v>
      </c>
      <c r="E75" s="159" t="s">
        <v>1661</v>
      </c>
      <c r="F75" s="159"/>
      <c r="G75" s="159"/>
      <c r="H75" s="159"/>
      <c r="I75" s="159"/>
    </row>
    <row r="76" spans="4:9" ht="18.75">
      <c r="D76" s="159" t="s">
        <v>1662</v>
      </c>
      <c r="E76" s="167" t="s">
        <v>1663</v>
      </c>
      <c r="F76" s="168"/>
      <c r="G76" s="159"/>
      <c r="H76" s="159"/>
      <c r="I76" s="159"/>
    </row>
    <row r="77" spans="4:9" ht="18.75">
      <c r="D77" s="159" t="s">
        <v>1664</v>
      </c>
      <c r="E77" s="159" t="s">
        <v>1665</v>
      </c>
      <c r="F77" s="159"/>
      <c r="G77" s="159"/>
      <c r="H77" s="159"/>
      <c r="I77" s="159"/>
    </row>
    <row r="78" spans="4:9" ht="18.75">
      <c r="D78" s="159" t="s">
        <v>1666</v>
      </c>
      <c r="E78" s="159" t="s">
        <v>1667</v>
      </c>
      <c r="F78" s="159"/>
      <c r="G78" s="159"/>
      <c r="H78" s="159"/>
      <c r="I78" s="159"/>
    </row>
    <row r="79" spans="4:9" ht="18.75">
      <c r="D79" s="159" t="s">
        <v>1668</v>
      </c>
      <c r="E79" s="159"/>
      <c r="F79" s="159"/>
      <c r="G79" s="159"/>
      <c r="H79" s="159"/>
      <c r="I79" s="159"/>
    </row>
    <row r="80" spans="4:9" ht="18.75">
      <c r="D80" s="159" t="s">
        <v>1669</v>
      </c>
      <c r="E80" s="159"/>
      <c r="F80" s="159"/>
      <c r="G80" s="159"/>
      <c r="H80" s="159"/>
      <c r="I80" s="159"/>
    </row>
    <row r="81" spans="4:9" ht="18.75">
      <c r="D81" s="159" t="s">
        <v>1670</v>
      </c>
      <c r="E81" s="159"/>
      <c r="F81" s="159"/>
      <c r="G81" s="159"/>
      <c r="H81" s="159"/>
      <c r="I81" s="159"/>
    </row>
    <row r="82" spans="4:9" ht="18.75">
      <c r="D82" s="159" t="s">
        <v>1671</v>
      </c>
      <c r="E82" s="159"/>
      <c r="F82" s="159"/>
      <c r="G82" s="159"/>
      <c r="H82" s="159"/>
      <c r="I82" s="159"/>
    </row>
    <row r="83" spans="4:9" ht="18.75">
      <c r="D83" s="159" t="s">
        <v>1672</v>
      </c>
      <c r="E83" s="159" t="s">
        <v>1673</v>
      </c>
      <c r="F83" s="159"/>
      <c r="G83" s="159"/>
      <c r="H83" s="159"/>
      <c r="I83" s="159"/>
    </row>
    <row r="84" spans="4:9" ht="18.75">
      <c r="D84" s="159" t="s">
        <v>1674</v>
      </c>
      <c r="E84" s="159" t="s">
        <v>1675</v>
      </c>
      <c r="F84" s="159"/>
      <c r="G84" s="159"/>
      <c r="H84" s="159"/>
      <c r="I84" s="159"/>
    </row>
    <row r="85" spans="4:9" ht="18.75">
      <c r="D85" s="159" t="s">
        <v>1676</v>
      </c>
      <c r="E85" s="159"/>
      <c r="F85" s="159"/>
      <c r="G85" s="159"/>
      <c r="H85" s="159"/>
      <c r="I85" s="159"/>
    </row>
    <row r="86" spans="4:9" ht="18.75">
      <c r="D86" s="159" t="s">
        <v>1677</v>
      </c>
      <c r="E86" s="159" t="s">
        <v>1678</v>
      </c>
      <c r="F86" s="159"/>
      <c r="G86" s="159"/>
      <c r="H86" s="159"/>
      <c r="I86" s="159"/>
    </row>
    <row r="87" spans="4:9" ht="18.75">
      <c r="D87" s="159" t="s">
        <v>1679</v>
      </c>
      <c r="E87" s="159" t="s">
        <v>1680</v>
      </c>
      <c r="F87" s="159"/>
      <c r="G87" s="159"/>
      <c r="H87" s="159"/>
      <c r="I87" s="159"/>
    </row>
    <row r="88" spans="4:9" ht="18.75">
      <c r="D88" s="159" t="s">
        <v>1681</v>
      </c>
      <c r="E88" s="159" t="s">
        <v>1682</v>
      </c>
      <c r="F88" s="159" t="s">
        <v>1683</v>
      </c>
      <c r="G88" s="159" t="s">
        <v>1684</v>
      </c>
      <c r="H88" s="167" t="s">
        <v>1685</v>
      </c>
      <c r="I88" s="168"/>
    </row>
    <row r="89" spans="4:9" ht="18.75">
      <c r="D89" s="159" t="s">
        <v>1686</v>
      </c>
      <c r="E89" s="159"/>
      <c r="F89" s="159"/>
      <c r="G89" s="159"/>
      <c r="H89" s="159"/>
      <c r="I89" s="159"/>
    </row>
    <row r="90" spans="4:9" ht="18.75">
      <c r="D90" s="159" t="s">
        <v>1687</v>
      </c>
      <c r="E90" s="159"/>
      <c r="F90" s="159"/>
      <c r="G90" s="159"/>
      <c r="H90" s="159"/>
      <c r="I90" s="159"/>
    </row>
    <row r="91" spans="4:9" ht="18.75">
      <c r="D91" s="159" t="s">
        <v>1688</v>
      </c>
      <c r="E91" s="159"/>
      <c r="F91" s="159"/>
      <c r="G91" s="159"/>
      <c r="H91" s="159"/>
      <c r="I91" s="159"/>
    </row>
    <row r="92" spans="4:9" ht="18.75">
      <c r="D92" s="159" t="s">
        <v>1689</v>
      </c>
      <c r="E92" s="159" t="s">
        <v>1690</v>
      </c>
      <c r="F92" s="159"/>
      <c r="G92" s="159"/>
      <c r="H92" s="159"/>
      <c r="I92" s="159"/>
    </row>
    <row r="93" spans="4:9" ht="18.75">
      <c r="D93" s="159" t="s">
        <v>1691</v>
      </c>
      <c r="E93" s="159" t="s">
        <v>1692</v>
      </c>
      <c r="F93" s="159"/>
      <c r="G93" s="159"/>
      <c r="H93" s="159"/>
      <c r="I93" s="159"/>
    </row>
    <row r="94" spans="4:9" ht="18.75">
      <c r="D94" s="159" t="s">
        <v>1693</v>
      </c>
      <c r="E94" s="159" t="s">
        <v>1694</v>
      </c>
      <c r="F94" s="159"/>
      <c r="G94" s="159"/>
      <c r="H94" s="159"/>
      <c r="I94" s="159"/>
    </row>
    <row r="95" spans="4:9" ht="18.75">
      <c r="D95" s="159" t="s">
        <v>1695</v>
      </c>
      <c r="E95" s="159" t="s">
        <v>1696</v>
      </c>
      <c r="F95" s="159" t="s">
        <v>1697</v>
      </c>
      <c r="G95" s="159" t="s">
        <v>1698</v>
      </c>
      <c r="H95" s="159" t="s">
        <v>1699</v>
      </c>
      <c r="I95" s="159"/>
    </row>
    <row r="96" spans="4:9" ht="18.75">
      <c r="D96" s="159" t="s">
        <v>1700</v>
      </c>
      <c r="E96" s="159"/>
      <c r="F96" s="159"/>
      <c r="G96" s="159"/>
      <c r="H96" s="159"/>
      <c r="I96" s="159"/>
    </row>
    <row r="97" spans="4:9" ht="18.75">
      <c r="D97" s="159" t="s">
        <v>1701</v>
      </c>
      <c r="E97" s="159"/>
      <c r="F97" s="159"/>
      <c r="G97" s="159"/>
      <c r="H97" s="159"/>
      <c r="I97" s="159"/>
    </row>
    <row r="98" spans="4:9" ht="18.75">
      <c r="D98" s="159" t="s">
        <v>1702</v>
      </c>
      <c r="E98" s="159" t="s">
        <v>1703</v>
      </c>
      <c r="F98" s="159"/>
      <c r="G98" s="159"/>
      <c r="H98" s="159"/>
      <c r="I98" s="159"/>
    </row>
    <row r="99" spans="4:9" ht="18.75">
      <c r="D99" s="159" t="s">
        <v>1704</v>
      </c>
      <c r="E99" s="159"/>
      <c r="F99" s="159"/>
      <c r="G99" s="159"/>
      <c r="H99" s="159"/>
      <c r="I99" s="159"/>
    </row>
    <row r="100" spans="4:9" ht="18.75">
      <c r="D100" s="159" t="s">
        <v>1705</v>
      </c>
      <c r="E100" s="159"/>
      <c r="F100" s="159"/>
      <c r="G100" s="159"/>
      <c r="H100" s="159"/>
      <c r="I100" s="159"/>
    </row>
    <row r="101" spans="4:9" ht="18.75">
      <c r="D101" s="159" t="s">
        <v>1706</v>
      </c>
      <c r="E101" s="159"/>
      <c r="F101" s="159"/>
      <c r="G101" s="159"/>
      <c r="H101" s="159"/>
      <c r="I101" s="159"/>
    </row>
    <row r="102" spans="4:9" ht="18.75">
      <c r="D102" s="159" t="s">
        <v>1707</v>
      </c>
      <c r="E102" s="159"/>
      <c r="F102" s="159"/>
      <c r="G102" s="159"/>
      <c r="H102" s="159"/>
      <c r="I102" s="159"/>
    </row>
    <row r="103" spans="4:9" ht="18.75">
      <c r="D103" s="159" t="s">
        <v>1708</v>
      </c>
      <c r="E103" s="159" t="s">
        <v>1709</v>
      </c>
      <c r="F103" s="159" t="s">
        <v>1710</v>
      </c>
      <c r="G103" s="159" t="s">
        <v>1711</v>
      </c>
      <c r="H103" s="159"/>
      <c r="I103" s="159"/>
    </row>
    <row r="104" spans="4:9" ht="18.75">
      <c r="D104" s="159" t="s">
        <v>1712</v>
      </c>
      <c r="E104" s="159" t="s">
        <v>1713</v>
      </c>
      <c r="F104" s="159"/>
      <c r="G104" s="159"/>
      <c r="H104" s="159"/>
      <c r="I104" s="159"/>
    </row>
    <row r="105" spans="4:9" ht="18.75">
      <c r="D105" s="159" t="s">
        <v>83</v>
      </c>
      <c r="E105" s="159"/>
      <c r="F105" s="159"/>
      <c r="G105" s="159"/>
      <c r="H105" s="159"/>
      <c r="I105" s="159"/>
    </row>
    <row r="106" spans="4:9" ht="18.75">
      <c r="D106" s="159" t="s">
        <v>1714</v>
      </c>
      <c r="E106" s="159"/>
      <c r="F106" s="159"/>
      <c r="G106" s="159"/>
      <c r="H106" s="159"/>
      <c r="I106" s="159"/>
    </row>
    <row r="107" spans="4:9" ht="18.75">
      <c r="D107" s="159" t="s">
        <v>1715</v>
      </c>
      <c r="E107" s="159"/>
      <c r="F107" s="159"/>
      <c r="G107" s="159"/>
      <c r="H107" s="159"/>
      <c r="I107" s="159"/>
    </row>
    <row r="108" spans="4:9" ht="18.75">
      <c r="D108" s="159" t="s">
        <v>1716</v>
      </c>
      <c r="E108" s="159"/>
      <c r="F108" s="159"/>
      <c r="G108" s="159"/>
      <c r="H108" s="159"/>
      <c r="I108" s="159"/>
    </row>
    <row r="109" spans="4:9" ht="18.75">
      <c r="D109" s="159" t="s">
        <v>1717</v>
      </c>
      <c r="E109" s="159"/>
      <c r="F109" s="159"/>
      <c r="G109" s="159"/>
      <c r="H109" s="159"/>
      <c r="I109" s="159"/>
    </row>
    <row r="110" spans="4:9" ht="18.75">
      <c r="D110" s="159" t="s">
        <v>1718</v>
      </c>
      <c r="E110" s="159" t="s">
        <v>1719</v>
      </c>
      <c r="F110" s="159" t="s">
        <v>1720</v>
      </c>
      <c r="G110" s="159" t="s">
        <v>1721</v>
      </c>
      <c r="H110" s="159"/>
      <c r="I110" s="159"/>
    </row>
    <row r="111" spans="4:9" ht="18.75">
      <c r="D111" s="159" t="s">
        <v>1722</v>
      </c>
      <c r="E111" s="159" t="s">
        <v>1723</v>
      </c>
      <c r="F111" s="159" t="s">
        <v>1724</v>
      </c>
      <c r="G111" s="159" t="s">
        <v>1725</v>
      </c>
      <c r="H111" s="159"/>
      <c r="I111" s="159"/>
    </row>
    <row r="112" spans="4:9" ht="18.75">
      <c r="D112" s="159" t="s">
        <v>1726</v>
      </c>
      <c r="E112" s="159" t="s">
        <v>1664</v>
      </c>
      <c r="F112" s="159" t="s">
        <v>1665</v>
      </c>
      <c r="G112" s="159"/>
      <c r="H112" s="159"/>
      <c r="I112" s="159"/>
    </row>
    <row r="113" spans="4:9" ht="18.75">
      <c r="D113" s="159" t="s">
        <v>1727</v>
      </c>
      <c r="E113" s="159"/>
      <c r="F113" s="159"/>
      <c r="G113" s="159"/>
      <c r="H113" s="159"/>
      <c r="I113" s="159"/>
    </row>
    <row r="114" spans="4:9" ht="18.75">
      <c r="D114" s="159" t="s">
        <v>1728</v>
      </c>
      <c r="E114" s="159" t="s">
        <v>1729</v>
      </c>
      <c r="F114" s="159"/>
      <c r="G114" s="159"/>
      <c r="H114" s="159"/>
      <c r="I114" s="159"/>
    </row>
    <row r="115" spans="4:9" ht="18.75">
      <c r="D115" s="159" t="s">
        <v>1730</v>
      </c>
      <c r="E115" s="159"/>
      <c r="F115" s="159"/>
      <c r="G115" s="159"/>
      <c r="H115" s="159"/>
      <c r="I115" s="159"/>
    </row>
    <row r="116" spans="4:9" ht="18.75">
      <c r="D116" s="167" t="s">
        <v>1731</v>
      </c>
      <c r="E116" s="168"/>
      <c r="F116" s="159"/>
      <c r="G116" s="159"/>
      <c r="H116" s="159"/>
      <c r="I116" s="159"/>
    </row>
    <row r="117" spans="4:9" ht="18.75">
      <c r="D117" s="159" t="s">
        <v>1732</v>
      </c>
      <c r="E117" s="159"/>
      <c r="F117" s="159"/>
      <c r="G117" s="159"/>
      <c r="H117" s="159"/>
      <c r="I117" s="159"/>
    </row>
    <row r="118" spans="4:9" ht="18.75">
      <c r="D118" s="159" t="s">
        <v>1733</v>
      </c>
      <c r="E118" s="159" t="s">
        <v>1734</v>
      </c>
      <c r="F118" s="159"/>
      <c r="G118" s="159"/>
      <c r="H118" s="159"/>
      <c r="I118" s="159"/>
    </row>
    <row r="119" spans="4:9" ht="18.75">
      <c r="D119" s="159" t="s">
        <v>1735</v>
      </c>
      <c r="E119" s="159" t="s">
        <v>1736</v>
      </c>
      <c r="F119" s="159"/>
      <c r="G119" s="159"/>
      <c r="H119" s="159"/>
      <c r="I119" s="159"/>
    </row>
    <row r="120" spans="4:9" ht="18.75">
      <c r="D120" s="159" t="s">
        <v>477</v>
      </c>
      <c r="E120" s="159" t="s">
        <v>450</v>
      </c>
      <c r="F120" s="159"/>
      <c r="G120" s="159"/>
      <c r="H120" s="159"/>
      <c r="I120" s="159"/>
    </row>
    <row r="121" spans="4:9" ht="18.75">
      <c r="D121" s="159" t="s">
        <v>44</v>
      </c>
      <c r="E121" s="159" t="s">
        <v>1737</v>
      </c>
      <c r="F121" s="159"/>
      <c r="G121" s="159"/>
      <c r="H121" s="159"/>
      <c r="I121" s="159"/>
    </row>
    <row r="122" spans="4:9" ht="18.75">
      <c r="D122" s="159" t="s">
        <v>1738</v>
      </c>
      <c r="E122" s="159"/>
      <c r="F122" s="159"/>
      <c r="G122" s="159"/>
      <c r="H122" s="159"/>
      <c r="I122" s="159"/>
    </row>
    <row r="123" spans="4:9" ht="18.75">
      <c r="D123" s="159" t="s">
        <v>1739</v>
      </c>
      <c r="E123" s="159" t="s">
        <v>1740</v>
      </c>
      <c r="F123" s="159"/>
      <c r="G123" s="159"/>
      <c r="H123" s="159"/>
      <c r="I123" s="159"/>
    </row>
    <row r="124" spans="4:9" ht="18.75">
      <c r="D124" s="159" t="s">
        <v>1741</v>
      </c>
      <c r="E124" s="159"/>
      <c r="F124" s="159"/>
      <c r="G124" s="159"/>
      <c r="H124" s="159"/>
      <c r="I124" s="159"/>
    </row>
    <row r="125" spans="4:9" ht="18.75">
      <c r="D125" s="159" t="s">
        <v>1742</v>
      </c>
      <c r="E125" s="159"/>
      <c r="F125" s="159"/>
      <c r="G125" s="159"/>
      <c r="H125" s="159"/>
      <c r="I125" s="159"/>
    </row>
    <row r="126" spans="4:9" ht="18.75">
      <c r="D126" s="159" t="s">
        <v>653</v>
      </c>
      <c r="E126" s="159" t="s">
        <v>37</v>
      </c>
      <c r="F126" s="159"/>
      <c r="G126" s="159"/>
      <c r="H126" s="159"/>
      <c r="I126" s="159"/>
    </row>
    <row r="127" spans="4:9" ht="18.75">
      <c r="D127" s="159" t="s">
        <v>1743</v>
      </c>
      <c r="E127" s="159" t="s">
        <v>1744</v>
      </c>
      <c r="F127" s="159"/>
      <c r="G127" s="159"/>
      <c r="H127" s="159"/>
      <c r="I127" s="159"/>
    </row>
    <row r="128" spans="4:9" ht="18.75">
      <c r="D128" s="159" t="s">
        <v>454</v>
      </c>
      <c r="E128" s="159"/>
      <c r="F128" s="159"/>
      <c r="G128" s="159"/>
      <c r="H128" s="159"/>
      <c r="I128" s="159"/>
    </row>
    <row r="129" spans="4:9" ht="18.75">
      <c r="D129" s="159" t="s">
        <v>1745</v>
      </c>
      <c r="E129" s="159"/>
      <c r="F129" s="159"/>
      <c r="G129" s="159"/>
      <c r="H129" s="159"/>
      <c r="I129" s="159"/>
    </row>
    <row r="130" spans="4:9" ht="18.75">
      <c r="D130" s="159" t="s">
        <v>1746</v>
      </c>
      <c r="E130" s="159"/>
      <c r="F130" s="159"/>
      <c r="G130" s="159"/>
      <c r="H130" s="159"/>
      <c r="I130" s="159"/>
    </row>
    <row r="131" spans="4:9" ht="18.75">
      <c r="D131" s="159" t="s">
        <v>1747</v>
      </c>
      <c r="E131" s="159"/>
      <c r="F131" s="159"/>
      <c r="G131" s="159"/>
      <c r="H131" s="159"/>
      <c r="I131" s="159"/>
    </row>
    <row r="132" spans="4:9" ht="18.75">
      <c r="D132" s="159" t="s">
        <v>1748</v>
      </c>
      <c r="E132" s="159"/>
      <c r="F132" s="159"/>
      <c r="G132" s="159"/>
      <c r="H132" s="159"/>
      <c r="I132" s="159"/>
    </row>
    <row r="133" spans="4:9" ht="18.75">
      <c r="D133" s="159" t="s">
        <v>1749</v>
      </c>
      <c r="E133" s="159"/>
      <c r="F133" s="159"/>
      <c r="G133" s="159"/>
      <c r="H133" s="159"/>
      <c r="I133" s="159"/>
    </row>
    <row r="134" spans="4:9" ht="18.75">
      <c r="D134" s="159" t="s">
        <v>1750</v>
      </c>
      <c r="E134" s="159"/>
      <c r="F134" s="159"/>
      <c r="G134" s="159"/>
      <c r="H134" s="159"/>
      <c r="I134" s="159"/>
    </row>
    <row r="135" spans="4:9" ht="18.75">
      <c r="D135" s="159" t="s">
        <v>1751</v>
      </c>
      <c r="E135" s="159"/>
      <c r="F135" s="159"/>
      <c r="G135" s="159"/>
      <c r="H135" s="159"/>
      <c r="I135" s="159"/>
    </row>
    <row r="136" spans="4:9" ht="18.75">
      <c r="D136" s="159" t="s">
        <v>1752</v>
      </c>
      <c r="E136" s="159" t="s">
        <v>1753</v>
      </c>
      <c r="F136" s="159"/>
      <c r="G136" s="159"/>
      <c r="H136" s="159"/>
      <c r="I136" s="159"/>
    </row>
    <row r="137" spans="4:9" ht="18.75">
      <c r="D137" s="159" t="s">
        <v>1754</v>
      </c>
      <c r="E137" s="159"/>
      <c r="F137" s="159"/>
      <c r="G137" s="159"/>
      <c r="H137" s="159"/>
      <c r="I137" s="159"/>
    </row>
    <row r="138" spans="4:9" ht="18.75">
      <c r="D138" s="159" t="s">
        <v>1755</v>
      </c>
      <c r="E138" s="159" t="s">
        <v>1756</v>
      </c>
      <c r="F138" s="159"/>
      <c r="G138" s="159"/>
      <c r="H138" s="159"/>
      <c r="I138" s="159"/>
    </row>
    <row r="139" spans="4:9" ht="18.75">
      <c r="D139" s="159" t="s">
        <v>1757</v>
      </c>
      <c r="E139" s="159"/>
      <c r="F139" s="159"/>
      <c r="G139" s="159"/>
      <c r="H139" s="159"/>
      <c r="I139" s="159"/>
    </row>
    <row r="140" spans="4:9" ht="18.75">
      <c r="D140" s="159" t="s">
        <v>1758</v>
      </c>
      <c r="E140" s="159" t="s">
        <v>1759</v>
      </c>
      <c r="F140" s="159"/>
      <c r="G140" s="159"/>
      <c r="H140" s="159"/>
      <c r="I140" s="159"/>
    </row>
    <row r="141" spans="4:9" ht="18.75">
      <c r="D141" s="159" t="s">
        <v>1760</v>
      </c>
      <c r="E141" s="159" t="s">
        <v>1761</v>
      </c>
      <c r="F141" s="159" t="s">
        <v>1762</v>
      </c>
      <c r="G141" s="159" t="s">
        <v>1763</v>
      </c>
      <c r="H141" s="159"/>
      <c r="I141" s="159"/>
    </row>
    <row r="142" spans="4:9" ht="18.75">
      <c r="D142" s="159" t="s">
        <v>1764</v>
      </c>
      <c r="E142" s="159"/>
      <c r="F142" s="159"/>
      <c r="G142" s="159"/>
      <c r="H142" s="159"/>
      <c r="I142" s="159"/>
    </row>
    <row r="143" spans="4:9" ht="18.75">
      <c r="D143" s="159" t="s">
        <v>1765</v>
      </c>
      <c r="E143" s="159"/>
      <c r="F143" s="159"/>
      <c r="G143" s="159"/>
      <c r="H143" s="159"/>
      <c r="I143" s="159"/>
    </row>
    <row r="144" spans="4:9" ht="18.75">
      <c r="D144" s="159" t="s">
        <v>1766</v>
      </c>
      <c r="E144" s="159"/>
      <c r="F144" s="159"/>
      <c r="G144" s="159"/>
      <c r="H144" s="159"/>
      <c r="I144" s="159"/>
    </row>
    <row r="145" spans="4:9" ht="18.75">
      <c r="D145" s="159" t="s">
        <v>1767</v>
      </c>
      <c r="E145" s="159"/>
      <c r="F145" s="159"/>
      <c r="G145" s="159"/>
      <c r="H145" s="159"/>
      <c r="I145" s="159"/>
    </row>
    <row r="146" spans="4:9" ht="18.75">
      <c r="D146" s="159" t="s">
        <v>1768</v>
      </c>
      <c r="E146" s="159"/>
      <c r="F146" s="159"/>
      <c r="G146" s="159"/>
      <c r="H146" s="159"/>
      <c r="I146" s="159"/>
    </row>
    <row r="147" spans="4:9" ht="18.75">
      <c r="D147" s="159" t="s">
        <v>1769</v>
      </c>
      <c r="E147" s="159"/>
      <c r="F147" s="159"/>
      <c r="G147" s="159"/>
      <c r="H147" s="159"/>
      <c r="I147" s="159"/>
    </row>
    <row r="148" spans="4:9" ht="18.75">
      <c r="D148" s="159" t="s">
        <v>1770</v>
      </c>
      <c r="E148" s="159"/>
      <c r="F148" s="159"/>
      <c r="G148" s="159"/>
      <c r="H148" s="159"/>
      <c r="I148" s="159"/>
    </row>
    <row r="149" spans="4:9" ht="18.75">
      <c r="D149" s="159" t="s">
        <v>1771</v>
      </c>
      <c r="E149" s="159"/>
      <c r="F149" s="159"/>
      <c r="G149" s="159"/>
      <c r="H149" s="159"/>
      <c r="I149" s="159"/>
    </row>
    <row r="150" spans="4:9" ht="18.75">
      <c r="D150" s="159" t="s">
        <v>1772</v>
      </c>
      <c r="E150" s="159" t="s">
        <v>1773</v>
      </c>
      <c r="F150" s="159"/>
      <c r="G150" s="159"/>
      <c r="H150" s="159"/>
      <c r="I150" s="159"/>
    </row>
    <row r="151" spans="4:9" ht="18.75">
      <c r="D151" s="159" t="s">
        <v>1774</v>
      </c>
      <c r="E151" s="159"/>
      <c r="F151" s="159"/>
      <c r="G151" s="159"/>
      <c r="H151" s="159"/>
      <c r="I151" s="159"/>
    </row>
    <row r="152" spans="4:9" ht="18.75">
      <c r="D152" s="159" t="s">
        <v>1775</v>
      </c>
      <c r="E152" s="159"/>
      <c r="F152" s="159"/>
      <c r="G152" s="159"/>
      <c r="H152" s="159"/>
      <c r="I152" s="159"/>
    </row>
    <row r="153" spans="4:9" ht="18.75">
      <c r="D153" s="159" t="s">
        <v>1776</v>
      </c>
      <c r="E153" s="159"/>
      <c r="F153" s="159"/>
      <c r="G153" s="159"/>
      <c r="H153" s="159"/>
      <c r="I153" s="159"/>
    </row>
    <row r="154" spans="4:9" ht="18.75">
      <c r="D154" s="159" t="s">
        <v>1777</v>
      </c>
      <c r="E154" s="159" t="s">
        <v>1778</v>
      </c>
      <c r="F154" s="159" t="s">
        <v>1779</v>
      </c>
      <c r="G154" s="159"/>
      <c r="H154" s="159"/>
      <c r="I154" s="159"/>
    </row>
    <row r="155" spans="4:9" ht="18.75">
      <c r="D155" s="159" t="s">
        <v>1780</v>
      </c>
      <c r="E155" s="160" t="s">
        <v>1781</v>
      </c>
      <c r="F155" s="159" t="s">
        <v>1782</v>
      </c>
      <c r="G155" s="159" t="s">
        <v>1783</v>
      </c>
      <c r="H155" s="159"/>
      <c r="I155" s="159"/>
    </row>
    <row r="156" spans="4:9" ht="18.75">
      <c r="D156" s="159" t="s">
        <v>1784</v>
      </c>
      <c r="E156" s="159"/>
      <c r="F156" s="159"/>
      <c r="G156" s="159"/>
      <c r="H156" s="159"/>
      <c r="I156" s="159"/>
    </row>
    <row r="157" spans="4:9" ht="18.75">
      <c r="D157" s="159" t="s">
        <v>1785</v>
      </c>
      <c r="E157" s="159"/>
      <c r="F157" s="159"/>
      <c r="G157" s="159"/>
      <c r="H157" s="159"/>
      <c r="I157" s="159"/>
    </row>
    <row r="158" spans="4:9" ht="18.75">
      <c r="D158" s="159" t="s">
        <v>1786</v>
      </c>
      <c r="E158" s="159"/>
      <c r="F158" s="159"/>
      <c r="G158" s="159"/>
      <c r="H158" s="159"/>
      <c r="I158" s="159"/>
    </row>
    <row r="159" spans="4:9" ht="18.75">
      <c r="D159" s="159" t="s">
        <v>1787</v>
      </c>
      <c r="E159" s="159"/>
      <c r="F159" s="159"/>
      <c r="G159" s="159"/>
      <c r="H159" s="159"/>
      <c r="I159" s="159"/>
    </row>
    <row r="160" spans="4:9" ht="18.75">
      <c r="D160" s="159" t="s">
        <v>1788</v>
      </c>
      <c r="E160" s="159" t="s">
        <v>1789</v>
      </c>
      <c r="F160" s="159"/>
      <c r="G160" s="159"/>
      <c r="H160" s="159"/>
      <c r="I160" s="159"/>
    </row>
    <row r="161" spans="4:9" ht="18.75">
      <c r="D161" s="159" t="s">
        <v>1790</v>
      </c>
      <c r="E161" s="159"/>
      <c r="F161" s="159"/>
      <c r="G161" s="159"/>
      <c r="H161" s="159"/>
      <c r="I161" s="159"/>
    </row>
    <row r="162" spans="4:9" ht="18.75">
      <c r="D162" s="159" t="s">
        <v>208</v>
      </c>
      <c r="E162" s="159" t="s">
        <v>1791</v>
      </c>
      <c r="F162" s="159" t="s">
        <v>1792</v>
      </c>
      <c r="G162" s="159"/>
      <c r="H162" s="159"/>
      <c r="I162" s="159"/>
    </row>
    <row r="163" spans="4:9" ht="18.75">
      <c r="D163" s="159" t="s">
        <v>1793</v>
      </c>
      <c r="E163" s="159"/>
      <c r="F163" s="159"/>
      <c r="G163" s="159"/>
      <c r="H163" s="159"/>
      <c r="I163" s="159"/>
    </row>
    <row r="164" spans="4:9" ht="18.75">
      <c r="D164" s="159" t="s">
        <v>1794</v>
      </c>
      <c r="E164" s="159"/>
      <c r="F164" s="159"/>
      <c r="G164" s="159"/>
      <c r="H164" s="159"/>
      <c r="I164" s="159"/>
    </row>
    <row r="165" spans="4:9" ht="18.75">
      <c r="D165" s="159" t="s">
        <v>1795</v>
      </c>
      <c r="E165" s="159"/>
      <c r="F165" s="159"/>
      <c r="G165" s="159"/>
      <c r="H165" s="159"/>
      <c r="I165" s="159"/>
    </row>
    <row r="166" spans="4:9" ht="18.75">
      <c r="D166" s="159" t="s">
        <v>1796</v>
      </c>
      <c r="E166" s="159"/>
      <c r="F166" s="159"/>
      <c r="G166" s="159"/>
      <c r="H166" s="159"/>
      <c r="I166" s="159"/>
    </row>
    <row r="167" spans="4:9" ht="18.75">
      <c r="D167" s="159" t="s">
        <v>1797</v>
      </c>
      <c r="E167" s="159" t="s">
        <v>1798</v>
      </c>
      <c r="F167" s="159" t="s">
        <v>1799</v>
      </c>
      <c r="G167" s="159" t="s">
        <v>1800</v>
      </c>
      <c r="H167" s="159" t="s">
        <v>1801</v>
      </c>
      <c r="I167" s="159" t="s">
        <v>1802</v>
      </c>
    </row>
    <row r="168" spans="4:9" ht="18.75">
      <c r="D168" s="159" t="s">
        <v>1803</v>
      </c>
      <c r="E168" s="159"/>
      <c r="F168" s="159"/>
      <c r="G168" s="159"/>
      <c r="H168" s="159"/>
      <c r="I168" s="159"/>
    </row>
    <row r="169" spans="4:9" ht="18.75">
      <c r="D169" s="159" t="s">
        <v>1804</v>
      </c>
      <c r="E169" s="159" t="s">
        <v>1805</v>
      </c>
      <c r="F169" s="159"/>
      <c r="G169" s="159"/>
      <c r="H169" s="159"/>
      <c r="I169" s="159"/>
    </row>
    <row r="170" spans="4:9" ht="18.75">
      <c r="D170" s="159" t="s">
        <v>525</v>
      </c>
      <c r="E170" s="159"/>
      <c r="F170" s="159"/>
      <c r="G170" s="159"/>
      <c r="H170" s="159"/>
      <c r="I170" s="159"/>
    </row>
    <row r="171" spans="4:9" ht="18.75">
      <c r="D171" s="159" t="s">
        <v>1806</v>
      </c>
      <c r="E171" s="159"/>
      <c r="F171" s="159"/>
      <c r="G171" s="159"/>
      <c r="H171" s="159"/>
      <c r="I171" s="159"/>
    </row>
    <row r="172" spans="4:9" ht="18.75">
      <c r="D172" s="159" t="s">
        <v>1807</v>
      </c>
      <c r="E172" s="159" t="s">
        <v>1808</v>
      </c>
      <c r="F172" s="159"/>
      <c r="G172" s="159"/>
      <c r="H172" s="159"/>
      <c r="I172" s="159"/>
    </row>
    <row r="173" spans="4:9" ht="18.75">
      <c r="D173" s="159" t="s">
        <v>1809</v>
      </c>
      <c r="E173" s="159"/>
      <c r="F173" s="159"/>
      <c r="G173" s="159"/>
      <c r="H173" s="159"/>
      <c r="I173" s="159"/>
    </row>
    <row r="174" spans="4:9" ht="18.75">
      <c r="D174" s="159" t="s">
        <v>1810</v>
      </c>
      <c r="E174" s="159" t="s">
        <v>1811</v>
      </c>
      <c r="F174" s="159" t="s">
        <v>1812</v>
      </c>
      <c r="G174" s="159" t="s">
        <v>1813</v>
      </c>
      <c r="H174" s="159"/>
      <c r="I174" s="159"/>
    </row>
    <row r="175" spans="4:9" ht="18.75">
      <c r="D175" s="159" t="s">
        <v>1814</v>
      </c>
      <c r="E175" s="159"/>
      <c r="F175" s="159"/>
      <c r="G175" s="159"/>
      <c r="H175" s="159"/>
      <c r="I175" s="159"/>
    </row>
    <row r="176" spans="4:9" ht="18.75">
      <c r="D176" s="159" t="s">
        <v>1815</v>
      </c>
      <c r="E176" s="159" t="s">
        <v>1816</v>
      </c>
      <c r="F176" s="159"/>
      <c r="G176" s="159"/>
      <c r="H176" s="159"/>
      <c r="I176" s="159"/>
    </row>
    <row r="177" spans="4:9" ht="18.75">
      <c r="D177" s="159" t="s">
        <v>1817</v>
      </c>
      <c r="E177" s="159"/>
      <c r="F177" s="159"/>
      <c r="G177" s="159"/>
      <c r="H177" s="159"/>
      <c r="I177" s="159"/>
    </row>
    <row r="178" spans="4:9" ht="18.75">
      <c r="D178" s="159" t="s">
        <v>532</v>
      </c>
      <c r="E178" s="159" t="s">
        <v>1818</v>
      </c>
      <c r="F178" s="159"/>
      <c r="G178" s="159"/>
      <c r="H178" s="159"/>
      <c r="I178" s="159"/>
    </row>
    <row r="179" spans="4:9" ht="18.75">
      <c r="D179" s="159" t="s">
        <v>1819</v>
      </c>
      <c r="E179" s="159" t="s">
        <v>1820</v>
      </c>
      <c r="F179" s="159"/>
      <c r="G179" s="159"/>
      <c r="H179" s="159"/>
      <c r="I179" s="159"/>
    </row>
    <row r="180" spans="4:9" ht="18.75">
      <c r="D180" s="159" t="s">
        <v>1821</v>
      </c>
      <c r="E180" s="159"/>
      <c r="F180" s="159"/>
      <c r="G180" s="159"/>
      <c r="H180" s="159"/>
      <c r="I180" s="159"/>
    </row>
    <row r="181" spans="4:9" ht="18.75">
      <c r="D181" s="159" t="s">
        <v>911</v>
      </c>
      <c r="E181" s="159" t="s">
        <v>1822</v>
      </c>
      <c r="F181" s="159"/>
      <c r="G181" s="159"/>
      <c r="H181" s="159"/>
      <c r="I181" s="159"/>
    </row>
    <row r="182" spans="4:9" ht="18.75">
      <c r="D182" s="159" t="s">
        <v>773</v>
      </c>
      <c r="E182" s="159"/>
      <c r="F182" s="159"/>
      <c r="G182" s="159"/>
      <c r="H182" s="159"/>
      <c r="I182" s="159"/>
    </row>
    <row r="183" spans="4:9" ht="18.75">
      <c r="D183" s="159" t="s">
        <v>1823</v>
      </c>
      <c r="E183" s="159"/>
      <c r="F183" s="159"/>
      <c r="G183" s="159"/>
      <c r="H183" s="159"/>
      <c r="I183" s="159"/>
    </row>
    <row r="184" spans="4:9" ht="18.75">
      <c r="D184" s="159" t="s">
        <v>1824</v>
      </c>
      <c r="E184" s="159"/>
      <c r="F184" s="159"/>
      <c r="G184" s="159"/>
      <c r="H184" s="159"/>
      <c r="I184" s="159"/>
    </row>
    <row r="185" spans="4:9" ht="18.75">
      <c r="D185" s="159" t="s">
        <v>1825</v>
      </c>
      <c r="E185" s="159"/>
      <c r="F185" s="159"/>
      <c r="G185" s="159"/>
      <c r="H185" s="159"/>
      <c r="I185" s="159"/>
    </row>
    <row r="186" spans="4:9" ht="18.75">
      <c r="D186" s="159" t="s">
        <v>1826</v>
      </c>
      <c r="E186" s="159"/>
      <c r="F186" s="159"/>
      <c r="G186" s="159"/>
      <c r="H186" s="159"/>
      <c r="I186" s="159"/>
    </row>
    <row r="187" spans="4:9" ht="18.75">
      <c r="D187" s="159" t="s">
        <v>1827</v>
      </c>
      <c r="E187" s="159"/>
      <c r="F187" s="159"/>
      <c r="G187" s="159"/>
      <c r="H187" s="159"/>
      <c r="I187" s="159"/>
    </row>
    <row r="188" spans="4:9" ht="18.75">
      <c r="D188" s="159" t="s">
        <v>1828</v>
      </c>
      <c r="E188" s="159"/>
      <c r="F188" s="159"/>
      <c r="G188" s="159"/>
      <c r="H188" s="159"/>
      <c r="I188" s="159"/>
    </row>
    <row r="189" spans="4:9" ht="18.75">
      <c r="D189" s="159" t="s">
        <v>1829</v>
      </c>
      <c r="E189" s="159"/>
      <c r="F189" s="159"/>
      <c r="G189" s="159"/>
      <c r="H189" s="159"/>
      <c r="I189" s="159"/>
    </row>
    <row r="190" spans="4:9" ht="18.75">
      <c r="D190" s="159" t="s">
        <v>1830</v>
      </c>
      <c r="E190" s="159"/>
      <c r="F190" s="159"/>
      <c r="G190" s="159"/>
      <c r="H190" s="159"/>
      <c r="I190" s="159"/>
    </row>
    <row r="191" spans="4:9" ht="18.75">
      <c r="D191" s="159" t="s">
        <v>1831</v>
      </c>
      <c r="E191" s="159"/>
      <c r="F191" s="159"/>
      <c r="G191" s="159"/>
      <c r="H191" s="159"/>
      <c r="I191" s="159"/>
    </row>
    <row r="192" spans="4:9" ht="18.75">
      <c r="D192" s="159" t="s">
        <v>1832</v>
      </c>
      <c r="E192" s="159"/>
      <c r="F192" s="159"/>
      <c r="G192" s="159"/>
      <c r="H192" s="159"/>
      <c r="I192" s="159"/>
    </row>
    <row r="193" spans="4:9" ht="18.75">
      <c r="D193" s="159" t="s">
        <v>1833</v>
      </c>
      <c r="E193" s="159"/>
      <c r="F193" s="159"/>
      <c r="G193" s="159"/>
      <c r="H193" s="159"/>
      <c r="I193" s="159"/>
    </row>
    <row r="194" spans="4:9" ht="18.75">
      <c r="D194" s="159" t="s">
        <v>1834</v>
      </c>
      <c r="E194" s="159" t="s">
        <v>1835</v>
      </c>
      <c r="F194" s="159"/>
      <c r="G194" s="159"/>
      <c r="H194" s="159"/>
      <c r="I194" s="159"/>
    </row>
    <row r="195" spans="4:9" ht="18.75">
      <c r="D195" s="159" t="s">
        <v>1836</v>
      </c>
      <c r="E195" s="159"/>
      <c r="F195" s="159"/>
      <c r="G195" s="159"/>
      <c r="H195" s="159"/>
      <c r="I195" s="159"/>
    </row>
    <row r="196" spans="4:9" ht="18.75">
      <c r="D196" s="159" t="s">
        <v>1837</v>
      </c>
      <c r="E196" s="159" t="s">
        <v>1838</v>
      </c>
      <c r="F196" s="159"/>
      <c r="G196" s="159"/>
      <c r="H196" s="159"/>
      <c r="I196" s="159"/>
    </row>
    <row r="197" spans="4:9" ht="18.75">
      <c r="D197" s="159" t="s">
        <v>1839</v>
      </c>
      <c r="E197" s="159"/>
      <c r="F197" s="159"/>
      <c r="G197" s="159"/>
      <c r="H197" s="159"/>
      <c r="I197" s="159"/>
    </row>
    <row r="198" spans="4:9" ht="18.75">
      <c r="D198" s="159" t="s">
        <v>1840</v>
      </c>
      <c r="E198" s="159"/>
      <c r="F198" s="159"/>
      <c r="G198" s="159"/>
      <c r="H198" s="159"/>
      <c r="I198" s="159"/>
    </row>
    <row r="199" spans="4:9" ht="18.75">
      <c r="D199" s="159" t="s">
        <v>1841</v>
      </c>
      <c r="E199" s="159"/>
      <c r="F199" s="159"/>
      <c r="G199" s="159"/>
      <c r="H199" s="159"/>
      <c r="I199" s="159"/>
    </row>
    <row r="200" spans="4:9" ht="18.75">
      <c r="D200" s="159" t="s">
        <v>59</v>
      </c>
      <c r="E200" s="159" t="s">
        <v>1842</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 ca="1">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 ca="1">IF(OR(B3=B$26,B3=""),"",IF(中間処理シート!O5="",B$26,中間処理シート!O5))</f>
        <v/>
      </c>
      <c r="C4" s="39" t="str">
        <f ca="1">IF(OR(B3=B$26,B3=""),"",IF(中間処理シート!O5="",SUM(C$3:C3),中間処理シート!P5))</f>
        <v/>
      </c>
      <c r="D4" s="41" t="str">
        <f ca="1">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 ca="1">IF(OR(B4=B$26,B4=""),"",IF(中間処理シート!O6="",B$26,中間処理シート!O6))</f>
        <v/>
      </c>
      <c r="C5" s="39" t="str">
        <f ca="1">IF(OR(B4=B$26,B4=""),"",IF(中間処理シート!O6="",SUM(C$3:C4),中間処理シート!P6))</f>
        <v/>
      </c>
      <c r="D5" s="41" t="str">
        <f ca="1">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 ca="1">IF(OR(B5=B$26,B5=""),"",IF(中間処理シート!O7="",B$26,中間処理シート!O7))</f>
        <v/>
      </c>
      <c r="C6" s="39" t="str">
        <f ca="1">IF(OR(B5=B$26,B5=""),"",IF(中間処理シート!O7="",SUM(C$3:C5),中間処理シート!P7))</f>
        <v/>
      </c>
      <c r="D6" s="41" t="str">
        <f ca="1">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 ca="1">IF(OR(B6=B$26,B6=""),"",IF(中間処理シート!O8="",B$26,中間処理シート!O8))</f>
        <v/>
      </c>
      <c r="C7" s="39" t="str">
        <f ca="1">IF(OR(B6=B$26,B6=""),"",IF(中間処理シート!O8="",SUM(C$3:C6),中間処理シート!P8))</f>
        <v/>
      </c>
      <c r="D7" s="41" t="str">
        <f ca="1">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 ca="1">IF(OR(B7=B$26,B7=""),"",IF(中間処理シート!O9="",B$26,中間処理シート!O9))</f>
        <v/>
      </c>
      <c r="C8" s="39" t="str">
        <f ca="1">IF(OR(B7=B$26,B7=""),"",IF(中間処理シート!O9="",SUM(C$3:C7),中間処理シート!P9))</f>
        <v/>
      </c>
      <c r="D8" s="41" t="str">
        <f ca="1">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 ca="1">IF(OR(B8=B$26,B8=""),"",IF(中間処理シート!O10="",B$26,中間処理シート!O10))</f>
        <v/>
      </c>
      <c r="C9" s="39" t="str">
        <f ca="1">IF(OR(B8=B$26,B8=""),"",IF(中間処理シート!O10="",SUM(C$3:C8),中間処理シート!P10))</f>
        <v/>
      </c>
      <c r="D9" s="41" t="str">
        <f ca="1">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 ca="1">IF(OR(B9=B$26,B9=""),"",IF(中間処理シート!O11="",B$26,中間処理シート!O11))</f>
        <v/>
      </c>
      <c r="C10" s="39" t="str">
        <f ca="1">IF(OR(B9=B$26,B9=""),"",IF(中間処理シート!O11="",SUM(C$3:C9),中間処理シート!P11))</f>
        <v/>
      </c>
      <c r="D10" s="41" t="str">
        <f ca="1">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 ca="1">IF(OR(B10=B$26,B10=""),"",IF(中間処理シート!O12="",B$26,中間処理シート!O12))</f>
        <v/>
      </c>
      <c r="C11" s="39" t="str">
        <f ca="1">IF(OR(B10=B$26,B10=""),"",IF(中間処理シート!O12="",SUM(C$3:C10),中間処理シート!P12))</f>
        <v/>
      </c>
      <c r="D11" s="41" t="str">
        <f ca="1">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 ca="1">IF(OR(B11=B$26,B11=""),"",IF(中間処理シート!O13="",B$26,中間処理シート!O13))</f>
        <v/>
      </c>
      <c r="C12" s="39" t="str">
        <f ca="1">IF(OR(B11=B$26,B11=""),"",IF(中間処理シート!O13="",SUM(C$3:C11),中間処理シート!P13))</f>
        <v/>
      </c>
      <c r="D12" s="41" t="str">
        <f ca="1">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 ca="1">IF(OR(B12=B$26,B12=""),"",IF(中間処理シート!O14="",B$26,中間処理シート!O14))</f>
        <v/>
      </c>
      <c r="C13" s="39" t="str">
        <f ca="1">IF(OR(B12=B$26,B12=""),"",IF(中間処理シート!O14="",SUM(C$3:C12),中間処理シート!P14))</f>
        <v/>
      </c>
      <c r="D13" s="41" t="str">
        <f ca="1">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 ca="1">IF(OR(B13=B$26,B13=""),"",IF(中間処理シート!O15="",B$26,中間処理シート!O15))</f>
        <v/>
      </c>
      <c r="C14" s="39" t="str">
        <f ca="1">IF(OR(B13=B$26,B13=""),"",IF(中間処理シート!O15="",SUM(C$3:C13),中間処理シート!P15))</f>
        <v/>
      </c>
      <c r="D14" s="41" t="str">
        <f ca="1">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 ca="1">IF(OR(B14=B$26,B14=""),"",IF(中間処理シート!O16="",B$26,中間処理シート!O16))</f>
        <v/>
      </c>
      <c r="C15" s="39" t="str">
        <f ca="1">IF(OR(B14=B$26,B14=""),"",IF(中間処理シート!O16="",SUM(C$3:C14),中間処理シート!P16))</f>
        <v/>
      </c>
      <c r="D15" s="41" t="str">
        <f ca="1">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 ca="1">IF(OR(B15=B$26,B15=""),"",IF(中間処理シート!O17="",B$26,中間処理シート!O17))</f>
        <v/>
      </c>
      <c r="C16" s="39" t="str">
        <f ca="1">IF(OR(B15=B$26,B15=""),"",IF(中間処理シート!O17="",SUM(C$3:C15),中間処理シート!P17))</f>
        <v/>
      </c>
      <c r="D16" s="41" t="str">
        <f ca="1">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 ca="1">IF(OR(B16=B$26,B16=""),"",IF(中間処理シート!O18="",B$26,中間処理シート!O18))</f>
        <v/>
      </c>
      <c r="C17" s="39" t="str">
        <f ca="1">IF(OR(B16=B$26,B16=""),"",IF(中間処理シート!O18="",SUM(C$3:C16),中間処理シート!P18))</f>
        <v/>
      </c>
      <c r="D17" s="41" t="str">
        <f ca="1">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 ca="1">IF(OR(B17=B$26,B17=""),"",IF(中間処理シート!O19="",B$26,中間処理シート!O19))</f>
        <v/>
      </c>
      <c r="C18" s="39" t="str">
        <f ca="1">IF(OR(B17=B$26,B17=""),"",IF(中間処理シート!O19="",SUM(C$3:C17),中間処理シート!P19))</f>
        <v/>
      </c>
      <c r="D18" s="41" t="str">
        <f ca="1">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 ca="1">IF(OR(B18=B$26,B18=""),"",IF(中間処理シート!O20="",B$26,中間処理シート!O20))</f>
        <v/>
      </c>
      <c r="C19" s="39" t="str">
        <f ca="1">IF(OR(B18=B$26,B18=""),"",IF(中間処理シート!O20="",SUM(C$3:C18),中間処理シート!P20))</f>
        <v/>
      </c>
      <c r="D19" s="41" t="str">
        <f ca="1">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 ca="1">IF(OR(B19=B$26,B19=""),"",IF(中間処理シート!O21="",B$26,中間処理シート!O21))</f>
        <v/>
      </c>
      <c r="C20" s="39" t="str">
        <f ca="1">IF(OR(B19=B$26,B19=""),"",IF(中間処理シート!O21="",SUM(C$3:C19),中間処理シート!P21))</f>
        <v/>
      </c>
      <c r="D20" s="41" t="str">
        <f ca="1">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 ca="1">IF(OR(B20=B$26,B20=""),"",IF(中間処理シート!O22="",B$26,中間処理シート!O22))</f>
        <v/>
      </c>
      <c r="C21" s="39" t="str">
        <f ca="1">IF(OR(B20=B$26,B20=""),"",IF(中間処理シート!O22="",SUM(C$3:C20),中間処理シート!P22))</f>
        <v/>
      </c>
      <c r="D21" s="41" t="str">
        <f ca="1">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 ca="1">IF(OR(B21=B$26,B21=""),"",IF(中間処理シート!O23="",B$26,中間処理シート!O23))</f>
        <v/>
      </c>
      <c r="C22" s="39" t="str">
        <f ca="1">IF(OR(B21=B$26,B21=""),"",IF(中間処理シート!O23="",SUM(C$3:C21),中間処理シート!P23))</f>
        <v/>
      </c>
      <c r="D22" s="41" t="str">
        <f ca="1">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 ca="1">IF(OR(B22=B$26,B22=""),"",IF(中間処理シート!O24="",B$26,中間処理シート!O24))</f>
        <v/>
      </c>
      <c r="C23" s="39" t="str">
        <f ca="1">IF(OR(B22=B$26,B22=""),"",IF(中間処理シート!O24="",SUM(C$3:C22),中間処理シート!P24))</f>
        <v/>
      </c>
      <c r="D23" s="41" t="str">
        <f ca="1">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 ca="1">中間処理シート!O25</f>
        <v/>
      </c>
      <c r="C24" t="str">
        <f ca="1">中間処理シート!P25</f>
        <v/>
      </c>
      <c r="D24" t="str">
        <f ca="1">中間処理シート!Q25</f>
        <v/>
      </c>
    </row>
    <row r="25" spans="2:7" ht="20.25" thickTop="1" thickBot="1">
      <c r="B25" s="58" t="s">
        <v>1206</v>
      </c>
      <c r="C25" s="59">
        <f ca="1">中間処理シート!P27</f>
        <v>0</v>
      </c>
      <c r="D25" s="60">
        <f ca="1">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2020-11-02T16:03:27Z</dcterms:modified>
</cp:coreProperties>
</file>