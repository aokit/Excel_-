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FC652DD-F765-430B-BD96-AC168727F8D9}"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64" i="3"/>
  <c r="AL131" i="3"/>
  <c r="AL119" i="3"/>
  <c r="AL121" i="3"/>
  <c r="AL84" i="3"/>
  <c r="AL103" i="3"/>
  <c r="AL133" i="3"/>
  <c r="AL42" i="3"/>
  <c r="AL100" i="3"/>
  <c r="AL116" i="3"/>
  <c r="AL34" i="3"/>
  <c r="AL36" i="3"/>
  <c r="AL26" i="3"/>
  <c r="AL89" i="3"/>
  <c r="AL126" i="3"/>
  <c r="AL37" i="3"/>
  <c r="AL75" i="3"/>
  <c r="AL49" i="3"/>
  <c r="AL82" i="3"/>
  <c r="AL39" i="3"/>
  <c r="AL30" i="3"/>
  <c r="AL106" i="3"/>
  <c r="AL113" i="3"/>
  <c r="AL28" i="3"/>
  <c r="AL97" i="3"/>
  <c r="AL46" i="3"/>
  <c r="AL59" i="3"/>
  <c r="AL67" i="3"/>
  <c r="AL13" i="3"/>
  <c r="AL130" i="3"/>
  <c r="AL23" i="3"/>
  <c r="AL81" i="3"/>
  <c r="AL114" i="3"/>
  <c r="AL54" i="3"/>
  <c r="AL125" i="3"/>
  <c r="AL57" i="3"/>
  <c r="AL96" i="3"/>
  <c r="AL14" i="3"/>
  <c r="AL7" i="3"/>
  <c r="AL94" i="3"/>
  <c r="AL45" i="3"/>
  <c r="AL135" i="3"/>
  <c r="AL18" i="3"/>
  <c r="AL101" i="3"/>
  <c r="AL6" i="3"/>
  <c r="AL29" i="3"/>
  <c r="AL134" i="3"/>
  <c r="AL62" i="3"/>
  <c r="AL16" i="3"/>
  <c r="AL107" i="3"/>
  <c r="AL19" i="3"/>
  <c r="AL70" i="3"/>
  <c r="AL83" i="3"/>
  <c r="AL111" i="3"/>
  <c r="AL73" i="3"/>
  <c r="AL132" i="3"/>
  <c r="AL40" i="3"/>
  <c r="AL98" i="3"/>
  <c r="AL56" i="3"/>
  <c r="AL61" i="3"/>
  <c r="AL105" i="3"/>
  <c r="AL99" i="3"/>
  <c r="AL8" i="3"/>
  <c r="AL43" i="3"/>
  <c r="AL48" i="3"/>
  <c r="AL95" i="3"/>
  <c r="AL112" i="3"/>
  <c r="AL63" i="3"/>
  <c r="AL117" i="3"/>
  <c r="AL102" i="3"/>
  <c r="AL77" i="3"/>
  <c r="AL21" i="3"/>
  <c r="AL35" i="3"/>
  <c r="AL124" i="3"/>
  <c r="AL90" i="3"/>
  <c r="AL108" i="3"/>
  <c r="AL22" i="3"/>
  <c r="AL10" i="3"/>
  <c r="AL55" i="3"/>
  <c r="AL41" i="3"/>
  <c r="AL60" i="3"/>
  <c r="AL120" i="3"/>
  <c r="AL58" i="3"/>
  <c r="AL20" i="3"/>
  <c r="AL109" i="3"/>
  <c r="AL66" i="3"/>
  <c r="AL122" i="3"/>
  <c r="AL27" i="3"/>
  <c r="AL25" i="3"/>
  <c r="AL71" i="3"/>
  <c r="AL74" i="3"/>
  <c r="AL31" i="3"/>
  <c r="AL24" i="3"/>
  <c r="AL53" i="3"/>
  <c r="AL88" i="3"/>
  <c r="AL15" i="3"/>
  <c r="AL92" i="3"/>
  <c r="AL72" i="3"/>
  <c r="AL127" i="3"/>
  <c r="AL80" i="3"/>
  <c r="AL17" i="3"/>
  <c r="AL118" i="3"/>
  <c r="AL11" i="3"/>
  <c r="AL51" i="3"/>
  <c r="AL9" i="3"/>
  <c r="AL115" i="3"/>
  <c r="AL65" i="3"/>
  <c r="AL91" i="3"/>
  <c r="AL110" i="3"/>
  <c r="AL33" i="3"/>
  <c r="AL52" i="3"/>
  <c r="AL12" i="3"/>
  <c r="AL87" i="3"/>
  <c r="AL86" i="3"/>
  <c r="AL44" i="3"/>
  <c r="AL69" i="3"/>
  <c r="AL79" i="3"/>
  <c r="AL123" i="3"/>
  <c r="AL32" i="3"/>
  <c r="AL85" i="3"/>
  <c r="AL68" i="3"/>
  <c r="AL93" i="3"/>
  <c r="AL76" i="3"/>
  <c r="AL128" i="3"/>
  <c r="AL38" i="3"/>
  <c r="AL50" i="3"/>
  <c r="AL104" i="3"/>
  <c r="AL47" i="3"/>
  <c r="AL78" i="3"/>
  <c r="AL129"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5" i="9"/>
  <c r="J15" i="9"/>
  <c r="E22" i="9"/>
  <c r="J27" i="9"/>
  <c r="D8" i="9"/>
  <c r="I7" i="9"/>
  <c r="C15" i="9"/>
  <c r="F20" i="9"/>
  <c r="J4" i="9"/>
  <c r="I22" i="9"/>
  <c r="J28" i="9"/>
  <c r="F11" i="9"/>
  <c r="F33" i="9"/>
  <c r="F23" i="9"/>
  <c r="E33" i="9"/>
  <c r="E9" i="9"/>
  <c r="J12" i="9"/>
  <c r="J16" i="9"/>
  <c r="J10" i="9"/>
  <c r="I6" i="9"/>
  <c r="E11" i="9"/>
  <c r="F18" i="9"/>
  <c r="F7" i="9"/>
  <c r="F6" i="9"/>
  <c r="J25" i="9"/>
  <c r="I28" i="9"/>
  <c r="D10" i="9"/>
  <c r="E19" i="9"/>
  <c r="C12" i="9"/>
  <c r="J5" i="9"/>
  <c r="A14" i="3"/>
  <c r="F28" i="9"/>
  <c r="I8" i="9"/>
  <c r="F16" i="9"/>
  <c r="F21" i="9"/>
  <c r="E10" i="9"/>
  <c r="I26" i="9"/>
  <c r="E21" i="9"/>
  <c r="E27" i="9"/>
  <c r="F9" i="9"/>
  <c r="F31" i="9"/>
  <c r="D26" i="9"/>
  <c r="J18" i="9"/>
  <c r="E26" i="9"/>
  <c r="E7" i="9"/>
  <c r="J29" i="9"/>
  <c r="J31" i="9"/>
  <c r="D22" i="9"/>
  <c r="F26" i="9"/>
  <c r="C7" i="9"/>
  <c r="D6" i="9"/>
  <c r="C31" i="9"/>
  <c r="J8" i="9"/>
  <c r="F13" i="9"/>
  <c r="C20" i="9"/>
  <c r="D16" i="9"/>
  <c r="C22" i="9"/>
  <c r="D25" i="9"/>
  <c r="D13" i="9"/>
  <c r="F19" i="9"/>
  <c r="E23" i="9"/>
  <c r="I16" i="9"/>
  <c r="E15" i="9"/>
  <c r="J33" i="9"/>
  <c r="D33" i="9"/>
  <c r="J24" i="9"/>
  <c r="E30" i="9"/>
  <c r="E24" i="9"/>
  <c r="I13" i="9"/>
  <c r="J11" i="9"/>
  <c r="D30" i="9"/>
  <c r="J26" i="9"/>
  <c r="C11" i="9"/>
  <c r="C16" i="9"/>
  <c r="E13" i="9"/>
  <c r="I19" i="9"/>
  <c r="D12" i="9"/>
  <c r="I4" i="9"/>
  <c r="F8" i="9"/>
  <c r="D19" i="9"/>
  <c r="F29" i="9"/>
  <c r="D7" i="9"/>
  <c r="I24" i="9"/>
  <c r="D14" i="9"/>
  <c r="F4" i="9"/>
  <c r="F15" i="9"/>
  <c r="E20" i="9"/>
  <c r="I12" i="9"/>
  <c r="D29" i="9"/>
  <c r="J14" i="9"/>
  <c r="I31" i="9"/>
  <c r="F25" i="9"/>
  <c r="D31" i="9"/>
  <c r="D24" i="9"/>
  <c r="C26" i="9"/>
  <c r="I33" i="9"/>
  <c r="E14" i="9"/>
  <c r="C28" i="9"/>
  <c r="I5" i="9"/>
  <c r="E8" i="9"/>
  <c r="J13" i="9"/>
  <c r="I30" i="9"/>
  <c r="C33" i="9"/>
  <c r="C21" i="9"/>
  <c r="C5" i="9"/>
  <c r="C13" i="9"/>
  <c r="C23" i="9"/>
  <c r="E12" i="9"/>
  <c r="D23" i="9"/>
  <c r="I9" i="9"/>
  <c r="I15" i="9"/>
  <c r="I14" i="9"/>
  <c r="I21" i="9"/>
  <c r="D9" i="9"/>
  <c r="C10" i="9"/>
  <c r="C25" i="9"/>
  <c r="E4" i="9"/>
  <c r="D4" i="9"/>
  <c r="I10" i="9"/>
  <c r="E28" i="9"/>
  <c r="D21" i="9"/>
  <c r="D27" i="9"/>
  <c r="I23" i="9"/>
  <c r="D28" i="9"/>
  <c r="J19" i="9"/>
  <c r="A17" i="3"/>
  <c r="E16" i="9"/>
  <c r="J20" i="9"/>
  <c r="C6" i="9"/>
  <c r="C24" i="9"/>
  <c r="F14" i="9"/>
  <c r="D18" i="9"/>
  <c r="F12" i="9"/>
  <c r="E25" i="9"/>
  <c r="E29" i="9"/>
  <c r="C4" i="9"/>
  <c r="D5" i="9"/>
  <c r="E31" i="9"/>
  <c r="C8" i="9"/>
  <c r="J6" i="9"/>
  <c r="C30" i="9"/>
  <c r="D11" i="9"/>
  <c r="J30" i="9"/>
  <c r="D20" i="9"/>
  <c r="C29" i="9"/>
  <c r="C9" i="9"/>
  <c r="C18" i="9"/>
  <c r="D15" i="9"/>
  <c r="J21" i="9"/>
  <c r="I25" i="9"/>
  <c r="F24" i="9"/>
  <c r="I29" i="9"/>
  <c r="E18" i="9"/>
  <c r="F22" i="9"/>
  <c r="J9" i="9"/>
  <c r="J7" i="9"/>
  <c r="C19" i="9"/>
  <c r="F30" i="9"/>
  <c r="J23" i="9"/>
  <c r="I27" i="9"/>
  <c r="I18" i="9"/>
  <c r="F10" i="9"/>
  <c r="F5" i="9"/>
  <c r="F27" i="9"/>
  <c r="C27" i="9"/>
  <c r="A20" i="3"/>
  <c r="I20" i="9"/>
  <c r="E6" i="9"/>
  <c r="C14" i="9"/>
  <c r="I11"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l="1"/>
  <c r="D10" i="6" s="1"/>
  <c r="C3" i="6"/>
  <c r="D26" i="6" l="1"/>
  <c r="C10" i="6"/>
  <c r="C26"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<sst xmlns="http://schemas.openxmlformats.org/spreadsheetml/2006/main" count="5930" uniqueCount="1858">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</sst>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election activeCell="H1"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topLeftCell="A4" zoomScaleNormal="100" workbookViewId="0">
      <selection activeCell="O17" sqref="O17"/>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N3" s="140" t="s">
        <v>1514</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1517</v>
      </c>
      <c r="E6" s="161">
        <v>3</v>
      </c>
      <c r="F6" s="138">
        <v>2</v>
      </c>
      <c r="G6" s="138" t="s">
        <v>1517</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1854</v>
      </c>
      <c r="B9" s="140" t="b">
        <f>ISREF(取引集計)</f>
        <v>1</v>
      </c>
      <c r="D9" s="138" t="s">
        <v>1287</v>
      </c>
      <c r="E9" s="162">
        <v>4</v>
      </c>
      <c r="F9" s="138">
        <v>1</v>
      </c>
      <c r="G9" s="138" t="s">
        <v>1296</v>
      </c>
      <c r="H9" s="138">
        <v>1</v>
      </c>
      <c r="I9" s="138">
        <v>0</v>
      </c>
      <c r="K9" s="149" t="s">
        <v>166</v>
      </c>
      <c r="L9" s="150"/>
      <c r="M9" s="150"/>
    </row>
    <row r="10" spans="1:28" ht="18.75" customHeight="1">
      <c r="A10" s="140" t="s">
        <v>1855</v>
      </c>
      <c r="B10" s="140" t="b">
        <f>ISREF(取引集計＿非ゼロ)</f>
        <v>1</v>
      </c>
      <c r="D10" s="138" t="s">
        <v>1296</v>
      </c>
      <c r="E10" s="162">
        <v>1</v>
      </c>
      <c r="F10" s="138">
        <v>0</v>
      </c>
      <c r="G10" s="138" t="s">
        <v>1526</v>
      </c>
      <c r="H10" s="138">
        <v>0</v>
      </c>
      <c r="I10" s="138">
        <v>1</v>
      </c>
      <c r="K10" s="149" t="s">
        <v>1077</v>
      </c>
      <c r="L10" s="150"/>
      <c r="M10" s="150"/>
    </row>
    <row r="11" spans="1:28" ht="18.75" customHeight="1">
      <c r="A11" s="140" t="s">
        <v>1498</v>
      </c>
      <c r="B11" s="140" t="b">
        <f>ISREF(組織集計)</f>
        <v>1</v>
      </c>
      <c r="D11" s="138" t="s">
        <v>1526</v>
      </c>
      <c r="F11" s="138">
        <v>1</v>
      </c>
      <c r="G11" s="138" t="s">
        <v>545</v>
      </c>
      <c r="H11" s="138">
        <v>0</v>
      </c>
      <c r="I11" s="138">
        <v>1</v>
      </c>
      <c r="K11" s="149" t="s">
        <v>87</v>
      </c>
      <c r="L11" s="150"/>
      <c r="M11" s="150"/>
    </row>
    <row r="12" spans="1:28" ht="18.75" customHeight="1">
      <c r="A12" s="140" t="s">
        <v>1843</v>
      </c>
      <c r="B12" s="140" t="b">
        <f>ISREF(組織集計＿非ゼロ)</f>
        <v>1</v>
      </c>
      <c r="D12" s="138" t="s">
        <v>1532</v>
      </c>
      <c r="F12" s="138">
        <v>0</v>
      </c>
      <c r="G12" s="138"/>
      <c r="H12" s="138"/>
      <c r="I12" s="138"/>
      <c r="K12" s="149" t="s">
        <v>494</v>
      </c>
      <c r="L12" s="150"/>
      <c r="M12" s="150"/>
    </row>
    <row r="13" spans="1:28" ht="18.75" customHeight="1">
      <c r="A13" s="140" t="s">
        <v>1508</v>
      </c>
      <c r="B13" s="140" t="b">
        <f>ISREF(仕向地集計)</f>
        <v>1</v>
      </c>
      <c r="D13" s="138" t="s">
        <v>1537</v>
      </c>
      <c r="F13" s="138">
        <v>0</v>
      </c>
      <c r="G13" s="138"/>
      <c r="H13" s="138"/>
      <c r="I13" s="138"/>
      <c r="K13" s="149" t="s">
        <v>73</v>
      </c>
      <c r="L13" s="150"/>
      <c r="M13" s="150"/>
    </row>
    <row r="14" spans="1:28" ht="18.75" customHeight="1">
      <c r="A14" s="140" t="s">
        <v>1856</v>
      </c>
      <c r="B14" s="140" t="b">
        <f ca="1">ISREF(仕向地集計(トップ))</f>
        <v>0</v>
      </c>
      <c r="D14" s="138" t="s">
        <v>1540</v>
      </c>
      <c r="F14" s="138">
        <v>0</v>
      </c>
      <c r="G14" s="138"/>
      <c r="H14" s="138"/>
      <c r="I14" s="138"/>
      <c r="K14" s="149" t="s">
        <v>259</v>
      </c>
      <c r="L14" s="150"/>
      <c r="M14" s="150"/>
    </row>
    <row r="15" spans="1:28" ht="18.75" customHeight="1">
      <c r="A15" s="140" t="s">
        <v>1510</v>
      </c>
      <c r="B15" s="140" t="b">
        <f>ISREF(該当取引)</f>
        <v>0</v>
      </c>
      <c r="D15" s="138" t="s">
        <v>1544</v>
      </c>
      <c r="F15" s="138">
        <v>0</v>
      </c>
      <c r="G15" s="138"/>
      <c r="H15" s="138"/>
      <c r="I15" s="138"/>
      <c r="K15" s="149" t="s">
        <v>252</v>
      </c>
      <c r="L15" s="150"/>
      <c r="M15" s="150"/>
    </row>
    <row r="16" spans="1:28" ht="18.75" customHeight="1">
      <c r="A16" s="140" t="s">
        <v>1516</v>
      </c>
      <c r="B16" s="140" t="b">
        <f>ISREF(Range_組織辞書)</f>
        <v>1</v>
      </c>
      <c r="D16" s="138" t="s">
        <v>1547</v>
      </c>
      <c r="F16" s="138">
        <v>0</v>
      </c>
      <c r="G16" s="138"/>
      <c r="H16" s="138"/>
      <c r="I16" s="138"/>
      <c r="K16" s="149" t="s">
        <v>1085</v>
      </c>
      <c r="L16" s="150"/>
      <c r="M16" s="150"/>
    </row>
    <row r="17" spans="1:13" ht="18.75" customHeight="1">
      <c r="D17" s="138" t="s">
        <v>1553</v>
      </c>
      <c r="F17" s="138">
        <v>0</v>
      </c>
      <c r="G17" s="138"/>
      <c r="H17" s="138"/>
      <c r="I17" s="138"/>
      <c r="K17" s="149" t="s">
        <v>116</v>
      </c>
      <c r="L17" s="150"/>
      <c r="M17" s="150"/>
    </row>
    <row r="18" spans="1:13" ht="18.75" customHeight="1">
      <c r="D18" s="138" t="s">
        <v>1554</v>
      </c>
      <c r="F18" s="138">
        <v>0</v>
      </c>
      <c r="G18" s="138"/>
      <c r="H18" s="138"/>
      <c r="I18" s="138"/>
    </row>
    <row r="19" spans="1:13" ht="18.75" customHeight="1">
      <c r="A19" s="143" t="s">
        <v>1499</v>
      </c>
      <c r="B19" s="157"/>
      <c r="D19" s="138" t="s">
        <v>1558</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1560</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1569</v>
      </c>
      <c r="E2" s="159"/>
      <c r="F2" s="159"/>
      <c r="G2" s="159"/>
      <c r="H2" s="159"/>
      <c r="I2" s="159"/>
    </row>
    <row r="3" spans="1:9" ht="18.75">
      <c r="D3" s="159" t="s">
        <v>1570</v>
      </c>
      <c r="E3" s="159" t="s">
        <v>68</v>
      </c>
      <c r="F3" s="159" t="s">
        <v>1571</v>
      </c>
      <c r="G3" s="159" t="s">
        <v>1572</v>
      </c>
      <c r="H3" s="159"/>
      <c r="I3" s="159"/>
    </row>
    <row r="4" spans="1:9" ht="18.75">
      <c r="D4" s="159" t="s">
        <v>1573</v>
      </c>
      <c r="E4" s="159"/>
      <c r="F4" s="159"/>
      <c r="G4" s="159"/>
      <c r="H4" s="159"/>
      <c r="I4" s="159"/>
    </row>
    <row r="5" spans="1:9" ht="18.75">
      <c r="D5" s="159" t="s">
        <v>514</v>
      </c>
      <c r="E5" s="159" t="s">
        <v>1574</v>
      </c>
      <c r="F5" s="159"/>
      <c r="G5" s="159"/>
      <c r="H5" s="159"/>
      <c r="I5" s="159"/>
    </row>
    <row r="6" spans="1:9" ht="18.75">
      <c r="D6" s="159" t="s">
        <v>1575</v>
      </c>
      <c r="E6" s="159" t="s">
        <v>79</v>
      </c>
      <c r="F6" s="159"/>
      <c r="G6" s="159"/>
      <c r="H6" s="159"/>
      <c r="I6" s="159"/>
    </row>
    <row r="7" spans="1:9" ht="18.75">
      <c r="D7" s="159" t="s">
        <v>780</v>
      </c>
      <c r="E7" s="159" t="s">
        <v>1576</v>
      </c>
      <c r="F7" s="159"/>
      <c r="G7" s="159"/>
      <c r="H7" s="159"/>
      <c r="I7" s="159"/>
    </row>
    <row r="8" spans="1:9" ht="18.75">
      <c r="D8" s="159" t="s">
        <v>1577</v>
      </c>
      <c r="E8" s="159" t="s">
        <v>1578</v>
      </c>
      <c r="F8" s="159"/>
      <c r="G8" s="159"/>
      <c r="H8" s="159"/>
      <c r="I8" s="159"/>
    </row>
    <row r="9" spans="1:9" ht="18.75">
      <c r="D9" s="159" t="s">
        <v>639</v>
      </c>
      <c r="E9" s="159" t="s">
        <v>1579</v>
      </c>
      <c r="F9" s="159" t="s">
        <v>1580</v>
      </c>
      <c r="G9" s="159" t="s">
        <v>1581</v>
      </c>
      <c r="H9" s="159"/>
      <c r="I9" s="159"/>
    </row>
    <row r="10" spans="1:9" ht="18.75">
      <c r="D10" s="159" t="s">
        <v>105</v>
      </c>
      <c r="E10" s="159"/>
      <c r="F10" s="159"/>
      <c r="G10" s="159"/>
      <c r="H10" s="159"/>
      <c r="I10" s="159"/>
    </row>
    <row r="11" spans="1:9" ht="18.75">
      <c r="D11" s="159" t="s">
        <v>1582</v>
      </c>
      <c r="E11" s="159"/>
      <c r="F11" s="159"/>
      <c r="G11" s="159"/>
      <c r="H11" s="159"/>
      <c r="I11" s="159"/>
    </row>
    <row r="12" spans="1:9" ht="18.75">
      <c r="D12" s="159" t="s">
        <v>28</v>
      </c>
      <c r="E12" s="159"/>
      <c r="F12" s="159"/>
      <c r="G12" s="159"/>
      <c r="H12" s="159"/>
      <c r="I12" s="159"/>
    </row>
    <row r="13" spans="1:9" ht="18.75">
      <c r="D13" s="159" t="s">
        <v>1583</v>
      </c>
      <c r="E13" s="159" t="s">
        <v>1584</v>
      </c>
      <c r="F13" s="159" t="s">
        <v>1585</v>
      </c>
      <c r="G13" s="159" t="s">
        <v>1586</v>
      </c>
      <c r="H13" s="159"/>
      <c r="I13" s="159"/>
    </row>
    <row r="14" spans="1:9" ht="18.75">
      <c r="D14" s="159" t="s">
        <v>903</v>
      </c>
      <c r="E14" s="159"/>
      <c r="F14" s="159"/>
      <c r="G14" s="159"/>
      <c r="H14" s="159"/>
      <c r="I14" s="159"/>
    </row>
    <row r="15" spans="1:9" ht="18.75">
      <c r="D15" s="159" t="s">
        <v>1587</v>
      </c>
      <c r="E15" s="159" t="s">
        <v>124</v>
      </c>
      <c r="F15" s="159"/>
      <c r="G15" s="159"/>
      <c r="H15" s="159"/>
      <c r="I15" s="159"/>
    </row>
    <row r="16" spans="1:9" ht="18.75">
      <c r="D16" s="159" t="s">
        <v>999</v>
      </c>
      <c r="E16" s="159"/>
      <c r="F16" s="159"/>
      <c r="G16" s="159"/>
      <c r="H16" s="159"/>
      <c r="I16" s="159"/>
    </row>
    <row r="17" spans="4:9" ht="18.75">
      <c r="D17" s="159" t="s">
        <v>1588</v>
      </c>
      <c r="E17" s="159"/>
      <c r="F17" s="159"/>
      <c r="G17" s="159"/>
      <c r="H17" s="159"/>
      <c r="I17" s="159"/>
    </row>
    <row r="18" spans="4:9" ht="18.75">
      <c r="D18" s="159" t="s">
        <v>222</v>
      </c>
      <c r="E18" s="159"/>
      <c r="F18" s="159"/>
      <c r="G18" s="159"/>
      <c r="H18" s="159"/>
      <c r="I18" s="159"/>
    </row>
    <row r="19" spans="4:9" ht="18.75">
      <c r="D19" s="159" t="s">
        <v>1589</v>
      </c>
      <c r="E19" s="159"/>
      <c r="F19" s="159"/>
      <c r="G19" s="159"/>
      <c r="H19" s="159"/>
      <c r="I19" s="159"/>
    </row>
    <row r="20" spans="4:9" ht="18.75">
      <c r="D20" s="159" t="s">
        <v>826</v>
      </c>
      <c r="E20" s="159" t="s">
        <v>1590</v>
      </c>
      <c r="F20" s="159" t="s">
        <v>1591</v>
      </c>
      <c r="G20" s="159" t="s">
        <v>1592</v>
      </c>
      <c r="H20" s="159"/>
      <c r="I20" s="159"/>
    </row>
    <row r="21" spans="4:9" ht="18.75">
      <c r="D21" s="159" t="s">
        <v>167</v>
      </c>
      <c r="E21" s="159" t="s">
        <v>1593</v>
      </c>
      <c r="F21" s="159"/>
      <c r="G21" s="159"/>
      <c r="H21" s="159"/>
      <c r="I21" s="159"/>
    </row>
    <row r="22" spans="4:9" ht="18.75">
      <c r="D22" s="159" t="s">
        <v>985</v>
      </c>
      <c r="E22" s="159" t="s">
        <v>1594</v>
      </c>
      <c r="F22" s="159"/>
      <c r="G22" s="159"/>
      <c r="H22" s="159"/>
      <c r="I22" s="159"/>
    </row>
    <row r="23" spans="4:9" ht="18.75">
      <c r="D23" s="159" t="s">
        <v>669</v>
      </c>
      <c r="E23" s="159"/>
      <c r="F23" s="159"/>
      <c r="G23" s="159"/>
      <c r="H23" s="159"/>
      <c r="I23" s="159"/>
    </row>
    <row r="24" spans="4:9" ht="18.75">
      <c r="D24" s="159" t="s">
        <v>1595</v>
      </c>
      <c r="E24" s="159" t="s">
        <v>1596</v>
      </c>
      <c r="F24" s="159"/>
      <c r="G24" s="159"/>
      <c r="H24" s="159"/>
      <c r="I24" s="159"/>
    </row>
    <row r="25" spans="4:9" ht="18.75">
      <c r="D25" s="159" t="s">
        <v>1597</v>
      </c>
      <c r="E25" s="159"/>
      <c r="F25" s="159"/>
      <c r="G25" s="159"/>
      <c r="H25" s="159"/>
      <c r="I25" s="159"/>
    </row>
    <row r="26" spans="4:9" ht="18.75">
      <c r="D26" s="159" t="s">
        <v>378</v>
      </c>
      <c r="E26" s="159"/>
      <c r="F26" s="159"/>
      <c r="G26" s="159"/>
      <c r="H26" s="159"/>
      <c r="I26" s="159"/>
    </row>
    <row r="27" spans="4:9" ht="18.75">
      <c r="D27" s="159" t="s">
        <v>1598</v>
      </c>
      <c r="E27" s="159"/>
      <c r="F27" s="159"/>
      <c r="G27" s="159"/>
      <c r="H27" s="159"/>
      <c r="I27" s="159"/>
    </row>
    <row r="28" spans="4:9" ht="18.75">
      <c r="D28" s="159" t="s">
        <v>1599</v>
      </c>
      <c r="E28" s="159" t="s">
        <v>1600</v>
      </c>
      <c r="F28" s="159"/>
      <c r="G28" s="159"/>
      <c r="H28" s="159"/>
      <c r="I28" s="159"/>
    </row>
    <row r="29" spans="4:9" ht="18.75">
      <c r="D29" s="159" t="s">
        <v>1601</v>
      </c>
      <c r="E29" s="159"/>
      <c r="F29" s="159"/>
      <c r="G29" s="159"/>
      <c r="H29" s="159"/>
      <c r="I29" s="159"/>
    </row>
    <row r="30" spans="4:9" ht="18.75">
      <c r="D30" s="159" t="s">
        <v>1602</v>
      </c>
      <c r="E30" s="159" t="s">
        <v>1603</v>
      </c>
      <c r="F30" s="159"/>
      <c r="G30" s="159"/>
      <c r="H30" s="159"/>
      <c r="I30" s="159"/>
    </row>
    <row r="31" spans="4:9" ht="18.75">
      <c r="D31" s="159" t="s">
        <v>1604</v>
      </c>
      <c r="E31" s="159"/>
      <c r="F31" s="159"/>
      <c r="G31" s="159"/>
      <c r="H31" s="159"/>
      <c r="I31" s="159"/>
    </row>
    <row r="32" spans="4:9" ht="18.75">
      <c r="D32" s="159" t="s">
        <v>1605</v>
      </c>
      <c r="E32" s="159"/>
      <c r="F32" s="159"/>
      <c r="G32" s="159"/>
      <c r="H32" s="159"/>
      <c r="I32" s="159"/>
    </row>
    <row r="33" spans="4:9" ht="18.75">
      <c r="D33" s="159" t="s">
        <v>1606</v>
      </c>
      <c r="E33" s="159" t="s">
        <v>1607</v>
      </c>
      <c r="F33" s="159"/>
      <c r="G33" s="159"/>
      <c r="H33" s="159"/>
      <c r="I33" s="159"/>
    </row>
    <row r="34" spans="4:9" ht="18.75">
      <c r="D34" s="159" t="s">
        <v>1608</v>
      </c>
      <c r="E34" s="159" t="s">
        <v>1609</v>
      </c>
      <c r="F34" s="159"/>
      <c r="G34" s="159"/>
      <c r="H34" s="159"/>
      <c r="I34" s="159"/>
    </row>
    <row r="35" spans="4:9" ht="18.75">
      <c r="D35" s="159" t="s">
        <v>1610</v>
      </c>
      <c r="E35" s="159"/>
      <c r="F35" s="159"/>
      <c r="G35" s="159"/>
      <c r="H35" s="159"/>
      <c r="I35" s="159"/>
    </row>
    <row r="36" spans="4:9" ht="18.75">
      <c r="D36" s="159" t="s">
        <v>795</v>
      </c>
      <c r="E36" s="159"/>
      <c r="F36" s="159"/>
      <c r="G36" s="159"/>
      <c r="H36" s="159"/>
      <c r="I36" s="159"/>
    </row>
    <row r="37" spans="4:9" ht="18.75">
      <c r="D37" s="159" t="s">
        <v>1611</v>
      </c>
      <c r="E37" s="159"/>
      <c r="F37" s="159"/>
      <c r="G37" s="159"/>
      <c r="H37" s="159"/>
      <c r="I37" s="159"/>
    </row>
    <row r="38" spans="4:9" ht="18.75">
      <c r="D38" s="159" t="s">
        <v>1612</v>
      </c>
      <c r="E38" s="159"/>
      <c r="F38" s="159"/>
      <c r="G38" s="159"/>
      <c r="H38" s="159"/>
      <c r="I38" s="159"/>
    </row>
    <row r="39" spans="4:9" ht="18.75">
      <c r="D39" s="159" t="s">
        <v>99</v>
      </c>
      <c r="E39" s="159" t="s">
        <v>1613</v>
      </c>
      <c r="F39" s="159"/>
      <c r="G39" s="159"/>
      <c r="H39" s="159"/>
      <c r="I39" s="159"/>
    </row>
    <row r="40" spans="4:9" ht="18.75">
      <c r="D40" s="159" t="s">
        <v>1037</v>
      </c>
      <c r="E40" s="159" t="s">
        <v>1614</v>
      </c>
      <c r="F40" s="159"/>
      <c r="G40" s="159"/>
      <c r="H40" s="159"/>
      <c r="I40" s="159"/>
    </row>
    <row r="41" spans="4:9" ht="18.75">
      <c r="D41" s="159" t="s">
        <v>1615</v>
      </c>
      <c r="E41" s="159" t="s">
        <v>1616</v>
      </c>
      <c r="F41" s="159"/>
      <c r="G41" s="159"/>
      <c r="H41" s="159"/>
      <c r="I41" s="159"/>
    </row>
    <row r="42" spans="4:9" ht="18.75">
      <c r="D42" s="159" t="s">
        <v>1617</v>
      </c>
      <c r="E42" s="159" t="s">
        <v>1618</v>
      </c>
      <c r="F42" s="159"/>
      <c r="G42" s="159"/>
      <c r="H42" s="159"/>
      <c r="I42" s="159"/>
    </row>
    <row r="43" spans="4:9" ht="18.75">
      <c r="D43" s="159" t="s">
        <v>1619</v>
      </c>
      <c r="E43" s="159"/>
      <c r="F43" s="159"/>
      <c r="G43" s="159"/>
      <c r="H43" s="159"/>
      <c r="I43" s="159"/>
    </row>
    <row r="44" spans="4:9" ht="18.75">
      <c r="D44" s="159" t="s">
        <v>1620</v>
      </c>
      <c r="E44" s="159"/>
      <c r="F44" s="159"/>
      <c r="G44" s="159"/>
      <c r="H44" s="159"/>
      <c r="I44" s="159"/>
    </row>
    <row r="45" spans="4:9" ht="18.75">
      <c r="D45" s="159" t="s">
        <v>1621</v>
      </c>
      <c r="E45" s="159"/>
      <c r="F45" s="159"/>
      <c r="G45" s="159"/>
      <c r="H45" s="159"/>
      <c r="I45" s="159"/>
    </row>
    <row r="46" spans="4:9" ht="18.75">
      <c r="D46" s="159" t="s">
        <v>1622</v>
      </c>
      <c r="E46" s="159" t="s">
        <v>1623</v>
      </c>
      <c r="F46" s="159" t="s">
        <v>1624</v>
      </c>
      <c r="G46" s="159" t="s">
        <v>1625</v>
      </c>
      <c r="H46" s="159" t="s">
        <v>1626</v>
      </c>
      <c r="I46" s="159" t="s">
        <v>1627</v>
      </c>
    </row>
    <row r="47" spans="4:9" ht="18.75">
      <c r="D47" s="159" t="s">
        <v>1628</v>
      </c>
      <c r="E47" s="159" t="s">
        <v>1629</v>
      </c>
      <c r="F47" s="159"/>
      <c r="G47" s="159"/>
      <c r="H47" s="159"/>
      <c r="I47" s="159"/>
    </row>
    <row r="48" spans="4:9" ht="18.75">
      <c r="D48" s="159" t="s">
        <v>1630</v>
      </c>
      <c r="E48" s="159" t="s">
        <v>1631</v>
      </c>
      <c r="F48" s="159"/>
      <c r="G48" s="159"/>
      <c r="H48" s="159"/>
      <c r="I48" s="159"/>
    </row>
    <row r="49" spans="4:9" ht="18.75">
      <c r="D49" s="159" t="s">
        <v>1632</v>
      </c>
      <c r="E49" s="159" t="s">
        <v>1633</v>
      </c>
      <c r="F49" s="159"/>
      <c r="G49" s="159"/>
      <c r="H49" s="159"/>
      <c r="I49" s="159"/>
    </row>
    <row r="50" spans="4:9" ht="18.75">
      <c r="D50" s="159" t="s">
        <v>1634</v>
      </c>
      <c r="E50" s="159"/>
      <c r="F50" s="159"/>
      <c r="G50" s="159"/>
      <c r="H50" s="159"/>
      <c r="I50" s="159"/>
    </row>
    <row r="51" spans="4:9" ht="18.75">
      <c r="D51" s="159" t="s">
        <v>1635</v>
      </c>
      <c r="E51" s="159"/>
      <c r="F51" s="159"/>
      <c r="G51" s="159"/>
      <c r="H51" s="159"/>
      <c r="I51" s="159"/>
    </row>
    <row r="52" spans="4:9" ht="18.75">
      <c r="D52" s="159" t="s">
        <v>1636</v>
      </c>
      <c r="E52" s="159"/>
      <c r="F52" s="159"/>
      <c r="G52" s="159"/>
      <c r="H52" s="159"/>
      <c r="I52" s="159"/>
    </row>
    <row r="53" spans="4:9" ht="18.75">
      <c r="D53" s="159" t="s">
        <v>1637</v>
      </c>
      <c r="E53" s="159"/>
      <c r="F53" s="159"/>
      <c r="G53" s="159"/>
      <c r="H53" s="159"/>
      <c r="I53" s="159"/>
    </row>
    <row r="54" spans="4:9" ht="18.75">
      <c r="D54" s="159" t="s">
        <v>189</v>
      </c>
      <c r="E54" s="159"/>
      <c r="F54" s="159"/>
      <c r="G54" s="159"/>
      <c r="H54" s="159"/>
      <c r="I54" s="159"/>
    </row>
    <row r="55" spans="4:9" ht="18.75">
      <c r="D55" s="159" t="s">
        <v>1638</v>
      </c>
      <c r="E55" s="159"/>
      <c r="F55" s="159"/>
      <c r="G55" s="159"/>
      <c r="H55" s="159"/>
      <c r="I55" s="159"/>
    </row>
    <row r="56" spans="4:9" ht="18.75">
      <c r="D56" s="159" t="s">
        <v>1639</v>
      </c>
      <c r="E56" s="159"/>
      <c r="F56" s="159"/>
      <c r="G56" s="159"/>
      <c r="H56" s="159"/>
      <c r="I56" s="159"/>
    </row>
    <row r="57" spans="4:9" ht="18.75">
      <c r="D57" s="159" t="s">
        <v>246</v>
      </c>
      <c r="E57" s="159"/>
      <c r="F57" s="159"/>
      <c r="G57" s="159"/>
      <c r="H57" s="159"/>
      <c r="I57" s="159"/>
    </row>
    <row r="58" spans="4:9" ht="18.75">
      <c r="D58" s="159" t="s">
        <v>1640</v>
      </c>
      <c r="E58" s="159" t="s">
        <v>1641</v>
      </c>
      <c r="F58" s="159"/>
      <c r="G58" s="159"/>
      <c r="H58" s="159"/>
      <c r="I58" s="159"/>
    </row>
    <row r="59" spans="4:9" ht="18.75">
      <c r="D59" s="159" t="s">
        <v>1642</v>
      </c>
      <c r="E59" s="159"/>
      <c r="F59" s="159"/>
      <c r="G59" s="159"/>
      <c r="H59" s="159"/>
      <c r="I59" s="159"/>
    </row>
    <row r="60" spans="4:9" ht="18.75">
      <c r="D60" s="159" t="s">
        <v>1643</v>
      </c>
      <c r="E60" s="159"/>
      <c r="F60" s="159"/>
      <c r="G60" s="159"/>
      <c r="H60" s="159"/>
      <c r="I60" s="159"/>
    </row>
    <row r="61" spans="4:9" ht="18.75">
      <c r="D61" s="159" t="s">
        <v>1644</v>
      </c>
      <c r="E61" s="159"/>
      <c r="F61" s="159"/>
      <c r="G61" s="159"/>
      <c r="H61" s="159"/>
      <c r="I61" s="159"/>
    </row>
    <row r="62" spans="4:9" ht="18.75">
      <c r="D62" s="159" t="s">
        <v>1645</v>
      </c>
      <c r="E62" s="159"/>
      <c r="F62" s="159"/>
      <c r="G62" s="159"/>
      <c r="H62" s="159"/>
      <c r="I62" s="159"/>
    </row>
    <row r="63" spans="4:9" ht="18.75">
      <c r="D63" s="159" t="s">
        <v>710</v>
      </c>
      <c r="E63" s="159"/>
      <c r="F63" s="159"/>
      <c r="G63" s="159"/>
      <c r="H63" s="159"/>
      <c r="I63" s="159"/>
    </row>
    <row r="64" spans="4:9" ht="18.75">
      <c r="D64" s="159" t="s">
        <v>1646</v>
      </c>
      <c r="E64" s="159" t="s">
        <v>1647</v>
      </c>
      <c r="F64" s="159"/>
      <c r="G64" s="159"/>
      <c r="H64" s="159"/>
      <c r="I64" s="159"/>
    </row>
    <row r="65" spans="4:9" ht="18.75">
      <c r="D65" s="159" t="s">
        <v>1648</v>
      </c>
      <c r="E65" s="159" t="s">
        <v>1649</v>
      </c>
      <c r="F65" s="159"/>
      <c r="G65" s="159"/>
      <c r="H65" s="159"/>
      <c r="I65" s="159"/>
    </row>
    <row r="66" spans="4:9" ht="18.75">
      <c r="D66" s="159" t="s">
        <v>1650</v>
      </c>
      <c r="E66" s="159"/>
      <c r="F66" s="159"/>
      <c r="G66" s="159"/>
      <c r="H66" s="159"/>
      <c r="I66" s="159"/>
    </row>
    <row r="67" spans="4:9" ht="18.75">
      <c r="D67" s="159" t="s">
        <v>1651</v>
      </c>
      <c r="E67" s="159"/>
      <c r="F67" s="159"/>
      <c r="G67" s="159"/>
      <c r="H67" s="159"/>
      <c r="I67" s="159"/>
    </row>
    <row r="68" spans="4:9" ht="18.75">
      <c r="D68" s="159" t="s">
        <v>1652</v>
      </c>
      <c r="E68" s="159"/>
      <c r="F68" s="159"/>
      <c r="G68" s="159"/>
      <c r="H68" s="159"/>
      <c r="I68" s="159"/>
    </row>
    <row r="69" spans="4:9" ht="18.75">
      <c r="D69" s="159" t="s">
        <v>1653</v>
      </c>
      <c r="E69" s="159"/>
      <c r="F69" s="159"/>
      <c r="G69" s="159"/>
      <c r="H69" s="159"/>
      <c r="I69" s="159"/>
    </row>
    <row r="70" spans="4:9" ht="18.75">
      <c r="D70" s="159" t="s">
        <v>1654</v>
      </c>
      <c r="E70" s="159"/>
      <c r="F70" s="159"/>
      <c r="G70" s="159"/>
      <c r="H70" s="159"/>
      <c r="I70" s="159"/>
    </row>
    <row r="71" spans="4:9" ht="18.75">
      <c r="D71" s="159" t="s">
        <v>1655</v>
      </c>
      <c r="E71" s="159"/>
      <c r="F71" s="159"/>
      <c r="G71" s="159"/>
      <c r="H71" s="159"/>
      <c r="I71" s="159"/>
    </row>
    <row r="72" spans="4:9" ht="18.75">
      <c r="D72" s="159" t="s">
        <v>1656</v>
      </c>
      <c r="E72" s="159"/>
      <c r="F72" s="159"/>
      <c r="G72" s="159"/>
      <c r="H72" s="159"/>
      <c r="I72" s="159"/>
    </row>
    <row r="73" spans="4:9" ht="18.75">
      <c r="D73" s="159" t="s">
        <v>1657</v>
      </c>
      <c r="E73" s="159"/>
      <c r="F73" s="159"/>
      <c r="G73" s="159"/>
      <c r="H73" s="159"/>
      <c r="I73" s="159"/>
    </row>
    <row r="74" spans="4:9" ht="18.75">
      <c r="D74" s="159" t="s">
        <v>1658</v>
      </c>
      <c r="E74" s="159" t="s">
        <v>1659</v>
      </c>
      <c r="F74" s="159"/>
      <c r="G74" s="159"/>
      <c r="H74" s="159"/>
      <c r="I74" s="159"/>
    </row>
    <row r="75" spans="4:9" ht="18.75">
      <c r="D75" s="159" t="s">
        <v>1660</v>
      </c>
      <c r="E75" s="159" t="s">
        <v>1661</v>
      </c>
      <c r="F75" s="159"/>
      <c r="G75" s="159"/>
      <c r="H75" s="159"/>
      <c r="I75" s="159"/>
    </row>
    <row r="76" spans="4:9" ht="18.75">
      <c r="D76" s="159" t="s">
        <v>1662</v>
      </c>
      <c r="E76" s="167" t="s">
        <v>1663</v>
      </c>
      <c r="F76" s="168"/>
      <c r="G76" s="159"/>
      <c r="H76" s="159"/>
      <c r="I76" s="159"/>
    </row>
    <row r="77" spans="4:9" ht="18.75">
      <c r="D77" s="159" t="s">
        <v>1664</v>
      </c>
      <c r="E77" s="159" t="s">
        <v>1665</v>
      </c>
      <c r="F77" s="159"/>
      <c r="G77" s="159"/>
      <c r="H77" s="159"/>
      <c r="I77" s="159"/>
    </row>
    <row r="78" spans="4:9" ht="18.75">
      <c r="D78" s="159" t="s">
        <v>1666</v>
      </c>
      <c r="E78" s="159" t="s">
        <v>1667</v>
      </c>
      <c r="F78" s="159"/>
      <c r="G78" s="159"/>
      <c r="H78" s="159"/>
      <c r="I78" s="159"/>
    </row>
    <row r="79" spans="4:9" ht="18.75">
      <c r="D79" s="159" t="s">
        <v>1668</v>
      </c>
      <c r="E79" s="159"/>
      <c r="F79" s="159"/>
      <c r="G79" s="159"/>
      <c r="H79" s="159"/>
      <c r="I79" s="159"/>
    </row>
    <row r="80" spans="4:9" ht="18.75">
      <c r="D80" s="159" t="s">
        <v>1669</v>
      </c>
      <c r="E80" s="159"/>
      <c r="F80" s="159"/>
      <c r="G80" s="159"/>
      <c r="H80" s="159"/>
      <c r="I80" s="159"/>
    </row>
    <row r="81" spans="4:9" ht="18.75">
      <c r="D81" s="159" t="s">
        <v>1670</v>
      </c>
      <c r="E81" s="159"/>
      <c r="F81" s="159"/>
      <c r="G81" s="159"/>
      <c r="H81" s="159"/>
      <c r="I81" s="159"/>
    </row>
    <row r="82" spans="4:9" ht="18.75">
      <c r="D82" s="159" t="s">
        <v>1671</v>
      </c>
      <c r="E82" s="159"/>
      <c r="F82" s="159"/>
      <c r="G82" s="159"/>
      <c r="H82" s="159"/>
      <c r="I82" s="159"/>
    </row>
    <row r="83" spans="4:9" ht="18.75">
      <c r="D83" s="159" t="s">
        <v>1672</v>
      </c>
      <c r="E83" s="159" t="s">
        <v>1673</v>
      </c>
      <c r="F83" s="159"/>
      <c r="G83" s="159"/>
      <c r="H83" s="159"/>
      <c r="I83" s="159"/>
    </row>
    <row r="84" spans="4:9" ht="18.75">
      <c r="D84" s="159" t="s">
        <v>1674</v>
      </c>
      <c r="E84" s="159" t="s">
        <v>1675</v>
      </c>
      <c r="F84" s="159"/>
      <c r="G84" s="159"/>
      <c r="H84" s="159"/>
      <c r="I84" s="159"/>
    </row>
    <row r="85" spans="4:9" ht="18.75">
      <c r="D85" s="159" t="s">
        <v>1676</v>
      </c>
      <c r="E85" s="159"/>
      <c r="F85" s="159"/>
      <c r="G85" s="159"/>
      <c r="H85" s="159"/>
      <c r="I85" s="159"/>
    </row>
    <row r="86" spans="4:9" ht="18.75">
      <c r="D86" s="159" t="s">
        <v>1677</v>
      </c>
      <c r="E86" s="159" t="s">
        <v>1678</v>
      </c>
      <c r="F86" s="159"/>
      <c r="G86" s="159"/>
      <c r="H86" s="159"/>
      <c r="I86" s="159"/>
    </row>
    <row r="87" spans="4:9" ht="18.75">
      <c r="D87" s="159" t="s">
        <v>1679</v>
      </c>
      <c r="E87" s="159" t="s">
        <v>1680</v>
      </c>
      <c r="F87" s="159"/>
      <c r="G87" s="159"/>
      <c r="H87" s="159"/>
      <c r="I87" s="159"/>
    </row>
    <row r="88" spans="4:9" ht="18.75">
      <c r="D88" s="159" t="s">
        <v>1681</v>
      </c>
      <c r="E88" s="159" t="s">
        <v>1682</v>
      </c>
      <c r="F88" s="159" t="s">
        <v>1683</v>
      </c>
      <c r="G88" s="159" t="s">
        <v>1684</v>
      </c>
      <c r="H88" s="167" t="s">
        <v>1685</v>
      </c>
      <c r="I88" s="168"/>
    </row>
    <row r="89" spans="4:9" ht="18.75">
      <c r="D89" s="159" t="s">
        <v>1686</v>
      </c>
      <c r="E89" s="159"/>
      <c r="F89" s="159"/>
      <c r="G89" s="159"/>
      <c r="H89" s="159"/>
      <c r="I89" s="159"/>
    </row>
    <row r="90" spans="4:9" ht="18.75">
      <c r="D90" s="159" t="s">
        <v>1687</v>
      </c>
      <c r="E90" s="159"/>
      <c r="F90" s="159"/>
      <c r="G90" s="159"/>
      <c r="H90" s="159"/>
      <c r="I90" s="159"/>
    </row>
    <row r="91" spans="4:9" ht="18.75">
      <c r="D91" s="159" t="s">
        <v>1688</v>
      </c>
      <c r="E91" s="159"/>
      <c r="F91" s="159"/>
      <c r="G91" s="159"/>
      <c r="H91" s="159"/>
      <c r="I91" s="159"/>
    </row>
    <row r="92" spans="4:9" ht="18.75">
      <c r="D92" s="159" t="s">
        <v>1689</v>
      </c>
      <c r="E92" s="159" t="s">
        <v>1690</v>
      </c>
      <c r="F92" s="159"/>
      <c r="G92" s="159"/>
      <c r="H92" s="159"/>
      <c r="I92" s="159"/>
    </row>
    <row r="93" spans="4:9" ht="18.75">
      <c r="D93" s="159" t="s">
        <v>1691</v>
      </c>
      <c r="E93" s="159" t="s">
        <v>1692</v>
      </c>
      <c r="F93" s="159"/>
      <c r="G93" s="159"/>
      <c r="H93" s="159"/>
      <c r="I93" s="159"/>
    </row>
    <row r="94" spans="4:9" ht="18.75">
      <c r="D94" s="159" t="s">
        <v>1693</v>
      </c>
      <c r="E94" s="159" t="s">
        <v>1694</v>
      </c>
      <c r="F94" s="159"/>
      <c r="G94" s="159"/>
      <c r="H94" s="159"/>
      <c r="I94" s="159"/>
    </row>
    <row r="95" spans="4:9" ht="18.75">
      <c r="D95" s="159" t="s">
        <v>1695</v>
      </c>
      <c r="E95" s="159" t="s">
        <v>1696</v>
      </c>
      <c r="F95" s="159" t="s">
        <v>1697</v>
      </c>
      <c r="G95" s="159" t="s">
        <v>1698</v>
      </c>
      <c r="H95" s="159" t="s">
        <v>1699</v>
      </c>
      <c r="I95" s="159"/>
    </row>
    <row r="96" spans="4:9" ht="18.75">
      <c r="D96" s="159" t="s">
        <v>1700</v>
      </c>
      <c r="E96" s="159"/>
      <c r="F96" s="159"/>
      <c r="G96" s="159"/>
      <c r="H96" s="159"/>
      <c r="I96" s="159"/>
    </row>
    <row r="97" spans="4:9" ht="18.75">
      <c r="D97" s="159" t="s">
        <v>1701</v>
      </c>
      <c r="E97" s="159"/>
      <c r="F97" s="159"/>
      <c r="G97" s="159"/>
      <c r="H97" s="159"/>
      <c r="I97" s="159"/>
    </row>
    <row r="98" spans="4:9" ht="18.75">
      <c r="D98" s="159" t="s">
        <v>1702</v>
      </c>
      <c r="E98" s="159" t="s">
        <v>1703</v>
      </c>
      <c r="F98" s="159"/>
      <c r="G98" s="159"/>
      <c r="H98" s="159"/>
      <c r="I98" s="159"/>
    </row>
    <row r="99" spans="4:9" ht="18.75">
      <c r="D99" s="159" t="s">
        <v>1704</v>
      </c>
      <c r="E99" s="159"/>
      <c r="F99" s="159"/>
      <c r="G99" s="159"/>
      <c r="H99" s="159"/>
      <c r="I99" s="159"/>
    </row>
    <row r="100" spans="4:9" ht="18.75">
      <c r="D100" s="159" t="s">
        <v>1705</v>
      </c>
      <c r="E100" s="159"/>
      <c r="F100" s="159"/>
      <c r="G100" s="159"/>
      <c r="H100" s="159"/>
      <c r="I100" s="159"/>
    </row>
    <row r="101" spans="4:9" ht="18.75">
      <c r="D101" s="159" t="s">
        <v>1706</v>
      </c>
      <c r="E101" s="159"/>
      <c r="F101" s="159"/>
      <c r="G101" s="159"/>
      <c r="H101" s="159"/>
      <c r="I101" s="159"/>
    </row>
    <row r="102" spans="4:9" ht="18.75">
      <c r="D102" s="159" t="s">
        <v>1707</v>
      </c>
      <c r="E102" s="159"/>
      <c r="F102" s="159"/>
      <c r="G102" s="159"/>
      <c r="H102" s="159"/>
      <c r="I102" s="159"/>
    </row>
    <row r="103" spans="4:9" ht="18.75">
      <c r="D103" s="159" t="s">
        <v>1708</v>
      </c>
      <c r="E103" s="159" t="s">
        <v>1709</v>
      </c>
      <c r="F103" s="159" t="s">
        <v>1710</v>
      </c>
      <c r="G103" s="159" t="s">
        <v>1711</v>
      </c>
      <c r="H103" s="159"/>
      <c r="I103" s="159"/>
    </row>
    <row r="104" spans="4:9" ht="18.75">
      <c r="D104" s="159" t="s">
        <v>1712</v>
      </c>
      <c r="E104" s="159" t="s">
        <v>1713</v>
      </c>
      <c r="F104" s="159"/>
      <c r="G104" s="159"/>
      <c r="H104" s="159"/>
      <c r="I104" s="159"/>
    </row>
    <row r="105" spans="4:9" ht="18.75">
      <c r="D105" s="159" t="s">
        <v>83</v>
      </c>
      <c r="E105" s="159"/>
      <c r="F105" s="159"/>
      <c r="G105" s="159"/>
      <c r="H105" s="159"/>
      <c r="I105" s="159"/>
    </row>
    <row r="106" spans="4:9" ht="18.75">
      <c r="D106" s="159" t="s">
        <v>1714</v>
      </c>
      <c r="E106" s="159"/>
      <c r="F106" s="159"/>
      <c r="G106" s="159"/>
      <c r="H106" s="159"/>
      <c r="I106" s="159"/>
    </row>
    <row r="107" spans="4:9" ht="18.75">
      <c r="D107" s="159" t="s">
        <v>1715</v>
      </c>
      <c r="E107" s="159"/>
      <c r="F107" s="159"/>
      <c r="G107" s="159"/>
      <c r="H107" s="159"/>
      <c r="I107" s="159"/>
    </row>
    <row r="108" spans="4:9" ht="18.75">
      <c r="D108" s="159" t="s">
        <v>1716</v>
      </c>
      <c r="E108" s="159"/>
      <c r="F108" s="159"/>
      <c r="G108" s="159"/>
      <c r="H108" s="159"/>
      <c r="I108" s="159"/>
    </row>
    <row r="109" spans="4:9" ht="18.75">
      <c r="D109" s="159" t="s">
        <v>1717</v>
      </c>
      <c r="E109" s="159"/>
      <c r="F109" s="159"/>
      <c r="G109" s="159"/>
      <c r="H109" s="159"/>
      <c r="I109" s="159"/>
    </row>
    <row r="110" spans="4:9" ht="18.75">
      <c r="D110" s="159" t="s">
        <v>1718</v>
      </c>
      <c r="E110" s="159" t="s">
        <v>1719</v>
      </c>
      <c r="F110" s="159" t="s">
        <v>1720</v>
      </c>
      <c r="G110" s="159" t="s">
        <v>1721</v>
      </c>
      <c r="H110" s="159"/>
      <c r="I110" s="159"/>
    </row>
    <row r="111" spans="4:9" ht="18.75">
      <c r="D111" s="159" t="s">
        <v>1722</v>
      </c>
      <c r="E111" s="159" t="s">
        <v>1723</v>
      </c>
      <c r="F111" s="159" t="s">
        <v>1724</v>
      </c>
      <c r="G111" s="159" t="s">
        <v>1725</v>
      </c>
      <c r="H111" s="159"/>
      <c r="I111" s="159"/>
    </row>
    <row r="112" spans="4:9" ht="18.75">
      <c r="D112" s="159" t="s">
        <v>1726</v>
      </c>
      <c r="E112" s="159" t="s">
        <v>1664</v>
      </c>
      <c r="F112" s="159" t="s">
        <v>1665</v>
      </c>
      <c r="G112" s="159"/>
      <c r="H112" s="159"/>
      <c r="I112" s="159"/>
    </row>
    <row r="113" spans="4:9" ht="18.75">
      <c r="D113" s="159" t="s">
        <v>1727</v>
      </c>
      <c r="E113" s="159"/>
      <c r="F113" s="159"/>
      <c r="G113" s="159"/>
      <c r="H113" s="159"/>
      <c r="I113" s="159"/>
    </row>
    <row r="114" spans="4:9" ht="18.75">
      <c r="D114" s="159" t="s">
        <v>1728</v>
      </c>
      <c r="E114" s="159" t="s">
        <v>1729</v>
      </c>
      <c r="F114" s="159"/>
      <c r="G114" s="159"/>
      <c r="H114" s="159"/>
      <c r="I114" s="159"/>
    </row>
    <row r="115" spans="4:9" ht="18.75">
      <c r="D115" s="159" t="s">
        <v>1730</v>
      </c>
      <c r="E115" s="159"/>
      <c r="F115" s="159"/>
      <c r="G115" s="159"/>
      <c r="H115" s="159"/>
      <c r="I115" s="159"/>
    </row>
    <row r="116" spans="4:9" ht="18.75">
      <c r="D116" s="167" t="s">
        <v>1731</v>
      </c>
      <c r="E116" s="168"/>
      <c r="F116" s="159"/>
      <c r="G116" s="159"/>
      <c r="H116" s="159"/>
      <c r="I116" s="159"/>
    </row>
    <row r="117" spans="4:9" ht="18.75">
      <c r="D117" s="159" t="s">
        <v>1732</v>
      </c>
      <c r="E117" s="159"/>
      <c r="F117" s="159"/>
      <c r="G117" s="159"/>
      <c r="H117" s="159"/>
      <c r="I117" s="159"/>
    </row>
    <row r="118" spans="4:9" ht="18.75">
      <c r="D118" s="159" t="s">
        <v>1733</v>
      </c>
      <c r="E118" s="159" t="s">
        <v>1734</v>
      </c>
      <c r="F118" s="159"/>
      <c r="G118" s="159"/>
      <c r="H118" s="159"/>
      <c r="I118" s="159"/>
    </row>
    <row r="119" spans="4:9" ht="18.75">
      <c r="D119" s="159" t="s">
        <v>1735</v>
      </c>
      <c r="E119" s="159" t="s">
        <v>1736</v>
      </c>
      <c r="F119" s="159"/>
      <c r="G119" s="159"/>
      <c r="H119" s="159"/>
      <c r="I119" s="159"/>
    </row>
    <row r="120" spans="4:9" ht="18.75">
      <c r="D120" s="159" t="s">
        <v>477</v>
      </c>
      <c r="E120" s="159" t="s">
        <v>450</v>
      </c>
      <c r="F120" s="159"/>
      <c r="G120" s="159"/>
      <c r="H120" s="159"/>
      <c r="I120" s="159"/>
    </row>
    <row r="121" spans="4:9" ht="18.75">
      <c r="D121" s="159" t="s">
        <v>44</v>
      </c>
      <c r="E121" s="159" t="s">
        <v>1737</v>
      </c>
      <c r="F121" s="159"/>
      <c r="G121" s="159"/>
      <c r="H121" s="159"/>
      <c r="I121" s="159"/>
    </row>
    <row r="122" spans="4:9" ht="18.75">
      <c r="D122" s="159" t="s">
        <v>1738</v>
      </c>
      <c r="E122" s="159"/>
      <c r="F122" s="159"/>
      <c r="G122" s="159"/>
      <c r="H122" s="159"/>
      <c r="I122" s="159"/>
    </row>
    <row r="123" spans="4:9" ht="18.75">
      <c r="D123" s="159" t="s">
        <v>1739</v>
      </c>
      <c r="E123" s="159" t="s">
        <v>1740</v>
      </c>
      <c r="F123" s="159"/>
      <c r="G123" s="159"/>
      <c r="H123" s="159"/>
      <c r="I123" s="159"/>
    </row>
    <row r="124" spans="4:9" ht="18.75">
      <c r="D124" s="159" t="s">
        <v>1741</v>
      </c>
      <c r="E124" s="159"/>
      <c r="F124" s="159"/>
      <c r="G124" s="159"/>
      <c r="H124" s="159"/>
      <c r="I124" s="159"/>
    </row>
    <row r="125" spans="4:9" ht="18.75">
      <c r="D125" s="159" t="s">
        <v>1742</v>
      </c>
      <c r="E125" s="159"/>
      <c r="F125" s="159"/>
      <c r="G125" s="159"/>
      <c r="H125" s="159"/>
      <c r="I125" s="159"/>
    </row>
    <row r="126" spans="4:9" ht="18.75">
      <c r="D126" s="159" t="s">
        <v>653</v>
      </c>
      <c r="E126" s="159" t="s">
        <v>37</v>
      </c>
      <c r="F126" s="159"/>
      <c r="G126" s="159"/>
      <c r="H126" s="159"/>
      <c r="I126" s="159"/>
    </row>
    <row r="127" spans="4:9" ht="18.75">
      <c r="D127" s="159" t="s">
        <v>1743</v>
      </c>
      <c r="E127" s="159" t="s">
        <v>1744</v>
      </c>
      <c r="F127" s="159"/>
      <c r="G127" s="159"/>
      <c r="H127" s="159"/>
      <c r="I127" s="159"/>
    </row>
    <row r="128" spans="4:9" ht="18.75">
      <c r="D128" s="159" t="s">
        <v>454</v>
      </c>
      <c r="E128" s="159"/>
      <c r="F128" s="159"/>
      <c r="G128" s="159"/>
      <c r="H128" s="159"/>
      <c r="I128" s="159"/>
    </row>
    <row r="129" spans="4:9" ht="18.75">
      <c r="D129" s="159" t="s">
        <v>1745</v>
      </c>
      <c r="E129" s="159"/>
      <c r="F129" s="159"/>
      <c r="G129" s="159"/>
      <c r="H129" s="159"/>
      <c r="I129" s="159"/>
    </row>
    <row r="130" spans="4:9" ht="18.75">
      <c r="D130" s="159" t="s">
        <v>1746</v>
      </c>
      <c r="E130" s="159"/>
      <c r="F130" s="159"/>
      <c r="G130" s="159"/>
      <c r="H130" s="159"/>
      <c r="I130" s="159"/>
    </row>
    <row r="131" spans="4:9" ht="18.75">
      <c r="D131" s="159" t="s">
        <v>1747</v>
      </c>
      <c r="E131" s="159"/>
      <c r="F131" s="159"/>
      <c r="G131" s="159"/>
      <c r="H131" s="159"/>
      <c r="I131" s="159"/>
    </row>
    <row r="132" spans="4:9" ht="18.75">
      <c r="D132" s="159" t="s">
        <v>1748</v>
      </c>
      <c r="E132" s="159"/>
      <c r="F132" s="159"/>
      <c r="G132" s="159"/>
      <c r="H132" s="159"/>
      <c r="I132" s="159"/>
    </row>
    <row r="133" spans="4:9" ht="18.75">
      <c r="D133" s="159" t="s">
        <v>1749</v>
      </c>
      <c r="E133" s="159"/>
      <c r="F133" s="159"/>
      <c r="G133" s="159"/>
      <c r="H133" s="159"/>
      <c r="I133" s="159"/>
    </row>
    <row r="134" spans="4:9" ht="18.75">
      <c r="D134" s="159" t="s">
        <v>1750</v>
      </c>
      <c r="E134" s="159"/>
      <c r="F134" s="159"/>
      <c r="G134" s="159"/>
      <c r="H134" s="159"/>
      <c r="I134" s="159"/>
    </row>
    <row r="135" spans="4:9" ht="18.75">
      <c r="D135" s="159" t="s">
        <v>1751</v>
      </c>
      <c r="E135" s="159"/>
      <c r="F135" s="159"/>
      <c r="G135" s="159"/>
      <c r="H135" s="159"/>
      <c r="I135" s="159"/>
    </row>
    <row r="136" spans="4:9" ht="18.75">
      <c r="D136" s="159" t="s">
        <v>1752</v>
      </c>
      <c r="E136" s="159" t="s">
        <v>1753</v>
      </c>
      <c r="F136" s="159"/>
      <c r="G136" s="159"/>
      <c r="H136" s="159"/>
      <c r="I136" s="159"/>
    </row>
    <row r="137" spans="4:9" ht="18.75">
      <c r="D137" s="159" t="s">
        <v>1754</v>
      </c>
      <c r="E137" s="159"/>
      <c r="F137" s="159"/>
      <c r="G137" s="159"/>
      <c r="H137" s="159"/>
      <c r="I137" s="159"/>
    </row>
    <row r="138" spans="4:9" ht="18.75">
      <c r="D138" s="159" t="s">
        <v>1755</v>
      </c>
      <c r="E138" s="159" t="s">
        <v>1756</v>
      </c>
      <c r="F138" s="159"/>
      <c r="G138" s="159"/>
      <c r="H138" s="159"/>
      <c r="I138" s="159"/>
    </row>
    <row r="139" spans="4:9" ht="18.75">
      <c r="D139" s="159" t="s">
        <v>1757</v>
      </c>
      <c r="E139" s="159"/>
      <c r="F139" s="159"/>
      <c r="G139" s="159"/>
      <c r="H139" s="159"/>
      <c r="I139" s="159"/>
    </row>
    <row r="140" spans="4:9" ht="18.75">
      <c r="D140" s="159" t="s">
        <v>1758</v>
      </c>
      <c r="E140" s="159" t="s">
        <v>1759</v>
      </c>
      <c r="F140" s="159"/>
      <c r="G140" s="159"/>
      <c r="H140" s="159"/>
      <c r="I140" s="159"/>
    </row>
    <row r="141" spans="4:9" ht="18.75">
      <c r="D141" s="159" t="s">
        <v>1760</v>
      </c>
      <c r="E141" s="159" t="s">
        <v>1761</v>
      </c>
      <c r="F141" s="159" t="s">
        <v>1762</v>
      </c>
      <c r="G141" s="159" t="s">
        <v>1763</v>
      </c>
      <c r="H141" s="159"/>
      <c r="I141" s="159"/>
    </row>
    <row r="142" spans="4:9" ht="18.75">
      <c r="D142" s="159" t="s">
        <v>1764</v>
      </c>
      <c r="E142" s="159"/>
      <c r="F142" s="159"/>
      <c r="G142" s="159"/>
      <c r="H142" s="159"/>
      <c r="I142" s="159"/>
    </row>
    <row r="143" spans="4:9" ht="18.75">
      <c r="D143" s="159" t="s">
        <v>1765</v>
      </c>
      <c r="E143" s="159"/>
      <c r="F143" s="159"/>
      <c r="G143" s="159"/>
      <c r="H143" s="159"/>
      <c r="I143" s="159"/>
    </row>
    <row r="144" spans="4:9" ht="18.75">
      <c r="D144" s="159" t="s">
        <v>1766</v>
      </c>
      <c r="E144" s="159"/>
      <c r="F144" s="159"/>
      <c r="G144" s="159"/>
      <c r="H144" s="159"/>
      <c r="I144" s="159"/>
    </row>
    <row r="145" spans="4:9" ht="18.75">
      <c r="D145" s="159" t="s">
        <v>1767</v>
      </c>
      <c r="E145" s="159"/>
      <c r="F145" s="159"/>
      <c r="G145" s="159"/>
      <c r="H145" s="159"/>
      <c r="I145" s="159"/>
    </row>
    <row r="146" spans="4:9" ht="18.75">
      <c r="D146" s="159" t="s">
        <v>1768</v>
      </c>
      <c r="E146" s="159"/>
      <c r="F146" s="159"/>
      <c r="G146" s="159"/>
      <c r="H146" s="159"/>
      <c r="I146" s="159"/>
    </row>
    <row r="147" spans="4:9" ht="18.75">
      <c r="D147" s="159" t="s">
        <v>1769</v>
      </c>
      <c r="E147" s="159"/>
      <c r="F147" s="159"/>
      <c r="G147" s="159"/>
      <c r="H147" s="159"/>
      <c r="I147" s="159"/>
    </row>
    <row r="148" spans="4:9" ht="18.75">
      <c r="D148" s="159" t="s">
        <v>1770</v>
      </c>
      <c r="E148" s="159"/>
      <c r="F148" s="159"/>
      <c r="G148" s="159"/>
      <c r="H148" s="159"/>
      <c r="I148" s="159"/>
    </row>
    <row r="149" spans="4:9" ht="18.75">
      <c r="D149" s="159" t="s">
        <v>1771</v>
      </c>
      <c r="E149" s="159"/>
      <c r="F149" s="159"/>
      <c r="G149" s="159"/>
      <c r="H149" s="159"/>
      <c r="I149" s="159"/>
    </row>
    <row r="150" spans="4:9" ht="18.75">
      <c r="D150" s="159" t="s">
        <v>1772</v>
      </c>
      <c r="E150" s="159" t="s">
        <v>1773</v>
      </c>
      <c r="F150" s="159"/>
      <c r="G150" s="159"/>
      <c r="H150" s="159"/>
      <c r="I150" s="159"/>
    </row>
    <row r="151" spans="4:9" ht="18.75">
      <c r="D151" s="159" t="s">
        <v>1774</v>
      </c>
      <c r="E151" s="159"/>
      <c r="F151" s="159"/>
      <c r="G151" s="159"/>
      <c r="H151" s="159"/>
      <c r="I151" s="159"/>
    </row>
    <row r="152" spans="4:9" ht="18.75">
      <c r="D152" s="159" t="s">
        <v>1775</v>
      </c>
      <c r="E152" s="159"/>
      <c r="F152" s="159"/>
      <c r="G152" s="159"/>
      <c r="H152" s="159"/>
      <c r="I152" s="159"/>
    </row>
    <row r="153" spans="4:9" ht="18.75">
      <c r="D153" s="159" t="s">
        <v>1776</v>
      </c>
      <c r="E153" s="159"/>
      <c r="F153" s="159"/>
      <c r="G153" s="159"/>
      <c r="H153" s="159"/>
      <c r="I153" s="159"/>
    </row>
    <row r="154" spans="4:9" ht="18.75">
      <c r="D154" s="159" t="s">
        <v>1777</v>
      </c>
      <c r="E154" s="159" t="s">
        <v>1778</v>
      </c>
      <c r="F154" s="159" t="s">
        <v>1779</v>
      </c>
      <c r="G154" s="159"/>
      <c r="H154" s="159"/>
      <c r="I154" s="159"/>
    </row>
    <row r="155" spans="4:9" ht="18.75">
      <c r="D155" s="159" t="s">
        <v>1780</v>
      </c>
      <c r="E155" s="160" t="s">
        <v>1781</v>
      </c>
      <c r="F155" s="159" t="s">
        <v>1782</v>
      </c>
      <c r="G155" s="159" t="s">
        <v>1783</v>
      </c>
      <c r="H155" s="159"/>
      <c r="I155" s="159"/>
    </row>
    <row r="156" spans="4:9" ht="18.75">
      <c r="D156" s="159" t="s">
        <v>1784</v>
      </c>
      <c r="E156" s="159"/>
      <c r="F156" s="159"/>
      <c r="G156" s="159"/>
      <c r="H156" s="159"/>
      <c r="I156" s="159"/>
    </row>
    <row r="157" spans="4:9" ht="18.75">
      <c r="D157" s="159" t="s">
        <v>1785</v>
      </c>
      <c r="E157" s="159"/>
      <c r="F157" s="159"/>
      <c r="G157" s="159"/>
      <c r="H157" s="159"/>
      <c r="I157" s="159"/>
    </row>
    <row r="158" spans="4:9" ht="18.75">
      <c r="D158" s="159" t="s">
        <v>1786</v>
      </c>
      <c r="E158" s="159"/>
      <c r="F158" s="159"/>
      <c r="G158" s="159"/>
      <c r="H158" s="159"/>
      <c r="I158" s="159"/>
    </row>
    <row r="159" spans="4:9" ht="18.75">
      <c r="D159" s="159" t="s">
        <v>1787</v>
      </c>
      <c r="E159" s="159"/>
      <c r="F159" s="159"/>
      <c r="G159" s="159"/>
      <c r="H159" s="159"/>
      <c r="I159" s="159"/>
    </row>
    <row r="160" spans="4:9" ht="18.75">
      <c r="D160" s="159" t="s">
        <v>1788</v>
      </c>
      <c r="E160" s="159" t="s">
        <v>1789</v>
      </c>
      <c r="F160" s="159"/>
      <c r="G160" s="159"/>
      <c r="H160" s="159"/>
      <c r="I160" s="159"/>
    </row>
    <row r="161" spans="4:9" ht="18.75">
      <c r="D161" s="159" t="s">
        <v>1790</v>
      </c>
      <c r="E161" s="159"/>
      <c r="F161" s="159"/>
      <c r="G161" s="159"/>
      <c r="H161" s="159"/>
      <c r="I161" s="159"/>
    </row>
    <row r="162" spans="4:9" ht="18.75">
      <c r="D162" s="159" t="s">
        <v>208</v>
      </c>
      <c r="E162" s="159" t="s">
        <v>1791</v>
      </c>
      <c r="F162" s="159" t="s">
        <v>1792</v>
      </c>
      <c r="G162" s="159"/>
      <c r="H162" s="159"/>
      <c r="I162" s="159"/>
    </row>
    <row r="163" spans="4:9" ht="18.75">
      <c r="D163" s="159" t="s">
        <v>1793</v>
      </c>
      <c r="E163" s="159"/>
      <c r="F163" s="159"/>
      <c r="G163" s="159"/>
      <c r="H163" s="159"/>
      <c r="I163" s="159"/>
    </row>
    <row r="164" spans="4:9" ht="18.75">
      <c r="D164" s="159" t="s">
        <v>1794</v>
      </c>
      <c r="E164" s="159"/>
      <c r="F164" s="159"/>
      <c r="G164" s="159"/>
      <c r="H164" s="159"/>
      <c r="I164" s="159"/>
    </row>
    <row r="165" spans="4:9" ht="18.75">
      <c r="D165" s="159" t="s">
        <v>1795</v>
      </c>
      <c r="E165" s="159"/>
      <c r="F165" s="159"/>
      <c r="G165" s="159"/>
      <c r="H165" s="159"/>
      <c r="I165" s="159"/>
    </row>
    <row r="166" spans="4:9" ht="18.75">
      <c r="D166" s="159" t="s">
        <v>1796</v>
      </c>
      <c r="E166" s="159"/>
      <c r="F166" s="159"/>
      <c r="G166" s="159"/>
      <c r="H166" s="159"/>
      <c r="I166" s="159"/>
    </row>
    <row r="167" spans="4:9" ht="18.75">
      <c r="D167" s="159" t="s">
        <v>1797</v>
      </c>
      <c r="E167" s="159" t="s">
        <v>1798</v>
      </c>
      <c r="F167" s="159" t="s">
        <v>1799</v>
      </c>
      <c r="G167" s="159" t="s">
        <v>1800</v>
      </c>
      <c r="H167" s="159" t="s">
        <v>1801</v>
      </c>
      <c r="I167" s="159" t="s">
        <v>1802</v>
      </c>
    </row>
    <row r="168" spans="4:9" ht="18.75">
      <c r="D168" s="159" t="s">
        <v>1803</v>
      </c>
      <c r="E168" s="159"/>
      <c r="F168" s="159"/>
      <c r="G168" s="159"/>
      <c r="H168" s="159"/>
      <c r="I168" s="159"/>
    </row>
    <row r="169" spans="4:9" ht="18.75">
      <c r="D169" s="159" t="s">
        <v>1804</v>
      </c>
      <c r="E169" s="159" t="s">
        <v>1805</v>
      </c>
      <c r="F169" s="159"/>
      <c r="G169" s="159"/>
      <c r="H169" s="159"/>
      <c r="I169" s="159"/>
    </row>
    <row r="170" spans="4:9" ht="18.75">
      <c r="D170" s="159" t="s">
        <v>525</v>
      </c>
      <c r="E170" s="159"/>
      <c r="F170" s="159"/>
      <c r="G170" s="159"/>
      <c r="H170" s="159"/>
      <c r="I170" s="159"/>
    </row>
    <row r="171" spans="4:9" ht="18.75">
      <c r="D171" s="159" t="s">
        <v>1806</v>
      </c>
      <c r="E171" s="159"/>
      <c r="F171" s="159"/>
      <c r="G171" s="159"/>
      <c r="H171" s="159"/>
      <c r="I171" s="159"/>
    </row>
    <row r="172" spans="4:9" ht="18.75">
      <c r="D172" s="159" t="s">
        <v>1807</v>
      </c>
      <c r="E172" s="159" t="s">
        <v>1808</v>
      </c>
      <c r="F172" s="159"/>
      <c r="G172" s="159"/>
      <c r="H172" s="159"/>
      <c r="I172" s="159"/>
    </row>
    <row r="173" spans="4:9" ht="18.75">
      <c r="D173" s="159" t="s">
        <v>1809</v>
      </c>
      <c r="E173" s="159"/>
      <c r="F173" s="159"/>
      <c r="G173" s="159"/>
      <c r="H173" s="159"/>
      <c r="I173" s="159"/>
    </row>
    <row r="174" spans="4:9" ht="18.75">
      <c r="D174" s="159" t="s">
        <v>1810</v>
      </c>
      <c r="E174" s="159" t="s">
        <v>1811</v>
      </c>
      <c r="F174" s="159" t="s">
        <v>1812</v>
      </c>
      <c r="G174" s="159" t="s">
        <v>1813</v>
      </c>
      <c r="H174" s="159"/>
      <c r="I174" s="159"/>
    </row>
    <row r="175" spans="4:9" ht="18.75">
      <c r="D175" s="159" t="s">
        <v>1814</v>
      </c>
      <c r="E175" s="159"/>
      <c r="F175" s="159"/>
      <c r="G175" s="159"/>
      <c r="H175" s="159"/>
      <c r="I175" s="159"/>
    </row>
    <row r="176" spans="4:9" ht="18.75">
      <c r="D176" s="159" t="s">
        <v>1815</v>
      </c>
      <c r="E176" s="159" t="s">
        <v>1816</v>
      </c>
      <c r="F176" s="159"/>
      <c r="G176" s="159"/>
      <c r="H176" s="159"/>
      <c r="I176" s="159"/>
    </row>
    <row r="177" spans="4:9" ht="18.75">
      <c r="D177" s="159" t="s">
        <v>1817</v>
      </c>
      <c r="E177" s="159"/>
      <c r="F177" s="159"/>
      <c r="G177" s="159"/>
      <c r="H177" s="159"/>
      <c r="I177" s="159"/>
    </row>
    <row r="178" spans="4:9" ht="18.75">
      <c r="D178" s="159" t="s">
        <v>532</v>
      </c>
      <c r="E178" s="159" t="s">
        <v>1818</v>
      </c>
      <c r="F178" s="159"/>
      <c r="G178" s="159"/>
      <c r="H178" s="159"/>
      <c r="I178" s="159"/>
    </row>
    <row r="179" spans="4:9" ht="18.75">
      <c r="D179" s="159" t="s">
        <v>1819</v>
      </c>
      <c r="E179" s="159" t="s">
        <v>1820</v>
      </c>
      <c r="F179" s="159"/>
      <c r="G179" s="159"/>
      <c r="H179" s="159"/>
      <c r="I179" s="159"/>
    </row>
    <row r="180" spans="4:9" ht="18.75">
      <c r="D180" s="159" t="s">
        <v>1821</v>
      </c>
      <c r="E180" s="159"/>
      <c r="F180" s="159"/>
      <c r="G180" s="159"/>
      <c r="H180" s="159"/>
      <c r="I180" s="159"/>
    </row>
    <row r="181" spans="4:9" ht="18.75">
      <c r="D181" s="159" t="s">
        <v>911</v>
      </c>
      <c r="E181" s="159" t="s">
        <v>1822</v>
      </c>
      <c r="F181" s="159"/>
      <c r="G181" s="159"/>
      <c r="H181" s="159"/>
      <c r="I181" s="159"/>
    </row>
    <row r="182" spans="4:9" ht="18.75">
      <c r="D182" s="159" t="s">
        <v>773</v>
      </c>
      <c r="E182" s="159"/>
      <c r="F182" s="159"/>
      <c r="G182" s="159"/>
      <c r="H182" s="159"/>
      <c r="I182" s="159"/>
    </row>
    <row r="183" spans="4:9" ht="18.75">
      <c r="D183" s="159" t="s">
        <v>1823</v>
      </c>
      <c r="E183" s="159"/>
      <c r="F183" s="159"/>
      <c r="G183" s="159"/>
      <c r="H183" s="159"/>
      <c r="I183" s="159"/>
    </row>
    <row r="184" spans="4:9" ht="18.75">
      <c r="D184" s="159" t="s">
        <v>1824</v>
      </c>
      <c r="E184" s="159"/>
      <c r="F184" s="159"/>
      <c r="G184" s="159"/>
      <c r="H184" s="159"/>
      <c r="I184" s="159"/>
    </row>
    <row r="185" spans="4:9" ht="18.75">
      <c r="D185" s="159" t="s">
        <v>1825</v>
      </c>
      <c r="E185" s="159"/>
      <c r="F185" s="159"/>
      <c r="G185" s="159"/>
      <c r="H185" s="159"/>
      <c r="I185" s="159"/>
    </row>
    <row r="186" spans="4:9" ht="18.75">
      <c r="D186" s="159" t="s">
        <v>1826</v>
      </c>
      <c r="E186" s="159"/>
      <c r="F186" s="159"/>
      <c r="G186" s="159"/>
      <c r="H186" s="159"/>
      <c r="I186" s="159"/>
    </row>
    <row r="187" spans="4:9" ht="18.75">
      <c r="D187" s="159" t="s">
        <v>1827</v>
      </c>
      <c r="E187" s="159"/>
      <c r="F187" s="159"/>
      <c r="G187" s="159"/>
      <c r="H187" s="159"/>
      <c r="I187" s="159"/>
    </row>
    <row r="188" spans="4:9" ht="18.75">
      <c r="D188" s="159" t="s">
        <v>1828</v>
      </c>
      <c r="E188" s="159"/>
      <c r="F188" s="159"/>
      <c r="G188" s="159"/>
      <c r="H188" s="159"/>
      <c r="I188" s="159"/>
    </row>
    <row r="189" spans="4:9" ht="18.75">
      <c r="D189" s="159" t="s">
        <v>1829</v>
      </c>
      <c r="E189" s="159"/>
      <c r="F189" s="159"/>
      <c r="G189" s="159"/>
      <c r="H189" s="159"/>
      <c r="I189" s="159"/>
    </row>
    <row r="190" spans="4:9" ht="18.75">
      <c r="D190" s="159" t="s">
        <v>1830</v>
      </c>
      <c r="E190" s="159"/>
      <c r="F190" s="159"/>
      <c r="G190" s="159"/>
      <c r="H190" s="159"/>
      <c r="I190" s="159"/>
    </row>
    <row r="191" spans="4:9" ht="18.75">
      <c r="D191" s="159" t="s">
        <v>1831</v>
      </c>
      <c r="E191" s="159"/>
      <c r="F191" s="159"/>
      <c r="G191" s="159"/>
      <c r="H191" s="159"/>
      <c r="I191" s="159"/>
    </row>
    <row r="192" spans="4:9" ht="18.75">
      <c r="D192" s="159" t="s">
        <v>1832</v>
      </c>
      <c r="E192" s="159"/>
      <c r="F192" s="159"/>
      <c r="G192" s="159"/>
      <c r="H192" s="159"/>
      <c r="I192" s="159"/>
    </row>
    <row r="193" spans="4:9" ht="18.75">
      <c r="D193" s="159" t="s">
        <v>1833</v>
      </c>
      <c r="E193" s="159"/>
      <c r="F193" s="159"/>
      <c r="G193" s="159"/>
      <c r="H193" s="159"/>
      <c r="I193" s="159"/>
    </row>
    <row r="194" spans="4:9" ht="18.75">
      <c r="D194" s="159" t="s">
        <v>1834</v>
      </c>
      <c r="E194" s="159" t="s">
        <v>1835</v>
      </c>
      <c r="F194" s="159"/>
      <c r="G194" s="159"/>
      <c r="H194" s="159"/>
      <c r="I194" s="159"/>
    </row>
    <row r="195" spans="4:9" ht="18.75">
      <c r="D195" s="159" t="s">
        <v>1836</v>
      </c>
      <c r="E195" s="159"/>
      <c r="F195" s="159"/>
      <c r="G195" s="159"/>
      <c r="H195" s="159"/>
      <c r="I195" s="159"/>
    </row>
    <row r="196" spans="4:9" ht="18.75">
      <c r="D196" s="159" t="s">
        <v>1837</v>
      </c>
      <c r="E196" s="159" t="s">
        <v>1838</v>
      </c>
      <c r="F196" s="159"/>
      <c r="G196" s="159"/>
      <c r="H196" s="159"/>
      <c r="I196" s="159"/>
    </row>
    <row r="197" spans="4:9" ht="18.75">
      <c r="D197" s="159" t="s">
        <v>1839</v>
      </c>
      <c r="E197" s="159"/>
      <c r="F197" s="159"/>
      <c r="G197" s="159"/>
      <c r="H197" s="159"/>
      <c r="I197" s="159"/>
    </row>
    <row r="198" spans="4:9" ht="18.75">
      <c r="D198" s="159" t="s">
        <v>1840</v>
      </c>
      <c r="E198" s="159"/>
      <c r="F198" s="159"/>
      <c r="G198" s="159"/>
      <c r="H198" s="159"/>
      <c r="I198" s="159"/>
    </row>
    <row r="199" spans="4:9" ht="18.75">
      <c r="D199" s="159" t="s">
        <v>1841</v>
      </c>
      <c r="E199" s="159"/>
      <c r="F199" s="159"/>
      <c r="G199" s="159"/>
      <c r="H199" s="159"/>
      <c r="I199" s="159"/>
    </row>
    <row r="200" spans="4:9" ht="18.75">
      <c r="D200" s="159" t="s">
        <v>59</v>
      </c>
      <c r="E200" s="159" t="s">
        <v>1842</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2020-11-03T03:46:12Z</dcterms:modified>
</cp:coreProperties>
</file>