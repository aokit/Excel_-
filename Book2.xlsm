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C4D09A62-D4F2-4D99-AE17-2D735E776445}" xr6:coauthVersionLast="45" xr6:coauthVersionMax="45" xr10:uidLastSave="{00000000-0000-0000-0000-000000000000}"/>
  <bookViews>
    <workbookView xWindow="1005" yWindow="90" windowWidth="23400" windowHeight="11250" activeTab="2" xr2:uid="{00000000-000D-0000-FFFF-FFFF00000000}"/>
  </bookViews>
  <sheets>
    <sheet name="yushutsu_kobetsu" sheetId="2" r:id="rId1"/>
    <sheet name="中間処理シート" sheetId="3" r:id="rId2"/>
    <sheet name="ダッシュボード" sheetId="11" r:id="rId3"/>
    <sheet name="組織略称"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組織略称!$D$2:$R$22</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最終需要者">yushutsu_kobetsu!$N:$N</definedName>
    <definedName name="仕向地">yushutsu_kobetsu!$K:$K</definedName>
    <definedName name="仕向地抽出">中間処理シート!$A$11</definedName>
    <definedName name="取引区分">ダッシュボード!$K$6:$M$17</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1" l="1"/>
  <c r="B15" i="11"/>
  <c r="B14" i="11"/>
  <c r="B13" i="11"/>
  <c r="B12" i="11"/>
  <c r="B11" i="11"/>
  <c r="B10" i="11"/>
  <c r="B9" i="11"/>
  <c r="B8" i="11"/>
  <c r="B7" i="11"/>
  <c r="B6" i="11"/>
  <c r="F13" i="6" l="1"/>
  <c r="F14" i="6" s="1"/>
  <c r="F15" i="6" s="1"/>
  <c r="F16" i="6" s="1"/>
  <c r="F17" i="6" s="1"/>
  <c r="F18" i="6" s="1"/>
  <c r="F19" i="6" s="1"/>
  <c r="F20" i="6" s="1"/>
  <c r="F21" i="6" s="1"/>
  <c r="F22" i="6" s="1"/>
  <c r="F23" i="6" s="1"/>
  <c r="F3" i="6"/>
  <c r="F4" i="6" s="1"/>
  <c r="F5" i="6" s="1"/>
  <c r="F6" i="6" s="1"/>
  <c r="F7" i="6" s="1"/>
  <c r="F8" i="6" s="1"/>
  <c r="F9" i="6" s="1"/>
  <c r="F10" i="6" s="1"/>
  <c r="F11" i="6" s="1"/>
  <c r="F12" i="6" s="1"/>
  <c r="AE255" i="3"/>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33" i="3"/>
  <c r="AE32" i="3"/>
  <c r="AE31" i="3"/>
  <c r="AE30" i="3"/>
  <c r="AE29" i="3"/>
  <c r="AF29" i="3" s="1"/>
  <c r="AE28" i="3"/>
  <c r="AF28" i="3" s="1"/>
  <c r="AE27" i="3"/>
  <c r="AE26" i="3"/>
  <c r="AE25" i="3"/>
  <c r="AE24" i="3"/>
  <c r="AF24" i="3" s="1"/>
  <c r="AE23" i="3"/>
  <c r="AE22" i="3"/>
  <c r="AE21" i="3"/>
  <c r="AE20" i="3"/>
  <c r="AE19" i="3"/>
  <c r="AE18" i="3"/>
  <c r="AE17" i="3"/>
  <c r="AE16" i="3"/>
  <c r="AF16" i="3" s="1"/>
  <c r="AE15" i="3"/>
  <c r="AE14" i="3"/>
  <c r="AE13" i="3"/>
  <c r="AE12" i="3"/>
  <c r="AF12" i="3" s="1"/>
  <c r="AE11" i="3"/>
  <c r="AE10" i="3"/>
  <c r="AE9" i="3"/>
  <c r="AE8" i="3"/>
  <c r="AF8" i="3" s="1"/>
  <c r="AE7" i="3"/>
  <c r="AE6" i="3"/>
  <c r="AE5" i="3"/>
  <c r="AE4" i="3"/>
  <c r="AF27" i="3" s="1"/>
  <c r="AE3" i="3"/>
  <c r="AE2"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31" i="3"/>
  <c r="AF15" i="3"/>
  <c r="AF102" i="3"/>
  <c r="AF98" i="3"/>
  <c r="AF97" i="3"/>
  <c r="AF94" i="3"/>
  <c r="AF93" i="3"/>
  <c r="AF92" i="3"/>
  <c r="AF90" i="3"/>
  <c r="AF86" i="3"/>
  <c r="AF82" i="3"/>
  <c r="AF81" i="3"/>
  <c r="AF78" i="3"/>
  <c r="AF77" i="3"/>
  <c r="AF76" i="3"/>
  <c r="AF74" i="3"/>
  <c r="AF70" i="3"/>
  <c r="AF66" i="3"/>
  <c r="AF65" i="3"/>
  <c r="AF62" i="3"/>
  <c r="AF61" i="3"/>
  <c r="AF60" i="3"/>
  <c r="AF58" i="3"/>
  <c r="AF54" i="3"/>
  <c r="AF50" i="3"/>
  <c r="AF49" i="3"/>
  <c r="AF46" i="3"/>
  <c r="AF45" i="3"/>
  <c r="AF44" i="3"/>
  <c r="AF42" i="3"/>
  <c r="AF38" i="3"/>
  <c r="AF34" i="3"/>
  <c r="AF32" i="3"/>
  <c r="AF20" i="3"/>
  <c r="AF4" i="3"/>
  <c r="AF2" i="3"/>
  <c r="A28" i="3"/>
  <c r="A26" i="3"/>
  <c r="A24" i="3"/>
  <c r="AF19" i="3" l="1"/>
  <c r="AF7" i="3"/>
  <c r="AF23" i="3"/>
  <c r="AF30" i="3"/>
  <c r="AF11" i="3"/>
  <c r="AF5" i="3"/>
  <c r="AF13" i="3"/>
  <c r="AF25" i="3"/>
  <c r="AH6" i="3" s="1"/>
  <c r="I6" i="6" s="1"/>
  <c r="AF9" i="3"/>
  <c r="AF17" i="3"/>
  <c r="AF21" i="3"/>
  <c r="AF33" i="3"/>
  <c r="AF3" i="3"/>
  <c r="AF6" i="3"/>
  <c r="AF10" i="3"/>
  <c r="AF14" i="3"/>
  <c r="AF18" i="3"/>
  <c r="AF22" i="3"/>
  <c r="AF26" i="3"/>
  <c r="G32" i="9"/>
  <c r="G17" i="9"/>
  <c r="O23" i="5"/>
  <c r="D23" i="5"/>
  <c r="P14" i="5"/>
  <c r="P13" i="5"/>
  <c r="E13"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D33" i="3"/>
  <c r="AC33" i="3"/>
  <c r="C33" i="3"/>
  <c r="D33" i="3" s="1"/>
  <c r="AD32" i="3"/>
  <c r="AC32" i="3"/>
  <c r="C32" i="3"/>
  <c r="D32" i="3" s="1"/>
  <c r="AD31" i="3"/>
  <c r="AC31" i="3"/>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D21" i="3"/>
  <c r="AC21" i="3"/>
  <c r="C21" i="3"/>
  <c r="D21" i="3" s="1"/>
  <c r="AC20" i="3"/>
  <c r="AD20" i="3" s="1"/>
  <c r="C20" i="3"/>
  <c r="D20" i="3" s="1"/>
  <c r="AC19" i="3"/>
  <c r="AD19" i="3" s="1"/>
  <c r="C19" i="3"/>
  <c r="D19" i="3" s="1"/>
  <c r="A19" i="3"/>
  <c r="AD18" i="3"/>
  <c r="AC18" i="3"/>
  <c r="C18" i="3"/>
  <c r="D18" i="3" s="1"/>
  <c r="AC17" i="3"/>
  <c r="AD17" i="3" s="1"/>
  <c r="C17" i="3"/>
  <c r="D17" i="3" s="1"/>
  <c r="AC16" i="3"/>
  <c r="AD16" i="3" s="1"/>
  <c r="C16" i="3"/>
  <c r="D16" i="3" s="1"/>
  <c r="A16" i="3"/>
  <c r="AD15" i="3"/>
  <c r="AC15" i="3"/>
  <c r="C15" i="3"/>
  <c r="D15" i="3" s="1"/>
  <c r="AC14" i="3"/>
  <c r="AD14" i="3" s="1"/>
  <c r="C14" i="3"/>
  <c r="AC13" i="3"/>
  <c r="AD13" i="3" s="1"/>
  <c r="U13" i="3"/>
  <c r="C13" i="3"/>
  <c r="D13" i="3" s="1"/>
  <c r="A13" i="3"/>
  <c r="AC12" i="3"/>
  <c r="AD12" i="3" s="1"/>
  <c r="U12" i="3"/>
  <c r="V12" i="3" s="1"/>
  <c r="C12" i="3"/>
  <c r="D12" i="3" s="1"/>
  <c r="AC11" i="3"/>
  <c r="AD11" i="3" s="1"/>
  <c r="U11" i="3"/>
  <c r="C11" i="3"/>
  <c r="A11" i="3"/>
  <c r="AD10" i="3"/>
  <c r="AC10" i="3"/>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D2" i="3"/>
  <c r="AC2" i="3"/>
  <c r="U2" i="3"/>
  <c r="V2" i="3" s="1"/>
  <c r="C2" i="3"/>
  <c r="D11" i="3" l="1"/>
  <c r="AH3" i="3"/>
  <c r="I3" i="6" s="1"/>
  <c r="AH5" i="3"/>
  <c r="I5" i="6" s="1"/>
  <c r="AH4" i="3"/>
  <c r="I4" i="6" s="1"/>
  <c r="AH7" i="3"/>
  <c r="I7" i="6" s="1"/>
  <c r="AH8" i="3"/>
  <c r="I8" i="6" s="1"/>
  <c r="AI8" i="3"/>
  <c r="J8" i="6" s="1"/>
  <c r="AI5" i="3"/>
  <c r="J5" i="6" s="1"/>
  <c r="G11" i="5"/>
  <c r="D10" i="3"/>
  <c r="D23" i="3"/>
  <c r="V7" i="3"/>
  <c r="V10" i="3"/>
  <c r="D3" i="3"/>
  <c r="D4" i="3"/>
  <c r="D9" i="3"/>
  <c r="AD4" i="3"/>
  <c r="V5" i="3"/>
  <c r="V9" i="3"/>
  <c r="V11" i="3"/>
  <c r="V13" i="3"/>
  <c r="AI4" i="3"/>
  <c r="J4" i="6" s="1"/>
  <c r="AI7" i="3"/>
  <c r="J7" i="6" s="1"/>
  <c r="AI6" i="3"/>
  <c r="J6" i="6" s="1"/>
  <c r="V8" i="3"/>
  <c r="D45" i="3"/>
  <c r="D63" i="3"/>
  <c r="D78" i="3"/>
  <c r="D74" i="3"/>
  <c r="D56" i="3"/>
  <c r="D2" i="3"/>
  <c r="V3" i="3"/>
  <c r="AI3" i="3"/>
  <c r="J3" i="6" s="1"/>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E56" i="3" l="1"/>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F32" i="3" l="1"/>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G9" i="3" l="1"/>
  <c r="G6" i="3"/>
  <c r="G5" i="6"/>
  <c r="G6" i="6" l="1"/>
  <c r="G7" i="6" l="1"/>
  <c r="G8" i="6" l="1"/>
  <c r="G9" i="6" l="1"/>
  <c r="AL127" i="3"/>
  <c r="AL38" i="3"/>
  <c r="AL63" i="3"/>
  <c r="AL118" i="3"/>
  <c r="AL116" i="3"/>
  <c r="AL79" i="3"/>
  <c r="AL12" i="3"/>
  <c r="AL119" i="3"/>
  <c r="AL32" i="3"/>
  <c r="AL130" i="3"/>
  <c r="AL86" i="3"/>
  <c r="AL95" i="3"/>
  <c r="AL117" i="3"/>
  <c r="AL76" i="3"/>
  <c r="AL113" i="3"/>
  <c r="AL90" i="3"/>
  <c r="AL41" i="3"/>
  <c r="AL80" i="3"/>
  <c r="AL100" i="3"/>
  <c r="AL61" i="3"/>
  <c r="AL88" i="3"/>
  <c r="AL52" i="3"/>
  <c r="AL30" i="3"/>
  <c r="AL40" i="3"/>
  <c r="AL131" i="3"/>
  <c r="AL82" i="3"/>
  <c r="AL22" i="3"/>
  <c r="AL14" i="3"/>
  <c r="AL49" i="3"/>
  <c r="AL132" i="3"/>
  <c r="AL108" i="3"/>
  <c r="AL21" i="3"/>
  <c r="AL18" i="3"/>
  <c r="AL42" i="3"/>
  <c r="AL120" i="3"/>
  <c r="AL56" i="3"/>
  <c r="AL133" i="3"/>
  <c r="AL58" i="3"/>
  <c r="AL112" i="3"/>
  <c r="AL101" i="3"/>
  <c r="AL99" i="3"/>
  <c r="AL115" i="3"/>
  <c r="AL75" i="3"/>
  <c r="AL107" i="3"/>
  <c r="AL110" i="3"/>
  <c r="AL37" i="3"/>
  <c r="AL97" i="3"/>
  <c r="AL46" i="3"/>
  <c r="AL13" i="3"/>
  <c r="AL62" i="3"/>
  <c r="AL78" i="3"/>
  <c r="AL109" i="3"/>
  <c r="AL72" i="3"/>
  <c r="AL94" i="3"/>
  <c r="AL135" i="3"/>
  <c r="AL89" i="3"/>
  <c r="AL31" i="3"/>
  <c r="AL57" i="3"/>
  <c r="AL83" i="3"/>
  <c r="AL23" i="3"/>
  <c r="AL25" i="3"/>
  <c r="AL126" i="3"/>
  <c r="AL28" i="3"/>
  <c r="AL73" i="3"/>
  <c r="AL15" i="3"/>
  <c r="AL9" i="3"/>
  <c r="AL24" i="3"/>
  <c r="AL102" i="3"/>
  <c r="AL68" i="3"/>
  <c r="AL103" i="3"/>
  <c r="AL11" i="3"/>
  <c r="AL29" i="3"/>
  <c r="AL19" i="3"/>
  <c r="AL27" i="3"/>
  <c r="AL124" i="3"/>
  <c r="AL64" i="3"/>
  <c r="AL45" i="3"/>
  <c r="AL54" i="3"/>
  <c r="AL50" i="3"/>
  <c r="AL84" i="3"/>
  <c r="AL39" i="3"/>
  <c r="AL53" i="3"/>
  <c r="AL7" i="3"/>
  <c r="AL87" i="3"/>
  <c r="AL91" i="3"/>
  <c r="AL48" i="3"/>
  <c r="AL35" i="3"/>
  <c r="AL16" i="3"/>
  <c r="AL98" i="3"/>
  <c r="AL105" i="3"/>
  <c r="AL44" i="3"/>
  <c r="AL36" i="3"/>
  <c r="AL106" i="3"/>
  <c r="AL81" i="3"/>
  <c r="AL55" i="3"/>
  <c r="AL65" i="3"/>
  <c r="AL125" i="3"/>
  <c r="AL128" i="3"/>
  <c r="AL66" i="3"/>
  <c r="AL51" i="3"/>
  <c r="AL93" i="3"/>
  <c r="AL134" i="3"/>
  <c r="AL70" i="3"/>
  <c r="AL8" i="3"/>
  <c r="AL96" i="3"/>
  <c r="AL59" i="3"/>
  <c r="AL33" i="3"/>
  <c r="AL34" i="3"/>
  <c r="AL47" i="3"/>
  <c r="AL69" i="3"/>
  <c r="AL74" i="3"/>
  <c r="AL26" i="3"/>
  <c r="AL114" i="3"/>
  <c r="AL121" i="3"/>
  <c r="AL20" i="3"/>
  <c r="AL77" i="3"/>
  <c r="AL71" i="3"/>
  <c r="AL123" i="3"/>
  <c r="AL43" i="3"/>
  <c r="AL122" i="3"/>
  <c r="AL85" i="3"/>
  <c r="AL111" i="3"/>
  <c r="AL10" i="3"/>
  <c r="AL67" i="3"/>
  <c r="AL129" i="3"/>
  <c r="AL92" i="3"/>
  <c r="AL60" i="3"/>
  <c r="AL6" i="3"/>
  <c r="AL104" i="3"/>
  <c r="AL17" i="3"/>
  <c r="AM21" i="3" l="1"/>
  <c r="AM82" i="3"/>
  <c r="AM32" i="3"/>
  <c r="AM70" i="3"/>
  <c r="AM109" i="3"/>
  <c r="AM30" i="3"/>
  <c r="AM50" i="3"/>
  <c r="AM29" i="3"/>
  <c r="AM117" i="3"/>
  <c r="AM47" i="3"/>
  <c r="AM115" i="3"/>
  <c r="AM122" i="3"/>
  <c r="AM111" i="3"/>
  <c r="AM57" i="3"/>
  <c r="AM11" i="3"/>
  <c r="AM18" i="3"/>
  <c r="AM96" i="3"/>
  <c r="AM43" i="3"/>
  <c r="AM45" i="3"/>
  <c r="AM71" i="3"/>
  <c r="AM116" i="3"/>
  <c r="AM28" i="3"/>
  <c r="AM119" i="3"/>
  <c r="AM56" i="3"/>
  <c r="AM102" i="3"/>
  <c r="AM26" i="3"/>
  <c r="AM15" i="3"/>
  <c r="AM108" i="3"/>
  <c r="AM41" i="3"/>
  <c r="AM135" i="3"/>
  <c r="AM6" i="3"/>
  <c r="AM67" i="3"/>
  <c r="AM103" i="3"/>
  <c r="AM61" i="3"/>
  <c r="AM98" i="3"/>
  <c r="AM90" i="3"/>
  <c r="AM72" i="3"/>
  <c r="AM51" i="3"/>
  <c r="AM84" i="3"/>
  <c r="AM20" i="3"/>
  <c r="AM105" i="3"/>
  <c r="AM74" i="3"/>
  <c r="AM112" i="3"/>
  <c r="AM92" i="3"/>
  <c r="AM133" i="3"/>
  <c r="AM49" i="3"/>
  <c r="AM104" i="3"/>
  <c r="AM54" i="3"/>
  <c r="AM94" i="3"/>
  <c r="AM36" i="3"/>
  <c r="AM88" i="3"/>
  <c r="AM37" i="3"/>
  <c r="AM44" i="3"/>
  <c r="AM121" i="3"/>
  <c r="AM40" i="3"/>
  <c r="AM86" i="3"/>
  <c r="AM39" i="3"/>
  <c r="AM132" i="3"/>
  <c r="AM38" i="3"/>
  <c r="AM7" i="3"/>
  <c r="AM77" i="3"/>
  <c r="AM129" i="3"/>
  <c r="AM46" i="3"/>
  <c r="AM23" i="3"/>
  <c r="AM114" i="3"/>
  <c r="AM81" i="3"/>
  <c r="AM101" i="3"/>
  <c r="AM85" i="3"/>
  <c r="AM120" i="3"/>
  <c r="AM42" i="3"/>
  <c r="AM91" i="3"/>
  <c r="AM68" i="3"/>
  <c r="AM64" i="3"/>
  <c r="AM76" i="3"/>
  <c r="AM134" i="3"/>
  <c r="AM13" i="3"/>
  <c r="AM10" i="3"/>
  <c r="AM34" i="3"/>
  <c r="AM31" i="3"/>
  <c r="AM55" i="3"/>
  <c r="AM16" i="3"/>
  <c r="AM8" i="3"/>
  <c r="AM17" i="3"/>
  <c r="AM100" i="3"/>
  <c r="AM9" i="3"/>
  <c r="AM79" i="3"/>
  <c r="AM75" i="3"/>
  <c r="AM27" i="3"/>
  <c r="AM66" i="3"/>
  <c r="AM63" i="3"/>
  <c r="AM83" i="3"/>
  <c r="AM118" i="3"/>
  <c r="AM130" i="3"/>
  <c r="AM124" i="3"/>
  <c r="AM14" i="3"/>
  <c r="AM99" i="3"/>
  <c r="AM19" i="3"/>
  <c r="AM110" i="3"/>
  <c r="AM131" i="3"/>
  <c r="AM97" i="3"/>
  <c r="AM62" i="3"/>
  <c r="AM87" i="3"/>
  <c r="AM125" i="3"/>
  <c r="AM95" i="3"/>
  <c r="AM123" i="3"/>
  <c r="AM12" i="3"/>
  <c r="AM53" i="3"/>
  <c r="AM48" i="3"/>
  <c r="AM52" i="3"/>
  <c r="AM113" i="3"/>
  <c r="AM73" i="3"/>
  <c r="AM127" i="3"/>
  <c r="AM65" i="3"/>
  <c r="AM80" i="3"/>
  <c r="AM126" i="3"/>
  <c r="AM93" i="3"/>
  <c r="AM35" i="3"/>
  <c r="AM59" i="3"/>
  <c r="AM58" i="3"/>
  <c r="AM78" i="3"/>
  <c r="AM107" i="3"/>
  <c r="AM33" i="3"/>
  <c r="AM69" i="3"/>
  <c r="AM60" i="3"/>
  <c r="AM24" i="3"/>
  <c r="AM89" i="3"/>
  <c r="AM22" i="3"/>
  <c r="AM25" i="3"/>
  <c r="AM128" i="3"/>
  <c r="AM106" i="3"/>
  <c r="G10" i="6"/>
  <c r="AP35" i="3" l="1"/>
  <c r="F5" i="3" s="1"/>
  <c r="AP109" i="3"/>
  <c r="AO32" i="3"/>
  <c r="AN32" i="3" s="1"/>
  <c r="J30" i="3" s="1"/>
  <c r="AP62" i="3"/>
  <c r="AP93" i="3"/>
  <c r="AP38" i="3"/>
  <c r="F9" i="3" s="1"/>
  <c r="AP12" i="3"/>
  <c r="AP45" i="3"/>
  <c r="AP46" i="3"/>
  <c r="F8" i="3" s="1"/>
  <c r="AP77" i="3"/>
  <c r="AP14" i="3"/>
  <c r="F12" i="3" s="1"/>
  <c r="AP40" i="3"/>
  <c r="F3" i="3" s="1"/>
  <c r="AP89" i="3"/>
  <c r="AP59" i="3"/>
  <c r="AP107" i="3"/>
  <c r="AP110" i="3"/>
  <c r="AP106" i="3"/>
  <c r="AP39" i="3"/>
  <c r="AO8" i="3"/>
  <c r="AN8" i="3" s="1"/>
  <c r="J6" i="3" s="1"/>
  <c r="AP86" i="3"/>
  <c r="AP90" i="3"/>
  <c r="AO20" i="3"/>
  <c r="AN20" i="3" s="1"/>
  <c r="J18" i="3" s="1"/>
  <c r="AP79" i="3"/>
  <c r="AP65" i="3"/>
  <c r="AP31" i="3"/>
  <c r="AP94" i="3"/>
  <c r="AP19" i="3"/>
  <c r="AO12" i="3"/>
  <c r="AN12" i="3" s="1"/>
  <c r="J10" i="3" s="1"/>
  <c r="AP49" i="3"/>
  <c r="AP101" i="3"/>
  <c r="AP27" i="3"/>
  <c r="AP10" i="3"/>
  <c r="AP99" i="3"/>
  <c r="AP121" i="3"/>
  <c r="AO21" i="3"/>
  <c r="AN21" i="3" s="1"/>
  <c r="J19" i="3" s="1"/>
  <c r="AO9" i="3"/>
  <c r="AN9" i="3" s="1"/>
  <c r="J7" i="3" s="1"/>
  <c r="AP120" i="3"/>
  <c r="AO43" i="3"/>
  <c r="AN43" i="3" s="1"/>
  <c r="J41" i="3" s="1"/>
  <c r="AP81" i="3"/>
  <c r="AP60" i="3"/>
  <c r="AP21" i="3"/>
  <c r="AP20" i="3"/>
  <c r="AO34" i="3"/>
  <c r="AN34" i="3" s="1"/>
  <c r="J32" i="3" s="1"/>
  <c r="AP24" i="3"/>
  <c r="AP22" i="3"/>
  <c r="AO22" i="3"/>
  <c r="AN22" i="3" s="1"/>
  <c r="J20" i="3" s="1"/>
  <c r="AP13" i="3"/>
  <c r="AP113" i="3"/>
  <c r="AO38" i="3"/>
  <c r="AN38" i="3" s="1"/>
  <c r="J36" i="3" s="1"/>
  <c r="AO35" i="3"/>
  <c r="AN35" i="3" s="1"/>
  <c r="J33" i="3" s="1"/>
  <c r="K33" i="3" s="1"/>
  <c r="AP105" i="3"/>
  <c r="AP34" i="3"/>
  <c r="AP70" i="3"/>
  <c r="AO36" i="3"/>
  <c r="AN36" i="3" s="1"/>
  <c r="J34" i="3" s="1"/>
  <c r="AP75" i="3"/>
  <c r="AP29" i="3"/>
  <c r="AP83" i="3"/>
  <c r="AP63" i="3"/>
  <c r="F10" i="3" s="1"/>
  <c r="AO37" i="3"/>
  <c r="AN37" i="3" s="1"/>
  <c r="J35" i="3" s="1"/>
  <c r="AP61" i="3"/>
  <c r="AP112" i="3"/>
  <c r="AP23" i="3"/>
  <c r="AP84" i="3"/>
  <c r="AP82" i="3"/>
  <c r="AP64" i="3"/>
  <c r="AP44" i="3"/>
  <c r="AO24" i="3"/>
  <c r="AN24" i="3" s="1"/>
  <c r="J22" i="3" s="1"/>
  <c r="AP119" i="3"/>
  <c r="AO44" i="3"/>
  <c r="AN44" i="3" s="1"/>
  <c r="J42" i="3" s="1"/>
  <c r="AP54" i="3"/>
  <c r="AP74" i="3"/>
  <c r="AP56" i="3"/>
  <c r="AP71" i="3"/>
  <c r="AP95" i="3"/>
  <c r="AO30" i="3"/>
  <c r="AN30" i="3" s="1"/>
  <c r="J28" i="3" s="1"/>
  <c r="M28" i="3" s="1"/>
  <c r="AO11" i="3"/>
  <c r="AN11" i="3" s="1"/>
  <c r="J9" i="3" s="1"/>
  <c r="AO41" i="3"/>
  <c r="AN41" i="3" s="1"/>
  <c r="J39" i="3" s="1"/>
  <c r="AP36" i="3"/>
  <c r="AO14" i="3"/>
  <c r="AN14" i="3" s="1"/>
  <c r="J12" i="3" s="1"/>
  <c r="AP88" i="3"/>
  <c r="AO26" i="3"/>
  <c r="AN26" i="3" s="1"/>
  <c r="J24" i="3" s="1"/>
  <c r="AP17" i="3"/>
  <c r="AO10" i="3"/>
  <c r="AN10" i="3" s="1"/>
  <c r="J8" i="3" s="1"/>
  <c r="AP104" i="3"/>
  <c r="AP73" i="3"/>
  <c r="AO33" i="3"/>
  <c r="AN33" i="3" s="1"/>
  <c r="J31" i="3" s="1"/>
  <c r="M31" i="3" s="1"/>
  <c r="AO7" i="3"/>
  <c r="AN7" i="3" s="1"/>
  <c r="J5" i="3" s="1"/>
  <c r="AP37" i="3"/>
  <c r="F2" i="3" s="1"/>
  <c r="AP114" i="3"/>
  <c r="AO25" i="3"/>
  <c r="AN25" i="3" s="1"/>
  <c r="J23" i="3" s="1"/>
  <c r="AP42" i="3"/>
  <c r="AP25" i="3"/>
  <c r="AO13" i="3"/>
  <c r="AN13" i="3" s="1"/>
  <c r="J11" i="3" s="1"/>
  <c r="AO31" i="3"/>
  <c r="AN31" i="3" s="1"/>
  <c r="J29" i="3" s="1"/>
  <c r="N33" i="3"/>
  <c r="AP80" i="3"/>
  <c r="AP69" i="3"/>
  <c r="AO15" i="3"/>
  <c r="AN15" i="3" s="1"/>
  <c r="J13" i="3" s="1"/>
  <c r="AP68" i="3"/>
  <c r="AP50" i="3"/>
  <c r="AP48" i="3"/>
  <c r="AO42" i="3"/>
  <c r="AN42" i="3" s="1"/>
  <c r="J40" i="3" s="1"/>
  <c r="AO16" i="3"/>
  <c r="AN16" i="3" s="1"/>
  <c r="J14" i="3" s="1"/>
  <c r="AP18" i="3"/>
  <c r="AP26" i="3"/>
  <c r="AP111" i="3"/>
  <c r="AP87" i="3"/>
  <c r="AP41" i="3"/>
  <c r="F14" i="3" s="1"/>
  <c r="AP7" i="3"/>
  <c r="AP118" i="3"/>
  <c r="F13" i="3" s="1"/>
  <c r="AP52" i="3"/>
  <c r="AO29" i="3"/>
  <c r="AN29" i="3" s="1"/>
  <c r="J27" i="3" s="1"/>
  <c r="AP32" i="3"/>
  <c r="AP108" i="3"/>
  <c r="AO39" i="3"/>
  <c r="AN39" i="3" s="1"/>
  <c r="J37" i="3" s="1"/>
  <c r="AO19" i="3"/>
  <c r="AN19" i="3" s="1"/>
  <c r="J17" i="3" s="1"/>
  <c r="AO23" i="3"/>
  <c r="AN23" i="3" s="1"/>
  <c r="J21" i="3" s="1"/>
  <c r="AP76" i="3"/>
  <c r="AP8" i="3"/>
  <c r="AP66" i="3"/>
  <c r="AP102" i="3"/>
  <c r="AP47" i="3"/>
  <c r="AO40" i="3"/>
  <c r="AN40" i="3" s="1"/>
  <c r="J38" i="3" s="1"/>
  <c r="AP28" i="3"/>
  <c r="AO17" i="3"/>
  <c r="AN17" i="3" s="1"/>
  <c r="J15" i="3" s="1"/>
  <c r="AP100" i="3"/>
  <c r="AP33" i="3"/>
  <c r="AP103" i="3"/>
  <c r="AP15" i="3"/>
  <c r="AP53" i="3"/>
  <c r="AO27" i="3"/>
  <c r="AN27" i="3" s="1"/>
  <c r="J25" i="3" s="1"/>
  <c r="AP98" i="3"/>
  <c r="AP55" i="3"/>
  <c r="AP72" i="3"/>
  <c r="AP58" i="3"/>
  <c r="AO28" i="3"/>
  <c r="AN28" i="3" s="1"/>
  <c r="J26" i="3" s="1"/>
  <c r="AP117" i="3"/>
  <c r="AO18" i="3"/>
  <c r="AN18" i="3" s="1"/>
  <c r="J16" i="3" s="1"/>
  <c r="AP91" i="3"/>
  <c r="AP9" i="3"/>
  <c r="AP115" i="3"/>
  <c r="AO6" i="3"/>
  <c r="AN6" i="3" s="1"/>
  <c r="J4" i="3" s="1"/>
  <c r="AP51" i="3"/>
  <c r="AP116" i="3"/>
  <c r="AP92" i="3"/>
  <c r="AP11" i="3"/>
  <c r="AP30" i="3"/>
  <c r="F7" i="3" s="1"/>
  <c r="AP6" i="3"/>
  <c r="AP67" i="3"/>
  <c r="AP97" i="3"/>
  <c r="AP96" i="3"/>
  <c r="AP57" i="3"/>
  <c r="AP43" i="3"/>
  <c r="AP16" i="3"/>
  <c r="F15" i="3" s="1"/>
  <c r="AP78" i="3"/>
  <c r="AP85" i="3"/>
  <c r="M33" i="3"/>
  <c r="F6" i="3"/>
  <c r="N31" i="3"/>
  <c r="N36" i="3"/>
  <c r="K36" i="3"/>
  <c r="M36" i="3"/>
  <c r="K32" i="3"/>
  <c r="N32" i="3"/>
  <c r="M32" i="3"/>
  <c r="N34" i="3"/>
  <c r="M34" i="3"/>
  <c r="K34" i="3"/>
  <c r="N35" i="3"/>
  <c r="K35" i="3"/>
  <c r="M35" i="3"/>
  <c r="N30" i="3"/>
  <c r="K30" i="3"/>
  <c r="M30" i="3"/>
  <c r="K28" i="3"/>
  <c r="N39" i="3"/>
  <c r="K39" i="3"/>
  <c r="M39" i="3"/>
  <c r="F4" i="3"/>
  <c r="G11" i="6"/>
  <c r="N28" i="3" l="1"/>
  <c r="K31" i="3"/>
  <c r="K38" i="3"/>
  <c r="M38" i="3"/>
  <c r="N38" i="3"/>
  <c r="K37" i="3"/>
  <c r="N37" i="3"/>
  <c r="M37" i="3"/>
  <c r="N26" i="3"/>
  <c r="K26" i="3"/>
  <c r="M26" i="3"/>
  <c r="F11" i="3"/>
  <c r="K6" i="3" s="1"/>
  <c r="M6" i="3" s="1"/>
  <c r="K27" i="3"/>
  <c r="N27" i="3"/>
  <c r="M27" i="3"/>
  <c r="M40" i="3"/>
  <c r="N40" i="3"/>
  <c r="K40" i="3"/>
  <c r="N29" i="3"/>
  <c r="M29" i="3"/>
  <c r="K29" i="3"/>
  <c r="G12" i="6"/>
  <c r="A17" i="3"/>
  <c r="D26" i="9"/>
  <c r="E26" i="9"/>
  <c r="E27" i="9"/>
  <c r="I24" i="9"/>
  <c r="J29" i="9"/>
  <c r="E24" i="9"/>
  <c r="C7" i="9"/>
  <c r="D9" i="9"/>
  <c r="E11" i="9"/>
  <c r="C29" i="9"/>
  <c r="C16" i="9"/>
  <c r="J7" i="9"/>
  <c r="D7" i="9"/>
  <c r="F15" i="9"/>
  <c r="F18" i="9"/>
  <c r="E19" i="9"/>
  <c r="F29" i="9"/>
  <c r="E20" i="9"/>
  <c r="C6" i="9"/>
  <c r="D8" i="9"/>
  <c r="F10" i="9"/>
  <c r="C28" i="9"/>
  <c r="F25" i="9"/>
  <c r="I31" i="9"/>
  <c r="I20" i="9"/>
  <c r="D31" i="9"/>
  <c r="J23" i="9"/>
  <c r="I9" i="9"/>
  <c r="F31" i="9"/>
  <c r="I28" i="9"/>
  <c r="C27" i="9"/>
  <c r="C19" i="9"/>
  <c r="J30" i="9"/>
  <c r="D29" i="9"/>
  <c r="F21" i="9"/>
  <c r="E7" i="9"/>
  <c r="E10" i="9"/>
  <c r="J24" i="9"/>
  <c r="A20" i="3"/>
  <c r="C26" i="9"/>
  <c r="D22" i="9"/>
  <c r="F26" i="9"/>
  <c r="I27" i="9"/>
  <c r="J18" i="9"/>
  <c r="E28" i="9"/>
  <c r="I5" i="9"/>
  <c r="F9" i="9"/>
  <c r="J28" i="9"/>
  <c r="C14" i="9"/>
  <c r="E25" i="9"/>
  <c r="C20" i="9"/>
  <c r="E16" i="9"/>
  <c r="E4" i="9"/>
  <c r="J16" i="9"/>
  <c r="C23" i="9"/>
  <c r="D25" i="9"/>
  <c r="D13" i="9"/>
  <c r="F13" i="9"/>
  <c r="F12" i="9"/>
  <c r="J22" i="9"/>
  <c r="I11" i="9"/>
  <c r="C31" i="9"/>
  <c r="F5" i="9"/>
  <c r="J8" i="9"/>
  <c r="D16" i="9"/>
  <c r="D27" i="9"/>
  <c r="E9" i="9"/>
  <c r="F11" i="9"/>
  <c r="F33" i="9"/>
  <c r="F7" i="9"/>
  <c r="I19" i="9"/>
  <c r="D14" i="9"/>
  <c r="D4" i="9"/>
  <c r="I30" i="9"/>
  <c r="J6" i="9"/>
  <c r="I15" i="9"/>
  <c r="E12" i="9"/>
  <c r="F19" i="9"/>
  <c r="I23" i="9"/>
  <c r="D20" i="9"/>
  <c r="J20" i="9"/>
  <c r="F4" i="9"/>
  <c r="J26" i="9"/>
  <c r="C22" i="9"/>
  <c r="E23" i="9"/>
  <c r="F14" i="9"/>
  <c r="I4" i="9"/>
  <c r="J25" i="9"/>
  <c r="C5" i="9"/>
  <c r="F8" i="9"/>
  <c r="J21" i="9"/>
  <c r="J10" i="9"/>
  <c r="J14" i="9"/>
  <c r="C4" i="9"/>
  <c r="I21" i="9"/>
  <c r="D12" i="9"/>
  <c r="D15" i="9"/>
  <c r="E14" i="9"/>
  <c r="E5" i="9"/>
  <c r="C18" i="9"/>
  <c r="A14" i="3"/>
  <c r="F20" i="9"/>
  <c r="I7" i="9"/>
  <c r="J9" i="9"/>
  <c r="E21" i="9"/>
  <c r="D28" i="9"/>
  <c r="E22" i="9"/>
  <c r="E8" i="9"/>
  <c r="D30" i="9"/>
  <c r="F6" i="9"/>
  <c r="J33" i="9"/>
  <c r="D33" i="9"/>
  <c r="D5" i="9"/>
  <c r="D24" i="9"/>
  <c r="C15" i="9"/>
  <c r="I22" i="9"/>
  <c r="I25" i="9"/>
  <c r="E13" i="9"/>
  <c r="D21" i="9"/>
  <c r="I13" i="9"/>
  <c r="I26" i="9"/>
  <c r="C30" i="9"/>
  <c r="C11" i="9"/>
  <c r="F22" i="9"/>
  <c r="E30" i="9"/>
  <c r="C8" i="9"/>
  <c r="F24" i="9"/>
  <c r="D11" i="9"/>
  <c r="E29" i="9"/>
  <c r="C33" i="9"/>
  <c r="C12" i="9"/>
  <c r="D19" i="9"/>
  <c r="J15" i="9"/>
  <c r="D23" i="9"/>
  <c r="I16" i="9"/>
  <c r="J11" i="9"/>
  <c r="E15" i="9"/>
  <c r="I29" i="9"/>
  <c r="J12" i="9"/>
  <c r="C13" i="9"/>
  <c r="D18" i="9"/>
  <c r="J5" i="9"/>
  <c r="C24" i="9"/>
  <c r="I14" i="9"/>
  <c r="I12" i="9"/>
  <c r="I6" i="9"/>
  <c r="E18" i="9"/>
  <c r="J31" i="9"/>
  <c r="J19" i="9"/>
  <c r="D10" i="9"/>
  <c r="D6" i="9"/>
  <c r="I18" i="9"/>
  <c r="J27" i="9"/>
  <c r="F23" i="9"/>
  <c r="C25" i="9"/>
  <c r="F16" i="9"/>
  <c r="I33" i="9"/>
  <c r="J13" i="9"/>
  <c r="F28" i="9"/>
  <c r="C9" i="9"/>
  <c r="E6" i="9"/>
  <c r="E33" i="9"/>
  <c r="I10" i="9"/>
  <c r="C21" i="9"/>
  <c r="F30" i="9"/>
  <c r="C10" i="9"/>
  <c r="J4" i="9"/>
  <c r="F27" i="9"/>
  <c r="I8" i="9"/>
  <c r="E31" i="9"/>
  <c r="K25" i="3" l="1"/>
  <c r="M25" i="3" s="1"/>
  <c r="H33" i="9"/>
  <c r="G31" i="9"/>
  <c r="G6" i="9"/>
  <c r="G21" i="9"/>
  <c r="G9" i="9"/>
  <c r="G10" i="9"/>
  <c r="G20" i="9"/>
  <c r="H13" i="9"/>
  <c r="H10" i="9"/>
  <c r="G23" i="9"/>
  <c r="H20" i="9"/>
  <c r="H9" i="9"/>
  <c r="H12" i="9"/>
  <c r="G33" i="9"/>
  <c r="G25" i="9"/>
  <c r="H18" i="9"/>
  <c r="H15" i="9"/>
  <c r="G4" i="9"/>
  <c r="G13" i="9"/>
  <c r="H8" i="9"/>
  <c r="G27" i="9"/>
  <c r="H31" i="9"/>
  <c r="H5" i="9"/>
  <c r="G29" i="9"/>
  <c r="G7" i="9"/>
  <c r="H4" i="9"/>
  <c r="G18" i="9"/>
  <c r="H6" i="9"/>
  <c r="H30" i="9"/>
  <c r="G8" i="9"/>
  <c r="H27" i="9"/>
  <c r="H14" i="9"/>
  <c r="H11" i="9"/>
  <c r="G15" i="9"/>
  <c r="H28" i="9"/>
  <c r="G16" i="9"/>
  <c r="G5" i="9"/>
  <c r="H21" i="9"/>
  <c r="G22" i="9"/>
  <c r="G14" i="9"/>
  <c r="H25" i="9"/>
  <c r="H16" i="9"/>
  <c r="G12" i="9"/>
  <c r="H19" i="9"/>
  <c r="G30" i="9"/>
  <c r="G26" i="9"/>
  <c r="H24" i="9"/>
  <c r="G19" i="9"/>
  <c r="H29" i="9"/>
  <c r="H7" i="9"/>
  <c r="G24" i="9"/>
  <c r="H23" i="9"/>
  <c r="H26" i="9"/>
  <c r="G28" i="9"/>
  <c r="G11" i="9"/>
  <c r="H22" i="9"/>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O7" i="3" l="1"/>
  <c r="O17" i="3"/>
  <c r="Q17" i="3" s="1"/>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P19" i="3"/>
  <c r="Q7" i="3"/>
  <c r="P7" i="3"/>
  <c r="Q26" i="3"/>
  <c r="P17" i="3"/>
  <c r="Q24" i="3"/>
  <c r="G15" i="6"/>
  <c r="B3" i="6" l="1"/>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10" i="6"/>
  <c r="C3" i="6"/>
  <c r="C26" i="6" s="1"/>
  <c r="D3" i="6"/>
  <c r="D10" i="6" l="1"/>
  <c r="D26"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83DDD5BD-9D0B-4F72-9BFA-DF3AA6A361F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84902C87-8498-48C3-9BD7-2A41E2FA989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9490BE7-14DE-47E5-9C12-D5605F08C933}">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51C5B0C-C642-4B38-A430-1398D1C017DC}">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t>
        </r>
      </text>
    </comment>
    <comment ref="A10" authorId="0" shapeId="0" xr:uid="{12D51E88-885D-4298-8FD1-84D9F98B59C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EA979A04-B6E2-42CD-BA9F-8E06FBA13F1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t>
        </r>
      </text>
    </comment>
    <comment ref="A12" authorId="0" shapeId="0" xr:uid="{17532D9E-79E2-4D37-9C31-3B6F95BF109E}">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値の入る欄の１行のみ。名前に定義された領域を利用して動的に集計結果が入る。</t>
        </r>
      </text>
    </comment>
    <comment ref="A16" authorId="0" shapeId="0" xr:uid="{5D0D6EFA-4B96-4426-88B4-FA26722EC90B}">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<sst xmlns="http://schemas.openxmlformats.org/spreadsheetml/2006/main" count="5485" uniqueCount="1573">
  <si>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</si>
  <si>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</si>
  <si>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</si>
  <si>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</si>
  <si>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</si>
  <si>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</si>
  <si>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</si>
  <si>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</si>
  <si>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</si>
  <si>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</si>
  <si>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</si>
  <si>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</si>
  <si>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</si>
  <si>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</si>
  <si>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</si>
  <si>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</si>
  <si>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</si>
  <si>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</si>
  <si>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</si>
  <si>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</si>
  <si>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</si>
  <si>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</si>
  <si>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</si>
  <si>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</si>
  <si>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</si>
  <si>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</si>
  <si>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</si>
  <si>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</si>
  <si>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</si>
  <si>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</si>
  <si>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</si>
  <si>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</si>
  <si>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</si>
  <si>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</si>
  <si>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</si>
  <si>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</si>
  <si>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</si>
  <si>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</si>
  <si>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</si>
  <si>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</si>
  <si>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</si>
  <si>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</si>
  <si>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</si>
  <si>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</si>
  <si>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</si>
  <si>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</si>
  <si>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</si>
  <si>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</si>
  <si>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</si>
  <si>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</si>
  <si>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</si>
  <si>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</si>
  <si>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</si>
  <si>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</si>
  <si>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</si>
  <si>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</si>
  <si>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</si>
  <si>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</si>
  <si>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</si>
  <si>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</si>
  <si>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</si>
  <si>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</si>
  <si>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</si>
  <si>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</si>
  <si>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</si>
  <si>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</si>
  <si>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</si>
  <si>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</si>
  <si>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</si>
  <si>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</si>
  <si>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</si>
  <si>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</si>
  <si>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</si>
  <si>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</si>
  <si>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</si>
  <si>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</si>
  <si>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</si>
  <si>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</si>
  <si>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</si>
  <si>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</si>
  <si>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</si>
  <si>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</si>
  <si>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</si>
  <si>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</si>
  <si>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</si>
  <si>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</si>
  <si>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</si>
  <si>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</si>
  <si>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</si>
  <si>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</si>
  <si>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</si>
  <si>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</si>
  <si>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</si>
  <si>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</si>
  <si>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</si>
  <si>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</si>
  <si>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</si>
  <si>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</si>
  <si>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</si>
  <si>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</si>
  <si>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</si>
  <si>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</si>
  <si>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</si>
  <si>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</si>
  <si>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</si>
  <si>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</si>
  <si>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</si>
  <si>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</si>
  <si>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</si>
  <si>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</si>
  <si>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</si>
  <si>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</si>
  <si>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</si>
  <si>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</si>
  <si>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</si>
  <si>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</si>
  <si>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</si>
  <si>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</si>
  <si>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</si>
  <si>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</si>
  <si>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</si>
  <si>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</si>
  <si>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</si>
  <si>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</si>
  <si>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</si>
  <si>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</si>
  <si>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</si>
  <si>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</si>
  <si>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</si>
  <si>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</si>
  <si>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</si>
  <si>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</si>
  <si>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</si>
  <si>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</si>
  <si>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</si>
  <si>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</si>
  <si>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</si>
  <si>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</si>
  <si>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</si>
  <si>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</si>
  <si>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</si>
  <si>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</si>
  <si>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</si>
  <si>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</si>
  <si>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</si>
  <si>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</si>
  <si>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</si>
  <si>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</si>
  <si>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</si>
  <si>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</si>
  <si>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</si>
  <si>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</si>
  <si>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</si>
  <si>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</si>
  <si>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</si>
  <si>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</si>
  <si>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</si>
  <si>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</si>
  <si>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</si>
  <si>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</si>
  <si>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</si>
  <si>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</si>
  <si>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</si>
  <si>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</si>
  <si>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</si>
  <si>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</si>
  <si>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</si>
  <si>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</si>
  <si>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</si>
  <si>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</si>
  <si>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</si>
  <si>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</si>
  <si>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</si>
  <si>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</si>
  <si>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</si>
  <si>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</si>
  <si>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</si>
  <si>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</si>
  <si>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</si>
  <si>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</si>
  <si>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</si>
  <si>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</si>
  <si>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</si>
  <si>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</si>
  <si>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</si>
  <si>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</si>
  <si>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</si>
  <si>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</si>
  <si>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</si>
  <si>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</si>
  <si>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</si>
  <si>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</si>
  <si>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</si>
  <si>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</si>
  <si>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</si>
  <si>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</si>
  <si>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</si>
  <si>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</si>
  <si>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</si>
  <si>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</si>
  <si>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</si>
  <si>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</si>
  <si>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</si>
  <si>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</si>
  <si>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</si>
  <si>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</si>
  <si>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</si>
  <si>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</si>
  <si>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</si>
  <si>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</si>
  <si>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</si>
  <si>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</si>
  <si>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</si>
  <si>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</si>
  <si>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</si>
  <si>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</si>
  <si>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</si>
  <si>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</si>
  <si>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</si>
  <si>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</si>
  <si>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</si>
  <si>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</si>
  <si>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</si>
  <si>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</si>
  <si>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</si>
  <si>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</si>
  <si>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</si>
  <si>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</si>
  <si>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</si>
  <si>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</si>
  <si>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</si>
  <si>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</si>
  <si>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</si>
  <si>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</si>
  <si>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</si>
  <si>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</si>
  <si>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</si>
  <si>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</si>
  <si>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</si>
  <si>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</si>
  <si>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</si>
  <si>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</si>
  <si>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</si>
  <si>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</si>
  <si>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</si>
  <si>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</si>
  <si>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</si>
  <si>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</si>
  <si>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</si>
  <si>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</si>
  <si>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</si>
  <si>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</si>
  <si>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</si>
  <si>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</si>
  <si>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</si>
  <si>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</si>
  <si>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</si>
  <si>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</si>
  <si>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</si>
  <si>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</si>
  <si>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</si>
  <si>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</si>
  <si>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</si>
  <si>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</si>
  <si>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</si>
  <si>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</si>
  <si>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</si>
  <si>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</si>
  <si>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</si>
  <si>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</si>
  <si>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</si>
  <si>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</si>
  <si>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</si>
  <si>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</si>
  <si>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</si>
  <si>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</si>
  <si>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</si>
  <si>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</si>
  <si>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</si>
  <si>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</si>
  <si>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</si>
  <si>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</si>
  <si>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</si>
  <si>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</si>
  <si>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</si>
  <si>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</si>
  <si>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</si>
  <si>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</si>
  <si>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</si>
  <si>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</si>
  <si>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</si>
  <si>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</si>
  <si>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</si>
  <si>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</si>
  <si>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</si>
  <si>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</si>
  <si>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</si>
  <si>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</si>
  <si>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</si>
  <si>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</si>
  <si>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</si>
  <si>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</si>
  <si>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</si>
  <si>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</si>
  <si>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</si>
  <si>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</si>
  <si>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</si>
  <si>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</si>
  <si>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</si>
  <si>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</si>
  <si>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</si>
  <si>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</si>
  <si>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</si>
  <si>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</si>
  <si>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</si>
  <si>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</si>
  <si>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</si>
  <si>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</si>
  <si>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</si>
  <si>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</si>
  <si>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</si>
  <si>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</si>
  <si>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</si>
  <si>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</si>
  <si>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</si>
  <si>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</si>
  <si>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</si>
  <si>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</si>
  <si>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</si>
  <si>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</si>
  <si>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</si>
  <si>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</si>
  <si>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</si>
  <si>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</si>
  <si>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</si>
  <si>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</si>
  <si>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</si>
  <si>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</si>
  <si>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</si>
  <si>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</si>
  <si>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</si>
  <si>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</si>
  <si>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</si>
  <si>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</si>
  <si>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</si>
  <si>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</si>
  <si>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</si>
  <si>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</si>
  <si>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</si>
  <si>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</si>
  <si>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</si>
  <si>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</si>
  <si>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</si>
  <si>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</si>
  <si>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</si>
  <si>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</si>
  <si>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</si>
  <si>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</si>
  <si>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</si>
  <si>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</si>
  <si>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</si>
  <si>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</si>
  <si>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</si>
  <si>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</si>
  <si>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</si>
  <si>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</si>
  <si>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</si>
  <si>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</si>
  <si>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</si>
  <si>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</si>
  <si>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</si>
  <si>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</si>
  <si>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</si>
  <si>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</si>
  <si>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</si>
  <si>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</si>
  <si>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</si>
  <si>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</si>
  <si>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</si>
  <si>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</si>
  <si>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</si>
  <si>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</si>
  <si>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</si>
  <si>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</si>
  <si>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</si>
  <si>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</si>
  <si>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</si>
  <si>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</si>
  <si>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</si>
  <si>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</si>
  <si>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</si>
  <si>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</si>
  <si>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</si>
  <si>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</si>
  <si>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</si>
  <si>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</si>
  <si>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</si>
  <si>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</si>
  <si>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</si>
  <si>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</si>
  <si>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</si>
  <si>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</si>
  <si>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</si>
  <si>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</si>
  <si>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</si>
  <si>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</si>
  <si>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</si>
  <si>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</si>
  <si>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</si>
  <si>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</si>
  <si>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</si>
  <si>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</si>
  <si>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</si>
  <si>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</si>
  <si>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</si>
  <si>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</si>
  <si>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</si>
  <si>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</si>
  <si>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</si>
  <si>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</si>
  <si>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</si>
  <si>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</si>
  <si>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</si>
  <si>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</si>
  <si>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</si>
  <si>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</si>
  <si>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</si>
  <si>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</si>
  <si>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</si>
  <si>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</si>
  <si>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</si>
  <si>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</si>
  <si>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</si>
  <si>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</si>
  <si>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</si>
  <si>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</si>
  <si>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</si>
  <si>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</si>
  <si>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</si>
  <si>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</si>
  <si>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</si>
  <si>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</si>
  <si>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</si>
  <si>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</si>
  <si>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</si>
  <si>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</si>
  <si>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</si>
  <si>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</si>
  <si>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</si>
  <si>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</si>
  <si>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</si>
  <si>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</si>
  <si>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</si>
  <si>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</si>
  <si>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</si>
  <si>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</si>
  <si>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</si>
  <si>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</si>
  <si>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</si>
  <si>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</si>
  <si>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</si>
  <si>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</si>
  <si>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</si>
  <si>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</si>
  <si>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</si>
  <si>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</si>
  <si>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</si>
  <si>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</si>
  <si>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</si>
  <si>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</si>
  <si>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</si>
  <si>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</si>
  <si>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</si>
  <si>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</si>
  <si>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</si>
  <si>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</si>
  <si>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</si>
  <si>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</si>
  <si>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</si>
  <si>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</si>
  <si>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</si>
  <si>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</si>
  <si>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</si>
  <si>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</si>
  <si>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</si>
  <si>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</si>
  <si>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</si>
  <si>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</si>
  <si>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</si>
  <si>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</si>
  <si>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</si>
  <si>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</si>
  <si>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</si>
  <si>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</si>
  <si>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</si>
  <si>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</si>
  <si>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</si>
  <si>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</si>
  <si>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</si>
  <si>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</si>
  <si>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</si>
  <si>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</si>
  <si>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</si>
  <si>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</si>
  <si>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</si>
  <si>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</si>
  <si>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</si>
  <si>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</si>
  <si>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</si>
  <si>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</si>
  <si>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</si>
  <si>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</si>
  <si>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</si>
  <si>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</si>
  <si>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</si>
  <si>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</si>
  <si>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</si>
  <si>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</si>
  <si>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</si>
  <si>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</si>
  <si>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</si>
  <si>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</si>
  <si>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</si>
  <si>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</si>
  <si>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</si>
  <si>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</si>
  <si>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</si>
  <si>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</si>
  <si>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</si>
  <si>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</si>
  <si>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</si>
  <si>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</si>
  <si>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</si>
  <si>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</si>
  <si>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</si>
  <si>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</si>
  <si>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</si>
  <si>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</si>
  <si>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</si>
  <si>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</si>
  <si>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</si>
  <si>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</si>
  <si>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</si>
  <si>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</si>
  <si>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</si>
  <si>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</si>
  <si>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</si>
  <si>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</si>
  <si>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</si>
  <si>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</si>
  <si>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</si>
  <si>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</si>
  <si>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</si>
  <si>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</si>
  <si>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</si>
  <si>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</si>
  <si>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</si>
  <si>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</si>
  <si>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</si>
  <si>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</si>
  <si>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</si>
  <si>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</si>
  <si>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</si>
  <si>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</si>
  <si>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</si>
  <si>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</si>
  <si>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</si>
  <si>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</si>
  <si>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</si>
  <si>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</si>
  <si>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</si>
  <si>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</si>
  <si>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</si>
  <si>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</si>
  <si>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</si>
  <si>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</si>
  <si>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</si>
  <si>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</si>
  <si>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</si>
  <si>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</si>
  <si>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</si>
  <si>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</si>
  <si>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</si>
  <si>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</si>
  <si>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</si>
  <si>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</si>
  <si>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</si>
  <si>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</si>
  <si>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</si>
  <si>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</si>
  <si>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</si>
  <si>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</si>
  <si>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</si>
  <si>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</si>
  <si>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</si>
  <si>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</si>
  <si>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</si>
  <si>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</si>
  <si>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</si>
  <si>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</si>
  <si>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</si>
  <si>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</si>
  <si>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</si>
  <si>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</si>
  <si>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</si>
  <si>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</si>
  <si>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</si>
  <si>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</si>
  <si>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</si>
  <si>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</si>
  <si>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</si>
  <si>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</si>
  <si>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</si>
  <si>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</si>
  <si>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</si>
  <si>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</si>
  <si>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</si>
  <si>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</si>
  <si>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</si>
  <si>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</si>
  <si>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</si>
  <si>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</si>
  <si>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</si>
  <si>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</si>
  <si>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</si>
  <si>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</si>
  <si>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</si>
  <si>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</si>
  <si>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</si>
  <si>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</si>
  <si>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</si>
  <si>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</si>
  <si>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</si>
  <si>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</si>
  <si>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</si>
  <si>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</si>
  <si>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</si>
  <si>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</si>
  <si>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</si>
  <si>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</si>
  <si>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</si>
  <si>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</si>
  <si>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</si>
  <si>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</si>
  <si>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</si>
  <si>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</si>
  <si>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</si>
  <si>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</si>
  <si>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</si>
  <si>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</si>
  <si>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</si>
  <si>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</si>
  <si>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</si>
  <si>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</si>
  <si>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</si>
  <si>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</si>
  <si>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</si>
  <si>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</si>
  <si>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</si>
  <si>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</si>
  <si>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</si>
  <si>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</si>
  <si>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</si>
  <si>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</si>
  <si>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</si>
  <si>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</si>
  <si>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</si>
  <si>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</si>
  <si>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</si>
  <si>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</si>
  <si>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</si>
  <si>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</si>
  <si>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</si>
  <si>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</si>
  <si>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</si>
  <si>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</si>
  <si>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</si>
  <si>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</si>
  <si>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</si>
  <si>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</si>
  <si>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</si>
  <si>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</si>
  <si>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</si>
  <si>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</si>
  <si>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</si>
  <si>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</si>
  <si>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</si>
  <si>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</si>
  <si>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</si>
  <si>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</si>
  <si>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</si>
  <si>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</si>
  <si>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</si>
  <si>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</si>
  <si>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</si>
  <si>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</si>
  <si>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</si>
  <si>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</si>
  <si>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</si>
  <si>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</si>
  <si>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</si>
  <si>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</si>
  <si>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</si>
  <si>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</si>
  <si>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</si>
  <si>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</si>
  <si>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</si>
  <si>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</si>
  <si>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</si>
  <si>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</si>
  <si>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</si>
  <si>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</si>
  <si>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</si>
  <si>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</si>
  <si>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</si>
  <si>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</si>
  <si>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</si>
  <si>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</si>
  <si>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</si>
  <si>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</si>
  <si>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</si>
  <si>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</si>
  <si>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</si>
  <si>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</si>
  <si>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</si>
  <si>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</si>
  <si>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</si>
  <si>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</si>
  <si>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</si>
  <si>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</si>
  <si>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</si>
  <si>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</si>
  <si>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</si>
  <si>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</si>
  <si>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</si>
  <si>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</si>
  <si>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</si>
  <si>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</si>
  <si>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</si>
  <si>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</si>
  <si>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</si>
  <si>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</si>
  <si>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</si>
  <si>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</si>
  <si>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</si>
  <si>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</si>
  <si>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</si>
  <si>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</si>
  <si>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</si>
  <si>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</si>
  <si>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</si>
  <si>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</si>
  <si>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</si>
  <si>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</si>
  <si>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</si>
  <si>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</si>
  <si>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</si>
  <si>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</si>
  <si>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</si>
  <si>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</si>
  <si>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</si>
  <si>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</si>
  <si>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</si>
  <si>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</si>
  <si>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</si>
  <si>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</si>
  <si>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</si>
  <si>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</si>
  <si>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</si>
  <si>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</si>
  <si>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</si>
  <si>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</si>
  <si>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</si>
  <si>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</si>
  <si>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</si>
  <si>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</si>
  <si>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</si>
  <si>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</si>
  <si>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</si>
  <si>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</si>
  <si>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</si>
  <si>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</si>
  <si>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</si>
  <si>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</si>
  <si>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</si>
  <si>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</si>
  <si>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</si>
  <si>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</si>
  <si>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</si>
  <si>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</si>
  <si>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</si>
  <si>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</si>
  <si>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</si>
  <si>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</si>
  <si>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</si>
  <si>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</si>
  <si>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</si>
  <si>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</si>
  <si>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</si>
  <si>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</si>
  <si>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</si>
  <si>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</si>
  <si>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</si>
  <si>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</si>
  <si>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</si>
  <si>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</si>
  <si>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</si>
  <si>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</si>
  <si>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</si>
  <si>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</si>
  <si>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</si>
  <si>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</si>
  <si>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</si>
  <si>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</si>
  <si>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</si>
  <si>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</si>
  <si>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</si>
  <si>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</si>
  <si>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</si>
  <si>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</si>
  <si>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</si>
  <si>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</si>
  <si>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</si>
  <si>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</si>
  <si>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</si>
  <si>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</si>
  <si>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</si>
  <si>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</si>
  <si>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</si>
  <si>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</si>
  <si>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</si>
  <si>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</si>
  <si>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</si>
  <si>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</si>
  <si>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</si>
  <si>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</si>
  <si>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</si>
  <si>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</si>
  <si>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</si>
  <si>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</si>
  <si>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</si>
  <si>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</si>
  <si>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</si>
  <si>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</si>
  <si>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</si>
  <si>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</si>
  <si>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</si>
  <si>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</si>
  <si>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</si>
  <si>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</si>
  <si>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</si>
  <si>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</si>
  <si>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</si>
  <si>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</si>
  <si>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</si>
  <si>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</si>
  <si>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</si>
  <si>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</si>
  <si>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</si>
  <si>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</si>
  <si>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</si>
  <si>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</si>
  <si>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</si>
  <si>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</si>
  <si>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</si>
  <si>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</si>
  <si>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</si>
  <si>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</si>
  <si>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</si>
  <si>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</si>
  <si>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</si>
  <si>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</si>
  <si>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</si>
  <si>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</si>
  <si>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</si>
  <si>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</si>
  <si>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</si>
  <si>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</si>
  <si>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</si>
  <si>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</si>
  <si>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</si>
  <si>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</si>
  <si>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</si>
  <si>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</si>
  <si>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</si>
  <si>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</si>
  <si>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</si>
  <si>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</si>
  <si>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</si>
  <si>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</si>
  <si>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</si>
  <si>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</si>
  <si>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</si>
  <si>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</si>
  <si>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</si>
  <si>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</si>
  <si>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</si>
  <si>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</si>
  <si>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</si>
  <si>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</si>
  <si>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</si>
  <si>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</si>
  <si>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</si>
  <si>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</si>
  <si>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</si>
  <si>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</si>
  <si>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</si>
  <si>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</si>
  <si>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</si>
  <si>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</si>
  <si>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</si>
  <si>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</si>
  <si>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</si>
  <si>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</si>
  <si>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</si>
  <si>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</si>
  <si>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</si>
  <si>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</si>
  <si>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</si>
  <si>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</si>
  <si>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</si>
  <si>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</si>
  <si>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</si>
  <si>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</si>
  <si>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</si>
  <si>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</si>
  <si>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</si>
  <si>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</si>
  <si>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</si>
  <si>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</si>
  <si>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</si>
  <si>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</si>
  <si>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</si>
  <si>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</si>
  <si>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</si>
  <si>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</si>
  <si>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</si>
  <si>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</si>
  <si>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</si>
  <si>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</si>
  <si>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</si>
  <si>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</si>
  <si>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</si>
  <si>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</si>
  <si>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</si>
  <si>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</si>
  <si>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</si>
  <si>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</si>
  <si>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</si>
  <si>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</si>
  <si>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</si>
  <si>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</si>
  <si>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</si>
  <si>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</si>
  <si>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</si>
  <si>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</si>
  <si>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</si>
  <si>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</si>
  <si>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</si>
  <si>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</si>
  <si>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</si>
  <si>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</si>
  <si>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</si>
  <si>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</si>
  <si>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</si>
  <si>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</si>
  <si>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</si>
  <si>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</si>
  <si>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</si>
  <si>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</si>
  <si>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</si>
  <si>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</si>
  <si>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</si>
  <si>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</si>
  <si>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</si>
  <si>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</si>
  <si>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</si>
  <si>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</si>
  <si>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</si>
  <si>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</si>
  <si>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</si>
  <si>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</si>
  <si>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</si>
  <si>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</si>
  <si>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</si>
  <si>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</si>
  <si>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</si>
  <si>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</si>
  <si>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</si>
  <si>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</si>
  <si>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</si>
  <si>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</si>
  <si>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</si>
  <si>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</si>
  <si>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</si>
  <si>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</si>
  <si>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</si>
  <si>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</si>
  <si>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</si>
  <si>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</si>
  <si>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</si>
  <si>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</si>
  <si>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</si>
  <si>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</si>
  <si>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</si>
  <si>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</si>
  <si>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</si>
  <si>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</si>
  <si>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</si>
  <si>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</si>
  <si>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</si>
  <si>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</si>
  <si>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</si>
  <si>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</si>
  <si>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</si>
  <si>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</si>
  <si>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</si>
  <si>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</si>
  <si>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</si>
  <si>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</si>
  <si>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</si>
  <si>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</si>
  <si>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</si>
  <si>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</si>
  <si>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</si>
  <si>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</si>
  <si>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</si>
  <si>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</si>
  <si>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</si>
  <si>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</si>
  <si>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</si>
  <si>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</si>
  <si>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</si>
  <si>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</si>
  <si>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</si>
  <si>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</si>
  <si>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</si>
  <si>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</si>
  <si>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</si>
  <si>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</si>
  <si>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</si>
  <si>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</si>
  <si>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</si>
  <si>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</si>
  <si>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</si>
  <si>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</si>
  <si>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</si>
  <si>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</si>
  <si>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</si>
  <si>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</si>
  <si>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</si>
  <si>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</si>
  <si>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</si>
  <si>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</si>
  <si>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</si>
  <si>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</si>
  <si>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</si>
  <si>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</si>
  <si>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</si>
  <si>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</si>
  <si>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</si>
  <si>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</si>
  <si>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</si>
  <si>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</si>
  <si>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</si>
  <si>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</si>
  <si>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</si>
  <si>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</si>
  <si>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</si>
  <si>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</si>
  <si>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</si>
  <si>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</si>
  <si>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</si>
  <si>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</si>
  <si>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</si>
  <si>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</si>
  <si>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</si>
  <si>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</si>
  <si>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</si>
  <si>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</si>
  <si>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</si>
  <si>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</si>
  <si>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</si>
  <si>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</si>
  <si>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</si>
  <si>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</si>
  <si>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</si>
  <si>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</si>
  <si>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</si>
  <si>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</si>
  <si>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</si>
  <si>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</si>
  <si>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</si>
  <si>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</si>
  <si>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</si>
  <si>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</si>
  <si>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</si>
  <si>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</si>
  <si>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</si>
  <si>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</si>
  <si>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</si>
  <si>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</si>
  <si>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</si>
  <si>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</si>
  <si>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</si>
  <si>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</si>
  <si>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</si>
  <si>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</si>
  <si>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</si>
  <si>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</si>
  <si>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</si>
  <si>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</si>
  <si>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</si>
  <si>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</si>
  <si>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</si>
  <si>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</si>
  <si>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</si>
  <si>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</si>
  <si>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</si>
  <si>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</si>
  <si>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</si>
  <si>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</si>
  <si>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</si>
  <si>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</si>
  <si>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</si>
  <si>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</si>
  <si>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</si>
  <si>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</si>
  <si>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</si>
  <si>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</si>
  <si>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</si>
  <si>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</si>
  <si>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</si>
  <si>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</si>
  <si>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</si>
  <si>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</si>
  <si>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</si>
  <si>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</si>
  <si>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</si>
  <si>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</si>
  <si>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</si>
  <si>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</si>
  <si>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</si>
  <si>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</si>
  <si>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</si>
  <si>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</si>
  <si>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</si>
  <si>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</si>
  <si>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</si>
  <si>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</si>
  <si>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</si>
  <si>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</si>
  <si>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</si>
  <si>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</si>
  <si>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</si>
  <si>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</si>
  <si>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</si>
  <si>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</si>
  <si>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</si>
  <si>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</si>
  <si>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</si>
  <si>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</si>
  <si>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</si>
  <si>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</si>
  <si>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</si>
  <si>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</si>
  <si>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</si>
  <si>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</si>
  <si>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</si>
  <si>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</si>
  <si>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</si>
  <si>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</si>
  <si>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</si>
  <si>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</si>
  <si>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</si>
  <si>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</si>
  <si>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</si>
  <si>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</si>
  <si>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</si>
  <si>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</si>
  <si>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</si>
  <si>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</si>
  <si>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</si>
  <si>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</si>
  <si>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</si>
  <si>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</si>
  <si>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</si>
  <si>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</si>
  <si>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</si>
  <si>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</si>
  <si>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</si>
  <si>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</si>
  <si>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</si>
  <si>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</si>
  <si>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</si>
  <si>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</si>
  <si>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</si>
  <si>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</si>
  <si>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</si>
  <si>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</si>
  <si>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</si>
  <si>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</si>
  <si>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</si>
  <si>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</si>
  <si>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</si>
  <si>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</si>
  <si>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</si>
  <si>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</si>
  <si>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</si>
  <si>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</si>
  <si>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</si>
  <si>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</si>
  <si>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</si>
  <si>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</si>
  <si>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</si>
  <si>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</si>
  <si>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</si>
  <si>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</si>
  <si>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</si>
  <si>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</si>
  <si>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</si>
  <si>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</si>
  <si>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</si>
  <si>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</si>
  <si>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</si>
  <si>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</si>
  <si>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</si>
  <si>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</si>
  <si>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</si>
  <si>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</si>
  <si>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</si>
  <si>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</si>
  <si>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</si>
  <si>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</si>
  <si>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</si>
  <si>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</si>
  <si>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</si>
  <si>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</si>
  <si>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</si>
  <si>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</si>
  <si>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</si>
  <si>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</si>
  <si>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</si>
  <si>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</si>
  <si>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</si>
  <si>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</si>
  <si>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</si>
  <si>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</si>
  <si>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</si>
  <si>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</si>
  <si>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</si>
  <si>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</si>
  <si>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</si>
  <si>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</si>
  <si>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</si>
  <si>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</si>
  <si>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</si>
  <si>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</si>
  <si>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</si>
  <si>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</si>
  <si>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</si>
  <si>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</si>
  <si>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</si>
  <si>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</si>
  <si>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</si>
  <si>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</si>
  <si>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</si>
  <si>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</si>
  <si>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</si>
  <si>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</si>
  <si>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</si>
  <si>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</si>
  <si>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</si>
  <si>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</si>
  <si>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</si>
  <si>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</si>
  <si>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</si>
  <si>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</si>
  <si>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</si>
  <si>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</si>
  <si>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</si>
  <si>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</si>
  <si>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</si>
  <si>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</si>
  <si>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</si>
  <si>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</si>
  <si>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</si>
  <si>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</si>
  <si>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</si>
  <si>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</si>
  <si>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</si>
  <si>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</si>
  <si>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</si>
  <si>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</si>
  <si>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</si>
  <si>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</si>
  <si>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</si>
  <si>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</si>
  <si>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</si>
  <si>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</si>
  <si>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</si>
  <si>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</si>
  <si>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</si>
  <si>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</si>
  <si>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</si>
  <si>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</si>
  <si>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</si>
  <si>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</si>
  <si>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</si>
  <si>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</si>
  <si>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</si>
  <si>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</si>
  <si>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</si>
  <si>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</si>
  <si>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</si>
  <si>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</si>
  <si>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</si>
  <si>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</si>
  <si>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</si>
  <si>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</si>
  <si>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</si>
  <si>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</si>
  <si>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</si>
  <si>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</si>
  <si>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</si>
  <si>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</si>
  <si>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</si>
  <si>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</si>
  <si>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</si>
  <si>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</si>
  <si>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</si>
  <si>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</si>
  <si>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</si>
  <si>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</si>
  <si>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</si>
  <si>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</si>
  <si>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</si>
  <si>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</si>
  <si>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</si>
  <si>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</si>
  <si>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</si>
  <si>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</si>
  <si>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</si>
  <si>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</si>
  <si>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</si>
  <si>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</si>
  <si>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</si>
  <si>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</si>
  <si>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</si>
  <si>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</si>
  <si>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</si>
  <si>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</si>
  <si>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</si>
  <si>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</si>
  <si>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</si>
  <si>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</si>
  <si>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</si>
  <si>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</si>
  <si>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</si>
  <si>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</si>
  <si>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</si>
  <si>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</si>
  <si>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</si>
  <si>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</si>
  <si>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</si>
  <si>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</si>
  <si>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</si>
  <si>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</si>
  <si>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</si>
  <si>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</si>
  <si>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</si>
  <si>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</si>
  <si>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</si>
  <si>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</si>
  <si>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</si>
  <si>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</si>
  <si>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</si>
  <si>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</si>
  <si>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</si>
  <si>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</si>
  <si>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</si>
  <si>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</si>
  <si>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</si>
  <si>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</si>
  <si>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</si>
  <si>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</si>
  <si>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</si>
  <si>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</si>
  <si>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</si>
  <si>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</si>
  <si>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</si>
  <si>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</si>
  <si>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</si>
  <si>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</si>
  <si>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</si>
  <si>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</si>
  <si>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</si>
  <si>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</si>
  <si>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</si>
  <si>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</si>
  <si>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</si>
  <si>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</si>
  <si>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</si>
  <si>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</si>
  <si>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</si>
  <si>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</si>
  <si>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</si>
  <si>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</si>
  <si>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</si>
  <si>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</si>
  <si>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</si>
  <si>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</si>
  <si>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</si>
  <si>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</si>
  <si>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</si>
  <si>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</si>
  <si>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</si>
  <si>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</si>
  <si>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</si>
  <si>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</si>
  <si>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</si>
  <si>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</si>
  <si>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</si>
  <si>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</si>
  <si>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</si>
  <si>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</si>
  <si>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</si>
  <si>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</si>
  <si>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</si>
  <si>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</si>
  <si>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</si>
  <si>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</si>
  <si>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</si>
  <si>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</si>
  <si>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</si>
  <si>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</si>
  <si>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</si>
  <si>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</si>
  <si>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</si>
  <si>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</si>
  <si>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</si>
  <si>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</si>
  <si>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</si>
  <si>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</si>
  <si>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</si>
  <si>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</si>
  <si>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</si>
  <si>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</si>
  <si>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</si>
  <si>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</si>
  <si>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</si>
  <si>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</si>
  <si>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</si>
  <si>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</si>
  <si>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</si>
  <si>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</si>
  <si>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</si>
  <si>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</si>
  <si>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</si>
  <si>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</si>
  <si>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</si>
  <si>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</si>
  <si>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</si>
  <si>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</si>
  <si>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</si>
  <si>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</si>
  <si>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</si>
  <si>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</si>
  <si>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</si>
  <si>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</si>
  <si>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</si>
  <si>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</si>
  <si>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</si>
  <si>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</si>
  <si>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</si>
  <si>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</si>
  <si>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</si>
  <si>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</si>
  <si>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</si>
  <si>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</si>
  <si>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</si>
  <si>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</si>
  <si>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</si>
  <si>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</si>
  <si>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</si>
  <si>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</si>
  <si>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</si>
  <si>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</si>
  <si>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</si>
  <si>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</si>
  <si>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</si>
  <si>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</si>
  <si>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</si>
  <si>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</si>
  <si>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</si>
  <si>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</si>
  <si>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</si>
  <si>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</si>
  <si>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</si>
  <si>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</si>
  <si>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</si>
  <si>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</si>
  <si>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</si>
  <si>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</si>
  <si>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</si>
  <si>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</si>
  <si>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</si>
  <si>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</si>
  <si>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</si>
  <si>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</si>
  <si>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</si>
  <si>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</si>
  <si>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</si>
  <si>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</si>
  <si>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</si>
  <si>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</si>
  <si>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取引区分（非ゼロ）</t>
    <rPh sb="0" eb="2">
      <t>トリヒキ</t>
    </rPh>
    <rPh sb="2" eb="4">
      <t>クブン</t>
    </rPh>
    <rPh sb="5" eb="6">
      <t>ヒ</t>
    </rPh>
    <phoneticPr fontId="6"/>
  </si>
  <si>
    <t>組織集計（非ゼロ）</t>
    <rPh sb="0" eb="2">
      <t>ソシキ</t>
    </rPh>
    <rPh sb="2" eb="4">
      <t>シュウケイ</t>
    </rPh>
    <rPh sb="5" eb="6">
      <t>ヒ</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</si>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</sst>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3">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5">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cellStyleXfs>
  <cellXfs count="180">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5">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H1" workbookViewId="0"/>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A506A-7A8A-4DF8-9E47-A4A22630DB6A}">
  <sheetPr codeName="Sheet1"/>
  <dimension ref="A1:AB26"/>
  <sheetViews>
    <sheetView tabSelected="1" zoomScaleNormal="100" workbookViewId="0">
      <selection activeCell="C15" sqref="C15"/>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59" t="s">
        <v>1498</v>
      </c>
      <c r="E1" s="160"/>
      <c r="F1" s="161"/>
      <c r="G1" s="159" t="s">
        <v>1517</v>
      </c>
      <c r="H1" s="160"/>
      <c r="I1" s="161"/>
      <c r="K1" s="159" t="s">
        <v>1507</v>
      </c>
      <c r="L1" s="160"/>
      <c r="M1" s="161"/>
      <c r="N1" s="159" t="s">
        <v>1517</v>
      </c>
      <c r="O1" s="160"/>
      <c r="P1" s="161"/>
      <c r="R1" s="159" t="s">
        <v>1508</v>
      </c>
      <c r="S1" s="160"/>
      <c r="T1" s="161"/>
      <c r="U1" s="159" t="s">
        <v>1510</v>
      </c>
      <c r="V1" s="160"/>
      <c r="W1" s="161"/>
      <c r="Y1" s="159" t="s">
        <v>1512</v>
      </c>
      <c r="Z1" s="160"/>
      <c r="AA1" s="160"/>
      <c r="AB1" s="161"/>
    </row>
    <row r="2" spans="1:28" ht="18.75" customHeight="1">
      <c r="A2" s="141">
        <v>43952</v>
      </c>
      <c r="C2" s="140" t="s">
        <v>1493</v>
      </c>
    </row>
    <row r="3" spans="1:28" ht="18.75" customHeight="1">
      <c r="A3" s="142">
        <v>44012</v>
      </c>
      <c r="D3" s="140" t="s">
        <v>1498</v>
      </c>
      <c r="E3" s="140" t="s">
        <v>1491</v>
      </c>
      <c r="F3" s="140" t="s">
        <v>1497</v>
      </c>
      <c r="G3" s="140" t="s">
        <v>1518</v>
      </c>
      <c r="H3" s="140" t="s">
        <v>1491</v>
      </c>
      <c r="I3" s="140" t="s">
        <v>1497</v>
      </c>
      <c r="K3" s="140" t="s">
        <v>1496</v>
      </c>
      <c r="L3" s="140" t="s">
        <v>1497</v>
      </c>
      <c r="N3" s="140" t="s">
        <v>1518</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D5" s="158"/>
      <c r="F5" s="153"/>
      <c r="G5" s="154"/>
      <c r="K5" s="148" t="s">
        <v>1066</v>
      </c>
      <c r="M5" s="153"/>
      <c r="N5" s="154"/>
      <c r="T5" s="155"/>
      <c r="U5" s="156"/>
      <c r="Y5" s="158"/>
      <c r="Z5" s="158"/>
      <c r="AA5" s="158"/>
      <c r="AB5" s="158"/>
    </row>
    <row r="6" spans="1:28" ht="18.75" customHeight="1">
      <c r="A6" s="140" t="s">
        <v>1490</v>
      </c>
      <c r="B6" s="140" t="b">
        <f>ISREF(集計期間)</f>
        <v>1</v>
      </c>
      <c r="D6" s="138" t="s">
        <v>1521</v>
      </c>
      <c r="E6" s="152"/>
      <c r="F6" s="138">
        <v>2</v>
      </c>
      <c r="G6" s="152"/>
      <c r="H6" s="152"/>
      <c r="I6" s="152"/>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K7" s="149" t="s">
        <v>54</v>
      </c>
      <c r="L7" s="150"/>
      <c r="M7" s="150"/>
    </row>
    <row r="8" spans="1:28" ht="18.75" customHeight="1">
      <c r="A8" s="140" t="s">
        <v>1495</v>
      </c>
      <c r="B8" s="140" t="b">
        <f>ISREF(承認記録)</f>
        <v>1</v>
      </c>
      <c r="D8" s="138" t="s">
        <v>1260</v>
      </c>
      <c r="F8" s="138">
        <v>56</v>
      </c>
      <c r="K8" s="149" t="s">
        <v>779</v>
      </c>
      <c r="L8" s="150"/>
      <c r="M8" s="150"/>
    </row>
    <row r="9" spans="1:28" ht="18.75" customHeight="1">
      <c r="A9" s="140" t="s">
        <v>1496</v>
      </c>
      <c r="B9" s="140" t="b">
        <f>ISREF(取引区分)</f>
        <v>1</v>
      </c>
      <c r="D9" s="138" t="s">
        <v>1287</v>
      </c>
      <c r="F9" s="138">
        <v>1</v>
      </c>
      <c r="K9" s="149" t="s">
        <v>166</v>
      </c>
      <c r="L9" s="150"/>
      <c r="M9" s="150"/>
    </row>
    <row r="10" spans="1:28" ht="18.75" customHeight="1">
      <c r="A10" s="140" t="s">
        <v>1516</v>
      </c>
      <c r="B10" s="140" t="b">
        <f ca="1">ISREF(取引区分(非ゼロ))</f>
        <v>0</v>
      </c>
      <c r="D10" s="138" t="s">
        <v>1296</v>
      </c>
      <c r="F10" s="138">
        <v>0</v>
      </c>
      <c r="K10" s="149" t="s">
        <v>1077</v>
      </c>
      <c r="L10" s="150"/>
      <c r="M10" s="150"/>
    </row>
    <row r="11" spans="1:28" ht="18.75" customHeight="1">
      <c r="A11" s="140" t="s">
        <v>1498</v>
      </c>
      <c r="B11" s="140" t="b">
        <f>ISREF(組織集計)</f>
        <v>1</v>
      </c>
      <c r="D11" s="138" t="s">
        <v>1530</v>
      </c>
      <c r="F11" s="138">
        <v>1</v>
      </c>
      <c r="K11" s="149" t="s">
        <v>87</v>
      </c>
      <c r="L11" s="150"/>
      <c r="M11" s="150"/>
    </row>
    <row r="12" spans="1:28" ht="18.75" customHeight="1">
      <c r="A12" s="140" t="s">
        <v>1517</v>
      </c>
      <c r="B12" s="140" t="b">
        <f ca="1">ISREF(組織集計(非ゼロ))</f>
        <v>0</v>
      </c>
      <c r="D12" s="138" t="s">
        <v>1536</v>
      </c>
      <c r="F12" s="138">
        <v>0</v>
      </c>
      <c r="K12" s="149" t="s">
        <v>494</v>
      </c>
      <c r="L12" s="150"/>
      <c r="M12" s="150"/>
    </row>
    <row r="13" spans="1:28" ht="18.75" customHeight="1">
      <c r="A13" s="140" t="s">
        <v>1508</v>
      </c>
      <c r="B13" s="140" t="b">
        <f>ISREF(仕向地集計)</f>
        <v>0</v>
      </c>
      <c r="D13" s="138" t="s">
        <v>1541</v>
      </c>
      <c r="F13" s="138">
        <v>0</v>
      </c>
      <c r="K13" s="149" t="s">
        <v>73</v>
      </c>
      <c r="L13" s="150"/>
      <c r="M13" s="150"/>
    </row>
    <row r="14" spans="1:28" ht="18.75" customHeight="1">
      <c r="A14" s="140" t="s">
        <v>1509</v>
      </c>
      <c r="B14" s="140" t="b">
        <f ca="1">ISREF(仕向地集計(トップ))</f>
        <v>0</v>
      </c>
      <c r="D14" s="138" t="s">
        <v>1544</v>
      </c>
      <c r="F14" s="138">
        <v>0</v>
      </c>
      <c r="K14" s="149" t="s">
        <v>259</v>
      </c>
      <c r="L14" s="150"/>
      <c r="M14" s="150"/>
    </row>
    <row r="15" spans="1:28" ht="18.75" customHeight="1">
      <c r="A15" s="140" t="s">
        <v>1512</v>
      </c>
      <c r="B15" s="140" t="b">
        <f>ISREF(該当取引)</f>
        <v>0</v>
      </c>
      <c r="D15" s="138" t="s">
        <v>1548</v>
      </c>
      <c r="F15" s="138">
        <v>0</v>
      </c>
      <c r="K15" s="149" t="s">
        <v>252</v>
      </c>
      <c r="L15" s="150"/>
      <c r="M15" s="150"/>
    </row>
    <row r="16" spans="1:28" ht="18.75" customHeight="1">
      <c r="A16" s="140" t="s">
        <v>1520</v>
      </c>
      <c r="B16" s="140" t="b">
        <f>ISREF(Range_組織辞書)</f>
        <v>1</v>
      </c>
      <c r="D16" s="138" t="s">
        <v>1551</v>
      </c>
      <c r="F16" s="138">
        <v>0</v>
      </c>
      <c r="K16" s="149" t="s">
        <v>1085</v>
      </c>
      <c r="L16" s="150"/>
      <c r="M16" s="150"/>
    </row>
    <row r="17" spans="1:13" ht="18.75" customHeight="1">
      <c r="D17" s="138" t="s">
        <v>1557</v>
      </c>
      <c r="F17" s="138">
        <v>0</v>
      </c>
      <c r="K17" s="149" t="s">
        <v>116</v>
      </c>
      <c r="L17" s="150"/>
      <c r="M17" s="150"/>
    </row>
    <row r="18" spans="1:13" ht="18.75" customHeight="1">
      <c r="D18" s="138" t="s">
        <v>1558</v>
      </c>
      <c r="F18" s="138">
        <v>0</v>
      </c>
    </row>
    <row r="19" spans="1:13" ht="18.75" customHeight="1">
      <c r="A19" s="143" t="s">
        <v>1499</v>
      </c>
      <c r="B19" s="157"/>
      <c r="D19" s="138" t="s">
        <v>1562</v>
      </c>
      <c r="F19" s="138">
        <v>0</v>
      </c>
    </row>
    <row r="20" spans="1:13" ht="18.75" customHeight="1">
      <c r="A20" s="140" t="s">
        <v>1500</v>
      </c>
      <c r="B20" s="157"/>
      <c r="D20" s="138" t="s">
        <v>1385</v>
      </c>
      <c r="F20" s="138">
        <v>0</v>
      </c>
    </row>
    <row r="21" spans="1:13" ht="18.75" customHeight="1">
      <c r="A21" s="140" t="s">
        <v>1502</v>
      </c>
      <c r="B21" s="157"/>
      <c r="D21" s="138" t="s">
        <v>1564</v>
      </c>
      <c r="F21" s="138">
        <v>0</v>
      </c>
    </row>
    <row r="22" spans="1:13" ht="18.75" customHeight="1">
      <c r="A22" s="140" t="s">
        <v>1503</v>
      </c>
      <c r="B22" s="157"/>
      <c r="D22" s="138" t="s">
        <v>1398</v>
      </c>
      <c r="F22" s="138">
        <v>0</v>
      </c>
    </row>
    <row r="23" spans="1:13" ht="18.75" customHeight="1">
      <c r="A23" s="140" t="s">
        <v>1504</v>
      </c>
      <c r="B23" s="157"/>
      <c r="D23" s="138" t="s">
        <v>1419</v>
      </c>
      <c r="F23" s="138">
        <v>0</v>
      </c>
    </row>
    <row r="24" spans="1:13" ht="18.75" customHeight="1">
      <c r="A24" s="140" t="s">
        <v>1505</v>
      </c>
      <c r="B24" s="157"/>
      <c r="D24" s="138" t="s">
        <v>545</v>
      </c>
      <c r="F24" s="138">
        <v>1</v>
      </c>
    </row>
    <row r="25" spans="1:13" ht="18.75" customHeight="1">
      <c r="A25" s="140" t="s">
        <v>1506</v>
      </c>
      <c r="B25" s="157"/>
      <c r="D25" s="138" t="s">
        <v>1434</v>
      </c>
      <c r="F25" s="138">
        <v>0</v>
      </c>
    </row>
    <row r="26" spans="1:13" ht="18.75" customHeight="1">
      <c r="D26" s="138" t="s">
        <v>1437</v>
      </c>
      <c r="F26" s="138">
        <v>0</v>
      </c>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1.集計名_組織_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194" r:id="rId5"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6"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7" name="Button 13">
              <controlPr defaultSize="0" print="0" autoFill="0" autoPict="0" macro="[0]!Sheet1.組織別個別審査集計">
                <anchor moveWithCells="1" sizeWithCells="1">
                  <from>
                    <xdr:col>5</xdr:col>
                    <xdr:colOff>28575</xdr:colOff>
                    <xdr:row>4</xdr:row>
                    <xdr:rowOff>28575</xdr:rowOff>
                  </from>
                  <to>
                    <xdr:col>5</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AB9AA-C5AC-4F3E-AFAF-E6AF2997C378}">
  <sheetPr codeName="Sheet9"/>
  <dimension ref="A1:R22"/>
  <sheetViews>
    <sheetView workbookViewId="0">
      <selection activeCell="B8" sqref="B8"/>
    </sheetView>
  </sheetViews>
  <sheetFormatPr defaultRowHeight="13.5"/>
  <cols>
    <col min="1" max="16384" width="9" style="138"/>
  </cols>
  <sheetData>
    <row r="1" spans="1:18">
      <c r="A1" s="139" t="s">
        <v>1486</v>
      </c>
      <c r="B1" s="139" t="s">
        <v>1487</v>
      </c>
      <c r="D1" s="139" t="s">
        <v>1488</v>
      </c>
      <c r="E1" s="139" t="s">
        <v>1489</v>
      </c>
    </row>
    <row r="2" spans="1:18" ht="18.75">
      <c r="D2" t="s">
        <v>1521</v>
      </c>
      <c r="E2" t="s">
        <v>1072</v>
      </c>
      <c r="F2" t="s">
        <v>1074</v>
      </c>
      <c r="G2" t="s">
        <v>1522</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1523</v>
      </c>
      <c r="K3" t="s">
        <v>1524</v>
      </c>
      <c r="L3" t="s">
        <v>1099</v>
      </c>
      <c r="M3"/>
      <c r="N3"/>
      <c r="O3"/>
      <c r="P3"/>
      <c r="Q3"/>
      <c r="R3"/>
    </row>
    <row r="4" spans="1:18" ht="18.75">
      <c r="D4" t="s">
        <v>1260</v>
      </c>
      <c r="E4" t="s">
        <v>139</v>
      </c>
      <c r="F4" t="s">
        <v>47</v>
      </c>
      <c r="G4" t="s">
        <v>1102</v>
      </c>
      <c r="H4" t="s">
        <v>1525</v>
      </c>
      <c r="I4" t="s">
        <v>1104</v>
      </c>
      <c r="J4" t="s">
        <v>101</v>
      </c>
      <c r="K4" t="s">
        <v>1105</v>
      </c>
      <c r="L4" t="s">
        <v>32</v>
      </c>
      <c r="M4" t="s">
        <v>128</v>
      </c>
      <c r="N4" t="s">
        <v>1106</v>
      </c>
      <c r="O4" t="s">
        <v>90</v>
      </c>
      <c r="P4" t="s">
        <v>596</v>
      </c>
      <c r="Q4" t="s">
        <v>1109</v>
      </c>
      <c r="R4" t="s">
        <v>1110</v>
      </c>
    </row>
    <row r="5" spans="1:18" ht="18.75">
      <c r="D5" t="s">
        <v>1287</v>
      </c>
      <c r="E5" t="s">
        <v>1526</v>
      </c>
      <c r="F5" t="s">
        <v>191</v>
      </c>
      <c r="G5" t="s">
        <v>1527</v>
      </c>
      <c r="H5" t="s">
        <v>1528</v>
      </c>
      <c r="I5"/>
      <c r="J5"/>
      <c r="K5"/>
      <c r="L5"/>
      <c r="M5"/>
      <c r="N5"/>
      <c r="O5"/>
      <c r="P5"/>
      <c r="Q5"/>
      <c r="R5"/>
    </row>
    <row r="6" spans="1:18" ht="18.75">
      <c r="D6" t="s">
        <v>1296</v>
      </c>
      <c r="E6" t="s">
        <v>1529</v>
      </c>
      <c r="F6" t="s">
        <v>368</v>
      </c>
      <c r="G6" t="s">
        <v>1195</v>
      </c>
      <c r="H6" t="s">
        <v>1117</v>
      </c>
      <c r="I6"/>
      <c r="J6"/>
      <c r="K6"/>
      <c r="L6"/>
      <c r="M6"/>
      <c r="N6"/>
      <c r="O6"/>
      <c r="P6"/>
      <c r="Q6"/>
      <c r="R6"/>
    </row>
    <row r="7" spans="1:18" ht="18.75">
      <c r="D7" t="s">
        <v>1530</v>
      </c>
      <c r="E7" t="s">
        <v>1531</v>
      </c>
      <c r="F7" t="s">
        <v>1532</v>
      </c>
      <c r="G7" t="s">
        <v>635</v>
      </c>
      <c r="H7" t="s">
        <v>1533</v>
      </c>
      <c r="I7" t="s">
        <v>1534</v>
      </c>
      <c r="J7" t="s">
        <v>1535</v>
      </c>
      <c r="K7"/>
      <c r="L7"/>
      <c r="M7"/>
      <c r="N7"/>
      <c r="O7"/>
      <c r="P7"/>
      <c r="Q7"/>
      <c r="R7"/>
    </row>
    <row r="8" spans="1:18" ht="18.75">
      <c r="D8" t="s">
        <v>1536</v>
      </c>
      <c r="E8" t="s">
        <v>1537</v>
      </c>
      <c r="F8" t="s">
        <v>271</v>
      </c>
      <c r="G8" t="s">
        <v>1538</v>
      </c>
      <c r="H8" t="s">
        <v>1539</v>
      </c>
      <c r="I8" t="s">
        <v>264</v>
      </c>
      <c r="J8" t="s">
        <v>1540</v>
      </c>
      <c r="K8"/>
      <c r="L8"/>
      <c r="M8"/>
      <c r="N8"/>
      <c r="O8"/>
      <c r="P8"/>
      <c r="Q8"/>
      <c r="R8"/>
    </row>
    <row r="9" spans="1:18" ht="18.75">
      <c r="D9" t="s">
        <v>1541</v>
      </c>
      <c r="E9" t="s">
        <v>1542</v>
      </c>
      <c r="F9" t="s">
        <v>396</v>
      </c>
      <c r="G9" t="s">
        <v>236</v>
      </c>
      <c r="H9" t="s">
        <v>1543</v>
      </c>
      <c r="I9"/>
      <c r="J9"/>
      <c r="K9"/>
      <c r="L9"/>
      <c r="M9"/>
      <c r="N9"/>
      <c r="O9"/>
      <c r="P9"/>
      <c r="Q9"/>
      <c r="R9"/>
    </row>
    <row r="10" spans="1:18" ht="18.75">
      <c r="D10" t="s">
        <v>1544</v>
      </c>
      <c r="E10" t="s">
        <v>718</v>
      </c>
      <c r="F10" t="s">
        <v>1545</v>
      </c>
      <c r="G10" t="s">
        <v>1546</v>
      </c>
      <c r="H10" t="s">
        <v>1547</v>
      </c>
      <c r="I10"/>
      <c r="J10"/>
      <c r="K10"/>
      <c r="L10"/>
      <c r="M10"/>
      <c r="N10"/>
      <c r="O10"/>
      <c r="P10"/>
      <c r="Q10"/>
      <c r="R10"/>
    </row>
    <row r="11" spans="1:18" ht="18.75">
      <c r="D11" t="s">
        <v>1548</v>
      </c>
      <c r="E11" t="s">
        <v>1549</v>
      </c>
      <c r="F11" t="s">
        <v>1550</v>
      </c>
      <c r="G11"/>
      <c r="H11"/>
      <c r="I11"/>
      <c r="J11"/>
      <c r="K11"/>
      <c r="L11"/>
      <c r="M11"/>
      <c r="N11"/>
      <c r="O11"/>
      <c r="P11"/>
      <c r="Q11"/>
      <c r="R11"/>
    </row>
    <row r="12" spans="1:18" ht="18.75">
      <c r="D12" t="s">
        <v>1551</v>
      </c>
      <c r="E12" t="s">
        <v>1552</v>
      </c>
      <c r="F12" t="s">
        <v>1553</v>
      </c>
      <c r="G12" t="s">
        <v>1554</v>
      </c>
      <c r="H12" t="s">
        <v>1555</v>
      </c>
      <c r="I12" t="s">
        <v>1556</v>
      </c>
      <c r="J12"/>
      <c r="K12"/>
      <c r="L12"/>
      <c r="M12"/>
      <c r="N12"/>
      <c r="O12"/>
      <c r="P12"/>
      <c r="Q12"/>
      <c r="R12"/>
    </row>
    <row r="13" spans="1:18" ht="18.75">
      <c r="D13" t="s">
        <v>1557</v>
      </c>
      <c r="E13"/>
      <c r="F13"/>
      <c r="G13"/>
      <c r="H13"/>
      <c r="I13"/>
      <c r="J13"/>
      <c r="K13"/>
      <c r="L13"/>
      <c r="M13"/>
      <c r="N13"/>
      <c r="O13"/>
      <c r="P13"/>
      <c r="Q13"/>
      <c r="R13"/>
    </row>
    <row r="14" spans="1:18" ht="18.75">
      <c r="D14" t="s">
        <v>1558</v>
      </c>
      <c r="E14" t="s">
        <v>1559</v>
      </c>
      <c r="F14" t="s">
        <v>1560</v>
      </c>
      <c r="G14" t="s">
        <v>1561</v>
      </c>
      <c r="H14"/>
      <c r="I14"/>
      <c r="J14"/>
      <c r="K14"/>
      <c r="L14"/>
      <c r="M14"/>
      <c r="N14"/>
      <c r="O14"/>
      <c r="P14"/>
      <c r="Q14"/>
      <c r="R14"/>
    </row>
    <row r="15" spans="1:18" ht="18.75">
      <c r="D15" t="s">
        <v>1562</v>
      </c>
      <c r="E15" t="s">
        <v>1563</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1564</v>
      </c>
      <c r="E17" t="s">
        <v>1565</v>
      </c>
      <c r="F17" t="s">
        <v>1566</v>
      </c>
      <c r="G17" t="s">
        <v>1567</v>
      </c>
      <c r="H17" t="s">
        <v>1568</v>
      </c>
      <c r="I17"/>
      <c r="J17"/>
      <c r="K17"/>
      <c r="L17"/>
      <c r="M17"/>
      <c r="N17"/>
      <c r="O17"/>
      <c r="P17"/>
      <c r="Q17"/>
      <c r="R17"/>
    </row>
    <row r="18" spans="4:18" ht="18.75">
      <c r="D18" t="s">
        <v>1398</v>
      </c>
      <c r="E18" t="s">
        <v>1156</v>
      </c>
      <c r="F18" t="s">
        <v>1157</v>
      </c>
      <c r="G18" t="s">
        <v>1569</v>
      </c>
      <c r="H18" t="s">
        <v>1159</v>
      </c>
      <c r="I18" t="s">
        <v>1160</v>
      </c>
      <c r="J18" t="s">
        <v>1410</v>
      </c>
      <c r="K18" t="s">
        <v>1161</v>
      </c>
      <c r="L18" t="s">
        <v>1570</v>
      </c>
      <c r="M18" t="s">
        <v>1571</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1572</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1D75E-8496-477F-A73A-36CDAB9D1D06}">
  <sheetPr codeName="Sheet6"/>
  <dimension ref="A1:E1"/>
  <sheetViews>
    <sheetView workbookViewId="0">
      <selection activeCell="D2" sqref="D2:G5"/>
    </sheetView>
  </sheetViews>
  <sheetFormatPr defaultRowHeight="13.5"/>
  <cols>
    <col min="1" max="16384" width="9" style="138"/>
  </cols>
  <sheetData>
    <row r="1" spans="1:5">
      <c r="A1" s="139" t="s">
        <v>1486</v>
      </c>
      <c r="B1" s="139" t="s">
        <v>1487</v>
      </c>
      <c r="D1" s="139" t="s">
        <v>1488</v>
      </c>
      <c r="E1" s="139" t="s">
        <v>1489</v>
      </c>
    </row>
  </sheetData>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121"/>
  <sheetViews>
    <sheetView showGridLines="0" view="pageBreakPreview" topLeftCell="A100" zoomScale="90" zoomScaleNormal="85" zoomScaleSheetLayoutView="90" workbookViewId="0">
      <selection activeCell="B126" sqref="B126"/>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2" t="s">
        <v>1210</v>
      </c>
      <c r="C4" s="163"/>
      <c r="D4" s="164"/>
      <c r="E4" s="168" t="s">
        <v>1211</v>
      </c>
      <c r="F4" s="168" t="s">
        <v>1212</v>
      </c>
    </row>
    <row r="5" spans="2:7" ht="14.25" thickBot="1">
      <c r="B5" s="165"/>
      <c r="C5" s="166"/>
      <c r="D5" s="167"/>
      <c r="E5" s="169"/>
      <c r="F5" s="169"/>
    </row>
    <row r="6" spans="2:7" s="72" customFormat="1" ht="14.25" customHeight="1" thickTop="1">
      <c r="B6" s="170" t="s">
        <v>1213</v>
      </c>
      <c r="C6" s="171"/>
      <c r="D6" s="69"/>
      <c r="E6" s="13" t="s">
        <v>1519</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2" t="s">
        <v>1250</v>
      </c>
      <c r="D24" s="173"/>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78" t="s">
        <v>1172</v>
      </c>
      <c r="D2" s="178"/>
      <c r="E2" s="37">
        <f>E8-E7</f>
        <v>18</v>
      </c>
      <c r="H2">
        <v>13</v>
      </c>
      <c r="M2" s="36"/>
      <c r="N2" s="178" t="s">
        <v>1172</v>
      </c>
      <c r="O2" s="178"/>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77" t="s">
        <v>1179</v>
      </c>
      <c r="D7" s="179"/>
      <c r="E7" s="40">
        <v>87</v>
      </c>
      <c r="F7" t="s">
        <v>1063</v>
      </c>
      <c r="G7">
        <f t="shared" si="0"/>
        <v>180</v>
      </c>
      <c r="M7" s="38"/>
      <c r="N7" s="177" t="s">
        <v>1179</v>
      </c>
      <c r="O7" s="179"/>
      <c r="P7" s="40">
        <v>93</v>
      </c>
    </row>
    <row r="8" spans="1:18">
      <c r="B8" s="176" t="s">
        <v>1180</v>
      </c>
      <c r="C8" s="177"/>
      <c r="D8" s="179"/>
      <c r="E8" s="40">
        <v>105</v>
      </c>
      <c r="F8" t="s">
        <v>1176</v>
      </c>
      <c r="G8">
        <f t="shared" si="0"/>
        <v>210</v>
      </c>
      <c r="M8" s="176" t="s">
        <v>1180</v>
      </c>
      <c r="N8" s="177"/>
      <c r="O8" s="179"/>
      <c r="P8" s="40">
        <v>105</v>
      </c>
    </row>
    <row r="9" spans="1:18">
      <c r="B9" s="38"/>
      <c r="C9" s="39"/>
      <c r="D9" s="39"/>
      <c r="E9" s="41"/>
      <c r="G9">
        <f t="shared" si="0"/>
        <v>0</v>
      </c>
      <c r="M9" s="38"/>
      <c r="N9" s="39"/>
      <c r="O9" s="39"/>
      <c r="P9" s="41"/>
    </row>
    <row r="10" spans="1:18">
      <c r="B10" s="176" t="s">
        <v>1181</v>
      </c>
      <c r="C10" s="177"/>
      <c r="D10" s="177"/>
      <c r="E10" s="40">
        <v>1</v>
      </c>
      <c r="G10">
        <f t="shared" si="0"/>
        <v>81</v>
      </c>
      <c r="M10" s="176" t="s">
        <v>1181</v>
      </c>
      <c r="N10" s="177"/>
      <c r="O10" s="177"/>
      <c r="P10" s="40">
        <v>80</v>
      </c>
    </row>
    <row r="11" spans="1:18" ht="19.5" thickBot="1">
      <c r="B11" s="174" t="s">
        <v>1182</v>
      </c>
      <c r="C11" s="175"/>
      <c r="D11" s="175"/>
      <c r="E11" s="42">
        <f>G17</f>
        <v>279</v>
      </c>
      <c r="G11">
        <f t="shared" si="0"/>
        <v>542</v>
      </c>
      <c r="M11" s="174" t="s">
        <v>1182</v>
      </c>
      <c r="N11" s="175"/>
      <c r="O11" s="175"/>
      <c r="P11" s="42">
        <v>263</v>
      </c>
    </row>
    <row r="12" spans="1:18" ht="19.5" thickTop="1"/>
    <row r="13" spans="1:18">
      <c r="B13" s="176" t="s">
        <v>1183</v>
      </c>
      <c r="C13" s="177"/>
      <c r="D13" s="177"/>
      <c r="E13" s="40">
        <f>185+E8+E10</f>
        <v>291</v>
      </c>
      <c r="M13" s="176" t="s">
        <v>1183</v>
      </c>
      <c r="N13" s="177"/>
      <c r="O13" s="177"/>
      <c r="P13" s="40">
        <f>P8+P10</f>
        <v>185</v>
      </c>
    </row>
    <row r="14" spans="1:18" ht="19.5" thickBot="1">
      <c r="B14" s="174" t="s">
        <v>1184</v>
      </c>
      <c r="C14" s="175"/>
      <c r="D14" s="175"/>
      <c r="E14" s="42">
        <f>368+E11+E8</f>
        <v>752</v>
      </c>
      <c r="M14" s="174" t="s">
        <v>1184</v>
      </c>
      <c r="N14" s="175"/>
      <c r="O14" s="175"/>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31</vt:i4>
      </vt:variant>
    </vt:vector>
  </HeadingPairs>
  <TitlesOfParts>
    <vt:vector size="40" baseType="lpstr">
      <vt:lpstr>yushutsu_kobetsu</vt:lpstr>
      <vt:lpstr>中間処理シート</vt:lpstr>
      <vt:lpstr>ダッシュボード</vt:lpstr>
      <vt:lpstr>組織略称</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取引区分</vt:lpstr>
      <vt:lpstr>集計期間</vt:lpstr>
      <vt:lpstr>集計状況</vt:lpstr>
      <vt:lpstr>集計名例外解決</vt:lpstr>
      <vt:lpstr>少額特例適用件数</vt:lpstr>
      <vt:lpstr>承認記録</vt:lpstr>
      <vt:lpstr>申請者所属</vt:lpstr>
      <vt:lpstr>組織</vt:lpstr>
      <vt:lpstr>組織集計</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2020-10-26T14:43:31Z</dcterms:modified>
</cp:coreProperties>
</file>