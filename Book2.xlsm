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7.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231" codeName="{4470D2CD-2249-CD33-4A35-6F278624656F}"/>
  <workbookPr codeName="ThisWorkbook"/>
  <mc:AlternateContent xmlns:mc="http://schemas.openxmlformats.org/markup-compatibility/2006">
    <mc:Choice Requires="x15">
      <x15ac:absPath xmlns:x15ac="http://schemas.microsoft.com/office/spreadsheetml/2010/11/ac" url="G:\user01\Github\Excel_-事経会議集計\"/>
    </mc:Choice>
  </mc:AlternateContent>
  <xr:revisionPtr revIDLastSave="0" documentId="13_ncr:1_{6E2C4326-F9EC-4A66-8BF7-41AF72BFA2FD}" xr6:coauthVersionLast="45" xr6:coauthVersionMax="45" xr10:uidLastSave="{00000000-0000-0000-0000-000000000000}"/>
  <bookViews>
    <workbookView xWindow="1590" yWindow="390" windowWidth="23400" windowHeight="11250" activeTab="2" xr2:uid="{00000000-000D-0000-FFFF-FFFF00000000}"/>
  </bookViews>
  <sheets>
    <sheet name="yushutsu_kobetsu" sheetId="2" r:id="rId1"/>
    <sheet name="中間処理シート" sheetId="3" r:id="rId2"/>
    <sheet name="ダッシュボード" sheetId="11" r:id="rId3"/>
    <sheet name="組織辞書" sheetId="12" r:id="rId4"/>
    <sheet name="仕向地" sheetId="10" r:id="rId5"/>
    <sheet name="組織名称・略称・英文呼称" sheetId="7" r:id="rId6"/>
    <sheet name="審査件数" sheetId="5" r:id="rId7"/>
    <sheet name="別表１～３" sheetId="6" r:id="rId8"/>
    <sheet name="包括・特例" sheetId="9" r:id="rId9"/>
  </sheets>
  <functionGroups builtInGroupCount="19"/>
  <definedNames>
    <definedName name="_xlnm._FilterDatabase" localSheetId="0" hidden="1">yushutsu_kobetsu!$A$1:$X$249</definedName>
    <definedName name="_xlnm._FilterDatabase" localSheetId="5" hidden="1">組織名称・略称・英文呼称!$A$4:$I$122</definedName>
    <definedName name="BU抽出">中間処理シート!$A$7</definedName>
    <definedName name="_xlnm.Print_Area" localSheetId="5">組織名称・略称・英文呼称!$B$1:$F$121</definedName>
    <definedName name="_xlnm.Print_Titles" localSheetId="5">組織名称・略称・英文呼称!$4:$5</definedName>
    <definedName name="Range_組織辞書">組織辞書!$D$2:$R$23</definedName>
    <definedName name="Z_ABB5181E_BFEA_47AE_9492_1486C0A26110_.wvu.PrintArea" localSheetId="5" hidden="1">組織名称・略称・英文呼称!$B$1:$F$121</definedName>
    <definedName name="Z_ABB5181E_BFEA_47AE_9492_1486C0A26110_.wvu.PrintTitles" localSheetId="5" hidden="1">組織名称・略称・英文呼称!$4:$5</definedName>
    <definedName name="該当国内取引件数">ダッシュボード!$B$25</definedName>
    <definedName name="管理番号">yushutsu_kobetsu!$A:$A</definedName>
    <definedName name="期間＿開始">中間処理シート!$A$3</definedName>
    <definedName name="期間＿終了">中間処理シート!$A$5</definedName>
    <definedName name="期間の審査件数">ダッシュボード!$B$21</definedName>
    <definedName name="期間の審査数">中間処理シート!$A$22</definedName>
    <definedName name="金額_円">yushutsu_kobetsu!$J:$J</definedName>
    <definedName name="区分抽出">中間処理シート!$A$9</definedName>
    <definedName name="件名">yushutsu_kobetsu!$G:$G</definedName>
    <definedName name="顧客・契約先">yushutsu_kobetsu!$M:$M</definedName>
    <definedName name="公知特例適用件数">ダッシュボード!$B$24</definedName>
    <definedName name="最終需要者">yushutsu_kobetsu!$N:$N</definedName>
    <definedName name="仕向地">yushutsu_kobetsu!$K:$K</definedName>
    <definedName name="仕向地抽出">中間処理シート!$A$11</definedName>
    <definedName name="取引集計">ダッシュボード!$K$6</definedName>
    <definedName name="取引集計＿非ゼロ">ダッシュボード!$N$6</definedName>
    <definedName name="集計期間">ダッシュボード!$A$2:$A$3</definedName>
    <definedName name="集計状況">ダッシュボード!$B$19</definedName>
    <definedName name="集計名例外解決">ダッシュボード!$B$20</definedName>
    <definedName name="少額特例適用件数">ダッシュボード!$B$23</definedName>
    <definedName name="承認記録">yushutsu_kobetsu!$1:$1048576</definedName>
    <definedName name="申請者所属">yushutsu_kobetsu!$O:$O</definedName>
    <definedName name="組織" comment="組織の３文字略称の列ベクトル。セルの色で親組織とそれに属する組織が識別されているもの。かつ、第１行が親組織で始まるもの。">組織名称・略称・英文呼称!$G$122:$G$242</definedName>
    <definedName name="組織集計">ダッシュボード!$D$6</definedName>
    <definedName name="組織集計＿非ゼロ">ダッシュボード!$G$6</definedName>
    <definedName name="特例抽出">中間処理シート!$A$16</definedName>
    <definedName name="非許可特例抽出">中間処理シート!$A$19</definedName>
    <definedName name="包括許可適用件数">ダッシュボード!$B$22</definedName>
    <definedName name="包括抽出">中間処理シート!$A$13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6" i="11" l="1"/>
  <c r="B15" i="11"/>
  <c r="B14" i="11"/>
  <c r="B13" i="11"/>
  <c r="B12" i="11"/>
  <c r="B11" i="11"/>
  <c r="B10" i="11"/>
  <c r="B9" i="11"/>
  <c r="B8" i="11"/>
  <c r="B7" i="11"/>
  <c r="B6" i="11"/>
  <c r="AE255" i="3" l="1"/>
  <c r="AE254" i="3"/>
  <c r="AE253" i="3"/>
  <c r="AF253" i="3" s="1"/>
  <c r="AE252" i="3"/>
  <c r="AF252" i="3" s="1"/>
  <c r="AE251" i="3"/>
  <c r="AE250" i="3"/>
  <c r="AE249" i="3"/>
  <c r="AF249" i="3" s="1"/>
  <c r="AE248" i="3"/>
  <c r="AF248" i="3" s="1"/>
  <c r="AE247" i="3"/>
  <c r="AE246" i="3"/>
  <c r="AE245" i="3"/>
  <c r="AF245" i="3" s="1"/>
  <c r="AE244" i="3"/>
  <c r="AF244" i="3" s="1"/>
  <c r="AE243" i="3"/>
  <c r="AE242" i="3"/>
  <c r="AE241" i="3"/>
  <c r="AF241" i="3" s="1"/>
  <c r="AE240" i="3"/>
  <c r="AF240" i="3" s="1"/>
  <c r="AE239" i="3"/>
  <c r="AE238" i="3"/>
  <c r="AE237" i="3"/>
  <c r="AF237" i="3" s="1"/>
  <c r="AE236" i="3"/>
  <c r="AF236" i="3" s="1"/>
  <c r="AE235" i="3"/>
  <c r="AE234" i="3"/>
  <c r="AE233" i="3"/>
  <c r="AF233" i="3" s="1"/>
  <c r="AE232" i="3"/>
  <c r="AF232" i="3" s="1"/>
  <c r="AE231" i="3"/>
  <c r="AE230" i="3"/>
  <c r="AE229" i="3"/>
  <c r="AF229" i="3" s="1"/>
  <c r="AE228" i="3"/>
  <c r="AF228" i="3" s="1"/>
  <c r="AE227" i="3"/>
  <c r="AE226" i="3"/>
  <c r="AE225" i="3"/>
  <c r="AF225" i="3" s="1"/>
  <c r="AE224" i="3"/>
  <c r="AF224" i="3" s="1"/>
  <c r="AE223" i="3"/>
  <c r="AE222" i="3"/>
  <c r="AE221" i="3"/>
  <c r="AF221" i="3" s="1"/>
  <c r="AE220" i="3"/>
  <c r="AF220" i="3" s="1"/>
  <c r="AE219" i="3"/>
  <c r="AE218" i="3"/>
  <c r="AE217" i="3"/>
  <c r="AF217" i="3" s="1"/>
  <c r="AE216" i="3"/>
  <c r="AF216" i="3" s="1"/>
  <c r="AE215" i="3"/>
  <c r="AE214" i="3"/>
  <c r="AE213" i="3"/>
  <c r="AF213" i="3" s="1"/>
  <c r="AE212" i="3"/>
  <c r="AF212" i="3" s="1"/>
  <c r="AE211" i="3"/>
  <c r="AE210" i="3"/>
  <c r="AE209" i="3"/>
  <c r="AF209" i="3" s="1"/>
  <c r="AE208" i="3"/>
  <c r="AF208" i="3" s="1"/>
  <c r="AE207" i="3"/>
  <c r="AE206" i="3"/>
  <c r="AE205" i="3"/>
  <c r="AF205" i="3" s="1"/>
  <c r="AE204" i="3"/>
  <c r="AF204" i="3" s="1"/>
  <c r="AE203" i="3"/>
  <c r="AE202" i="3"/>
  <c r="AE201" i="3"/>
  <c r="AF201" i="3" s="1"/>
  <c r="AE200" i="3"/>
  <c r="AF200" i="3" s="1"/>
  <c r="AE199" i="3"/>
  <c r="AE198" i="3"/>
  <c r="AE197" i="3"/>
  <c r="AF197" i="3" s="1"/>
  <c r="AE196" i="3"/>
  <c r="AF196" i="3" s="1"/>
  <c r="AE195" i="3"/>
  <c r="AE194" i="3"/>
  <c r="AE193" i="3"/>
  <c r="AF193" i="3" s="1"/>
  <c r="AE192" i="3"/>
  <c r="AF192" i="3" s="1"/>
  <c r="AE191" i="3"/>
  <c r="AE190" i="3"/>
  <c r="AE189" i="3"/>
  <c r="AF189" i="3" s="1"/>
  <c r="AE188" i="3"/>
  <c r="AF188" i="3" s="1"/>
  <c r="AE187" i="3"/>
  <c r="AE186" i="3"/>
  <c r="AE185" i="3"/>
  <c r="AF185" i="3" s="1"/>
  <c r="AE184" i="3"/>
  <c r="AF184" i="3" s="1"/>
  <c r="AE183" i="3"/>
  <c r="AE182" i="3"/>
  <c r="AE181" i="3"/>
  <c r="AF181" i="3" s="1"/>
  <c r="AE180" i="3"/>
  <c r="AF180" i="3" s="1"/>
  <c r="AE179" i="3"/>
  <c r="AE178" i="3"/>
  <c r="AE177" i="3"/>
  <c r="AF177" i="3" s="1"/>
  <c r="AE176" i="3"/>
  <c r="AF176" i="3" s="1"/>
  <c r="AE175" i="3"/>
  <c r="AE174" i="3"/>
  <c r="AE173" i="3"/>
  <c r="AF173" i="3" s="1"/>
  <c r="AE172" i="3"/>
  <c r="AF172" i="3" s="1"/>
  <c r="AE171" i="3"/>
  <c r="AE170" i="3"/>
  <c r="AE169" i="3"/>
  <c r="AF169" i="3" s="1"/>
  <c r="AE168" i="3"/>
  <c r="AF168" i="3" s="1"/>
  <c r="AE167" i="3"/>
  <c r="AE166" i="3"/>
  <c r="AE165" i="3"/>
  <c r="AF165" i="3" s="1"/>
  <c r="AE164" i="3"/>
  <c r="AF164" i="3" s="1"/>
  <c r="AE163" i="3"/>
  <c r="AE162" i="3"/>
  <c r="AE161" i="3"/>
  <c r="AF161" i="3" s="1"/>
  <c r="AE160" i="3"/>
  <c r="AF160" i="3" s="1"/>
  <c r="AE159" i="3"/>
  <c r="AE158" i="3"/>
  <c r="AE157" i="3"/>
  <c r="AF157" i="3" s="1"/>
  <c r="AE156" i="3"/>
  <c r="AF156" i="3" s="1"/>
  <c r="AE155" i="3"/>
  <c r="AE154" i="3"/>
  <c r="AE153" i="3"/>
  <c r="AF153" i="3" s="1"/>
  <c r="AE152" i="3"/>
  <c r="AF152" i="3" s="1"/>
  <c r="AE151" i="3"/>
  <c r="AE150" i="3"/>
  <c r="AE149" i="3"/>
  <c r="AF149" i="3" s="1"/>
  <c r="AE148" i="3"/>
  <c r="AF148" i="3" s="1"/>
  <c r="AE147" i="3"/>
  <c r="AE146" i="3"/>
  <c r="AE145" i="3"/>
  <c r="AF145" i="3" s="1"/>
  <c r="AE144" i="3"/>
  <c r="AF144" i="3" s="1"/>
  <c r="AE143" i="3"/>
  <c r="AE142" i="3"/>
  <c r="AE141" i="3"/>
  <c r="AF141" i="3" s="1"/>
  <c r="AE140" i="3"/>
  <c r="AF140" i="3" s="1"/>
  <c r="AE139" i="3"/>
  <c r="AE138" i="3"/>
  <c r="AE137" i="3"/>
  <c r="AF137" i="3" s="1"/>
  <c r="AE136" i="3"/>
  <c r="AF136" i="3" s="1"/>
  <c r="AE135" i="3"/>
  <c r="AE134" i="3"/>
  <c r="AE133" i="3"/>
  <c r="AF133" i="3" s="1"/>
  <c r="AE132" i="3"/>
  <c r="AF132" i="3" s="1"/>
  <c r="AE131" i="3"/>
  <c r="AE130" i="3"/>
  <c r="AE129" i="3"/>
  <c r="AF129" i="3" s="1"/>
  <c r="AE128" i="3"/>
  <c r="AF128" i="3" s="1"/>
  <c r="AE127" i="3"/>
  <c r="AE126" i="3"/>
  <c r="AE125" i="3"/>
  <c r="AF125" i="3" s="1"/>
  <c r="AE124" i="3"/>
  <c r="AF124" i="3" s="1"/>
  <c r="AE123" i="3"/>
  <c r="AE122" i="3"/>
  <c r="AE121" i="3"/>
  <c r="AF121" i="3" s="1"/>
  <c r="AE120" i="3"/>
  <c r="AF120" i="3" s="1"/>
  <c r="AE119" i="3"/>
  <c r="AE118" i="3"/>
  <c r="AE117" i="3"/>
  <c r="AF117" i="3" s="1"/>
  <c r="AE116" i="3"/>
  <c r="AF116" i="3" s="1"/>
  <c r="AE115" i="3"/>
  <c r="AE114" i="3"/>
  <c r="AE113" i="3"/>
  <c r="AF113" i="3" s="1"/>
  <c r="AE112" i="3"/>
  <c r="AF112" i="3" s="1"/>
  <c r="AE111" i="3"/>
  <c r="AE110" i="3"/>
  <c r="AE109" i="3"/>
  <c r="AF109" i="3" s="1"/>
  <c r="AE108" i="3"/>
  <c r="AF108" i="3" s="1"/>
  <c r="AE107" i="3"/>
  <c r="AE106" i="3"/>
  <c r="AE105" i="3"/>
  <c r="AF105" i="3" s="1"/>
  <c r="AE104" i="3"/>
  <c r="AF104" i="3" s="1"/>
  <c r="AE103" i="3"/>
  <c r="AE102" i="3"/>
  <c r="AE101" i="3"/>
  <c r="AF101" i="3" s="1"/>
  <c r="AE100" i="3"/>
  <c r="AF100" i="3" s="1"/>
  <c r="AE99" i="3"/>
  <c r="AE98" i="3"/>
  <c r="AE97" i="3"/>
  <c r="AE96" i="3"/>
  <c r="AF96" i="3" s="1"/>
  <c r="AE95" i="3"/>
  <c r="AE94" i="3"/>
  <c r="AE93" i="3"/>
  <c r="AE92" i="3"/>
  <c r="AE91" i="3"/>
  <c r="AE90" i="3"/>
  <c r="AE89" i="3"/>
  <c r="AF89" i="3" s="1"/>
  <c r="AE88" i="3"/>
  <c r="AF88" i="3" s="1"/>
  <c r="AE87" i="3"/>
  <c r="AE86" i="3"/>
  <c r="AE85" i="3"/>
  <c r="AF85" i="3" s="1"/>
  <c r="AE84" i="3"/>
  <c r="AF84" i="3" s="1"/>
  <c r="AE83" i="3"/>
  <c r="AE82" i="3"/>
  <c r="AE81" i="3"/>
  <c r="AE80" i="3"/>
  <c r="AF80" i="3" s="1"/>
  <c r="AE79" i="3"/>
  <c r="AE78" i="3"/>
  <c r="AE77" i="3"/>
  <c r="AE76" i="3"/>
  <c r="AE75" i="3"/>
  <c r="AE74" i="3"/>
  <c r="AE73" i="3"/>
  <c r="AF73" i="3" s="1"/>
  <c r="AE72" i="3"/>
  <c r="AF72" i="3" s="1"/>
  <c r="AE71" i="3"/>
  <c r="AE70" i="3"/>
  <c r="AE69" i="3"/>
  <c r="AF69" i="3" s="1"/>
  <c r="AE68" i="3"/>
  <c r="AF68" i="3" s="1"/>
  <c r="AE67" i="3"/>
  <c r="AE66" i="3"/>
  <c r="AE65" i="3"/>
  <c r="AE64" i="3"/>
  <c r="AF64" i="3" s="1"/>
  <c r="AE63" i="3"/>
  <c r="AE62" i="3"/>
  <c r="AE61" i="3"/>
  <c r="AE60" i="3"/>
  <c r="AF60" i="3" s="1"/>
  <c r="AE59" i="3"/>
  <c r="AE58" i="3"/>
  <c r="AE57" i="3"/>
  <c r="AF57" i="3" s="1"/>
  <c r="AE56" i="3"/>
  <c r="AF56" i="3" s="1"/>
  <c r="AE55" i="3"/>
  <c r="AE54" i="3"/>
  <c r="AE53" i="3"/>
  <c r="AF53" i="3" s="1"/>
  <c r="AE52" i="3"/>
  <c r="AF52" i="3" s="1"/>
  <c r="AE51" i="3"/>
  <c r="AE50" i="3"/>
  <c r="AE49" i="3"/>
  <c r="AE48" i="3"/>
  <c r="AF48" i="3" s="1"/>
  <c r="AE47" i="3"/>
  <c r="AE46" i="3"/>
  <c r="AE45" i="3"/>
  <c r="AE44" i="3"/>
  <c r="AE43" i="3"/>
  <c r="AE42" i="3"/>
  <c r="AE41" i="3"/>
  <c r="AF41" i="3" s="1"/>
  <c r="AE40" i="3"/>
  <c r="AF40" i="3" s="1"/>
  <c r="AE39" i="3"/>
  <c r="AE38" i="3"/>
  <c r="AE37" i="3"/>
  <c r="AF37" i="3" s="1"/>
  <c r="AE36" i="3"/>
  <c r="AF36" i="3" s="1"/>
  <c r="AE35" i="3"/>
  <c r="AE34" i="3"/>
  <c r="AE29" i="3"/>
  <c r="AF29" i="3" s="1"/>
  <c r="AE3" i="3"/>
  <c r="AE256" i="3"/>
  <c r="AF256" i="3" s="1"/>
  <c r="AC256" i="3"/>
  <c r="AF255" i="3"/>
  <c r="AC255" i="3"/>
  <c r="AF254" i="3"/>
  <c r="AC254" i="3"/>
  <c r="AC253" i="3"/>
  <c r="AC252" i="3"/>
  <c r="AF251" i="3"/>
  <c r="AC251" i="3"/>
  <c r="AF250" i="3"/>
  <c r="AC250" i="3"/>
  <c r="AC249" i="3"/>
  <c r="AC248" i="3"/>
  <c r="AF247" i="3"/>
  <c r="AC247" i="3"/>
  <c r="AF246" i="3"/>
  <c r="AC246" i="3"/>
  <c r="AC245" i="3"/>
  <c r="AC244" i="3"/>
  <c r="AF243" i="3"/>
  <c r="AC243" i="3"/>
  <c r="AF242" i="3"/>
  <c r="AC242" i="3"/>
  <c r="AC241" i="3"/>
  <c r="AC240" i="3"/>
  <c r="AF239" i="3"/>
  <c r="AC239" i="3"/>
  <c r="AF238" i="3"/>
  <c r="AC238" i="3"/>
  <c r="AC237" i="3"/>
  <c r="AC236" i="3"/>
  <c r="AF235" i="3"/>
  <c r="AC235" i="3"/>
  <c r="AF234" i="3"/>
  <c r="AC234" i="3"/>
  <c r="AC233" i="3"/>
  <c r="AC232" i="3"/>
  <c r="AF231" i="3"/>
  <c r="AC231" i="3"/>
  <c r="AF230" i="3"/>
  <c r="AC230" i="3"/>
  <c r="AC229" i="3"/>
  <c r="AC228" i="3"/>
  <c r="AF227" i="3"/>
  <c r="AC227" i="3"/>
  <c r="AF226" i="3"/>
  <c r="AC226" i="3"/>
  <c r="AC225" i="3"/>
  <c r="AC224" i="3"/>
  <c r="AF223" i="3"/>
  <c r="AC223" i="3"/>
  <c r="AF222" i="3"/>
  <c r="AC222" i="3"/>
  <c r="AC221" i="3"/>
  <c r="AC220" i="3"/>
  <c r="AF219" i="3"/>
  <c r="AC219" i="3"/>
  <c r="AF218" i="3"/>
  <c r="AC218" i="3"/>
  <c r="AC217" i="3"/>
  <c r="AC216" i="3"/>
  <c r="AF215" i="3"/>
  <c r="AC215" i="3"/>
  <c r="AF214" i="3"/>
  <c r="AC214" i="3"/>
  <c r="AC213" i="3"/>
  <c r="AC212" i="3"/>
  <c r="AF211" i="3"/>
  <c r="AC211" i="3"/>
  <c r="AF210" i="3"/>
  <c r="AC210" i="3"/>
  <c r="AC209" i="3"/>
  <c r="AC208" i="3"/>
  <c r="AF207" i="3"/>
  <c r="AC207" i="3"/>
  <c r="AF206" i="3"/>
  <c r="AC206" i="3"/>
  <c r="AC205" i="3"/>
  <c r="AC204" i="3"/>
  <c r="AF203" i="3"/>
  <c r="AC203" i="3"/>
  <c r="AF202" i="3"/>
  <c r="AC202" i="3"/>
  <c r="AC201" i="3"/>
  <c r="AC200" i="3"/>
  <c r="AF199" i="3"/>
  <c r="AC199" i="3"/>
  <c r="AF198" i="3"/>
  <c r="AC198" i="3"/>
  <c r="AC197" i="3"/>
  <c r="AC196" i="3"/>
  <c r="AF195" i="3"/>
  <c r="AC195" i="3"/>
  <c r="AF194" i="3"/>
  <c r="AC194" i="3"/>
  <c r="AC193" i="3"/>
  <c r="AC192" i="3"/>
  <c r="AF191" i="3"/>
  <c r="AC191" i="3"/>
  <c r="AF190" i="3"/>
  <c r="AC190" i="3"/>
  <c r="AC189" i="3"/>
  <c r="AC188" i="3"/>
  <c r="AF187" i="3"/>
  <c r="AC187" i="3"/>
  <c r="AF186" i="3"/>
  <c r="AC186" i="3"/>
  <c r="AC185" i="3"/>
  <c r="AC184" i="3"/>
  <c r="AF183" i="3"/>
  <c r="AC183" i="3"/>
  <c r="AF182" i="3"/>
  <c r="AC182" i="3"/>
  <c r="AC181" i="3"/>
  <c r="AC180" i="3"/>
  <c r="AF179" i="3"/>
  <c r="AC179" i="3"/>
  <c r="AF178" i="3"/>
  <c r="AC178" i="3"/>
  <c r="AC177" i="3"/>
  <c r="AC176" i="3"/>
  <c r="AF175" i="3"/>
  <c r="AC175" i="3"/>
  <c r="AF174" i="3"/>
  <c r="AC174" i="3"/>
  <c r="AC173" i="3"/>
  <c r="AC172" i="3"/>
  <c r="AF171" i="3"/>
  <c r="AC171" i="3"/>
  <c r="AF170" i="3"/>
  <c r="AC170" i="3"/>
  <c r="AC169" i="3"/>
  <c r="AC168" i="3"/>
  <c r="AF167" i="3"/>
  <c r="AC167" i="3"/>
  <c r="AF166" i="3"/>
  <c r="AC166" i="3"/>
  <c r="AC165" i="3"/>
  <c r="AC164" i="3"/>
  <c r="AF163" i="3"/>
  <c r="AC163" i="3"/>
  <c r="AF162" i="3"/>
  <c r="AC162" i="3"/>
  <c r="AC161" i="3"/>
  <c r="AC160" i="3"/>
  <c r="AF159" i="3"/>
  <c r="AC159" i="3"/>
  <c r="AF158" i="3"/>
  <c r="AC158" i="3"/>
  <c r="AC157" i="3"/>
  <c r="AC156" i="3"/>
  <c r="AF155" i="3"/>
  <c r="AC155" i="3"/>
  <c r="AF154" i="3"/>
  <c r="AC154" i="3"/>
  <c r="AC153" i="3"/>
  <c r="AC152" i="3"/>
  <c r="AF151" i="3"/>
  <c r="AC151" i="3"/>
  <c r="AF150" i="3"/>
  <c r="AC150" i="3"/>
  <c r="AC149" i="3"/>
  <c r="AC148" i="3"/>
  <c r="AF147" i="3"/>
  <c r="AC147" i="3"/>
  <c r="AF146" i="3"/>
  <c r="AC146" i="3"/>
  <c r="AC145" i="3"/>
  <c r="AC144" i="3"/>
  <c r="AF143" i="3"/>
  <c r="AC143" i="3"/>
  <c r="AF142" i="3"/>
  <c r="AC142" i="3"/>
  <c r="AC141" i="3"/>
  <c r="AC140" i="3"/>
  <c r="AF139" i="3"/>
  <c r="AC139" i="3"/>
  <c r="AF138" i="3"/>
  <c r="AC138" i="3"/>
  <c r="AC137" i="3"/>
  <c r="AC136" i="3"/>
  <c r="AF135" i="3"/>
  <c r="AC135" i="3"/>
  <c r="AF134" i="3"/>
  <c r="AC134" i="3"/>
  <c r="AC133" i="3"/>
  <c r="AC132" i="3"/>
  <c r="AF131" i="3"/>
  <c r="AC131" i="3"/>
  <c r="AF130" i="3"/>
  <c r="AC130" i="3"/>
  <c r="AC129" i="3"/>
  <c r="AC128" i="3"/>
  <c r="AF127" i="3"/>
  <c r="AC127" i="3"/>
  <c r="AF126" i="3"/>
  <c r="AC126" i="3"/>
  <c r="AC125" i="3"/>
  <c r="AC124" i="3"/>
  <c r="AF123" i="3"/>
  <c r="AC123" i="3"/>
  <c r="AF122" i="3"/>
  <c r="AC122" i="3"/>
  <c r="AC121" i="3"/>
  <c r="AC120" i="3"/>
  <c r="AF119" i="3"/>
  <c r="AC119" i="3"/>
  <c r="AF118" i="3"/>
  <c r="AC118" i="3"/>
  <c r="AC117" i="3"/>
  <c r="AC116" i="3"/>
  <c r="AF115" i="3"/>
  <c r="AC115" i="3"/>
  <c r="AF114" i="3"/>
  <c r="AC114" i="3"/>
  <c r="AC113" i="3"/>
  <c r="AC112" i="3"/>
  <c r="AF111" i="3"/>
  <c r="AC111" i="3"/>
  <c r="AF110" i="3"/>
  <c r="AC110" i="3"/>
  <c r="AC109" i="3"/>
  <c r="AC108" i="3"/>
  <c r="AF107" i="3"/>
  <c r="AC107" i="3"/>
  <c r="AF106" i="3"/>
  <c r="AC106" i="3"/>
  <c r="AC105" i="3"/>
  <c r="AC104" i="3"/>
  <c r="AF103" i="3"/>
  <c r="AC103" i="3"/>
  <c r="AF99" i="3"/>
  <c r="AF95" i="3"/>
  <c r="AF91" i="3"/>
  <c r="AF87" i="3"/>
  <c r="AF83" i="3"/>
  <c r="AF79" i="3"/>
  <c r="AF75" i="3"/>
  <c r="AF71" i="3"/>
  <c r="AF67" i="3"/>
  <c r="AF63" i="3"/>
  <c r="AF59" i="3"/>
  <c r="AF55" i="3"/>
  <c r="AF51" i="3"/>
  <c r="AF47" i="3"/>
  <c r="AF43" i="3"/>
  <c r="AF39" i="3"/>
  <c r="AF35" i="3"/>
  <c r="AF102" i="3"/>
  <c r="AF98" i="3"/>
  <c r="AF97" i="3"/>
  <c r="AF94" i="3"/>
  <c r="AF93" i="3"/>
  <c r="AF92" i="3"/>
  <c r="AF90" i="3"/>
  <c r="AF86" i="3"/>
  <c r="AF82" i="3"/>
  <c r="AF81" i="3"/>
  <c r="AF78" i="3"/>
  <c r="AF77" i="3"/>
  <c r="AF76" i="3"/>
  <c r="AF74" i="3"/>
  <c r="AF70" i="3"/>
  <c r="AF66" i="3"/>
  <c r="AF65" i="3"/>
  <c r="AF62" i="3"/>
  <c r="AF61" i="3"/>
  <c r="AF58" i="3"/>
  <c r="AF54" i="3"/>
  <c r="AF50" i="3"/>
  <c r="AF49" i="3"/>
  <c r="AF46" i="3"/>
  <c r="AF45" i="3"/>
  <c r="AF44" i="3"/>
  <c r="AF42" i="3"/>
  <c r="AF38" i="3"/>
  <c r="AF34" i="3"/>
  <c r="A28" i="3"/>
  <c r="A26" i="3"/>
  <c r="A24" i="3"/>
  <c r="AF3" i="3" l="1"/>
  <c r="G32" i="9"/>
  <c r="G17" i="9"/>
  <c r="O23" i="5"/>
  <c r="D23" i="5"/>
  <c r="P14" i="5"/>
  <c r="P13" i="5"/>
  <c r="E13" i="5"/>
  <c r="E11" i="5"/>
  <c r="E14" i="5" s="1"/>
  <c r="G10" i="5"/>
  <c r="G9" i="5"/>
  <c r="G8" i="5"/>
  <c r="G7" i="5"/>
  <c r="G6" i="5"/>
  <c r="P5" i="5"/>
  <c r="G5" i="5" s="1"/>
  <c r="P4" i="5"/>
  <c r="G4" i="5" s="1"/>
  <c r="G3" i="5"/>
  <c r="P2" i="5"/>
  <c r="E2" i="5"/>
  <c r="D256" i="3"/>
  <c r="C256" i="3"/>
  <c r="D255" i="3"/>
  <c r="C255" i="3"/>
  <c r="D254" i="3"/>
  <c r="C254" i="3"/>
  <c r="D253" i="3"/>
  <c r="C253" i="3"/>
  <c r="D252" i="3"/>
  <c r="C252" i="3"/>
  <c r="D251" i="3"/>
  <c r="C251" i="3"/>
  <c r="D250" i="3"/>
  <c r="C250" i="3"/>
  <c r="D249" i="3"/>
  <c r="C249" i="3"/>
  <c r="D248" i="3"/>
  <c r="C248" i="3"/>
  <c r="D247" i="3"/>
  <c r="C247" i="3"/>
  <c r="D246" i="3"/>
  <c r="C246" i="3"/>
  <c r="D245" i="3"/>
  <c r="C245" i="3"/>
  <c r="D244" i="3"/>
  <c r="C244" i="3"/>
  <c r="D243" i="3"/>
  <c r="C243" i="3"/>
  <c r="D242" i="3"/>
  <c r="C242" i="3"/>
  <c r="D241" i="3"/>
  <c r="C241" i="3"/>
  <c r="D240" i="3"/>
  <c r="C240" i="3"/>
  <c r="D239" i="3"/>
  <c r="C239" i="3"/>
  <c r="D238" i="3"/>
  <c r="C238" i="3"/>
  <c r="D237" i="3"/>
  <c r="C237" i="3"/>
  <c r="D236" i="3"/>
  <c r="C236" i="3"/>
  <c r="D235" i="3"/>
  <c r="C235" i="3"/>
  <c r="D234" i="3"/>
  <c r="C234" i="3"/>
  <c r="D233" i="3"/>
  <c r="C233" i="3"/>
  <c r="D232" i="3"/>
  <c r="C232" i="3"/>
  <c r="D231" i="3"/>
  <c r="C231" i="3"/>
  <c r="D230" i="3"/>
  <c r="C230" i="3"/>
  <c r="D229" i="3"/>
  <c r="C229" i="3"/>
  <c r="D228" i="3"/>
  <c r="C228" i="3"/>
  <c r="D227" i="3"/>
  <c r="C227" i="3"/>
  <c r="D226" i="3"/>
  <c r="C226" i="3"/>
  <c r="D225" i="3"/>
  <c r="C225" i="3"/>
  <c r="D224" i="3"/>
  <c r="C224" i="3"/>
  <c r="D223" i="3"/>
  <c r="C223" i="3"/>
  <c r="D222" i="3"/>
  <c r="C222" i="3"/>
  <c r="D221" i="3"/>
  <c r="C221" i="3"/>
  <c r="D220" i="3"/>
  <c r="C220" i="3"/>
  <c r="D219" i="3"/>
  <c r="C219" i="3"/>
  <c r="D218" i="3"/>
  <c r="C218" i="3"/>
  <c r="D217" i="3"/>
  <c r="C217" i="3"/>
  <c r="D216" i="3"/>
  <c r="C216" i="3"/>
  <c r="D215" i="3"/>
  <c r="C215" i="3"/>
  <c r="D214" i="3"/>
  <c r="C214" i="3"/>
  <c r="D213" i="3"/>
  <c r="C213" i="3"/>
  <c r="D212" i="3"/>
  <c r="C212" i="3"/>
  <c r="D211" i="3"/>
  <c r="C211" i="3"/>
  <c r="D210" i="3"/>
  <c r="C210" i="3"/>
  <c r="D209" i="3"/>
  <c r="C209" i="3"/>
  <c r="D208" i="3"/>
  <c r="C208" i="3"/>
  <c r="D207" i="3"/>
  <c r="C207" i="3"/>
  <c r="D206" i="3"/>
  <c r="C206" i="3"/>
  <c r="D205" i="3"/>
  <c r="C205" i="3"/>
  <c r="D204" i="3"/>
  <c r="C204" i="3"/>
  <c r="D203" i="3"/>
  <c r="C203" i="3"/>
  <c r="D202" i="3"/>
  <c r="C202" i="3"/>
  <c r="D201" i="3"/>
  <c r="C201" i="3"/>
  <c r="D200" i="3"/>
  <c r="C200" i="3"/>
  <c r="D199" i="3"/>
  <c r="C199" i="3"/>
  <c r="D198" i="3"/>
  <c r="C198" i="3"/>
  <c r="D197" i="3"/>
  <c r="C197" i="3"/>
  <c r="D196" i="3"/>
  <c r="C196" i="3"/>
  <c r="D195" i="3"/>
  <c r="C195" i="3"/>
  <c r="D194" i="3"/>
  <c r="C194" i="3"/>
  <c r="D193" i="3"/>
  <c r="C193" i="3"/>
  <c r="D192" i="3"/>
  <c r="C192" i="3"/>
  <c r="D191" i="3"/>
  <c r="C191" i="3"/>
  <c r="D190" i="3"/>
  <c r="C190" i="3"/>
  <c r="D189" i="3"/>
  <c r="C189" i="3"/>
  <c r="D188" i="3"/>
  <c r="C188" i="3"/>
  <c r="D187" i="3"/>
  <c r="C187" i="3"/>
  <c r="D186" i="3"/>
  <c r="C186" i="3"/>
  <c r="D185" i="3"/>
  <c r="C185" i="3"/>
  <c r="D184" i="3"/>
  <c r="C184" i="3"/>
  <c r="D183" i="3"/>
  <c r="C183" i="3"/>
  <c r="D182" i="3"/>
  <c r="C182" i="3"/>
  <c r="D181" i="3"/>
  <c r="C181" i="3"/>
  <c r="D180" i="3"/>
  <c r="C180" i="3"/>
  <c r="D179" i="3"/>
  <c r="C179" i="3"/>
  <c r="D178" i="3"/>
  <c r="C178" i="3"/>
  <c r="D177" i="3"/>
  <c r="C177" i="3"/>
  <c r="D176" i="3"/>
  <c r="C176" i="3"/>
  <c r="D175" i="3"/>
  <c r="C175" i="3"/>
  <c r="D174" i="3"/>
  <c r="C174" i="3"/>
  <c r="D173" i="3"/>
  <c r="C173" i="3"/>
  <c r="D172" i="3"/>
  <c r="C172" i="3"/>
  <c r="D171" i="3"/>
  <c r="C171" i="3"/>
  <c r="D170" i="3"/>
  <c r="C170" i="3"/>
  <c r="D169" i="3"/>
  <c r="C169" i="3"/>
  <c r="D168" i="3"/>
  <c r="C168" i="3"/>
  <c r="D167" i="3"/>
  <c r="C167" i="3"/>
  <c r="D166" i="3"/>
  <c r="C166" i="3"/>
  <c r="D165" i="3"/>
  <c r="C165" i="3"/>
  <c r="D164" i="3"/>
  <c r="C164" i="3"/>
  <c r="D163" i="3"/>
  <c r="C163" i="3"/>
  <c r="D162" i="3"/>
  <c r="C162" i="3"/>
  <c r="D161" i="3"/>
  <c r="C161" i="3"/>
  <c r="D160" i="3"/>
  <c r="C160" i="3"/>
  <c r="D159" i="3"/>
  <c r="C159" i="3"/>
  <c r="D158" i="3"/>
  <c r="C158" i="3"/>
  <c r="D157" i="3"/>
  <c r="C157" i="3"/>
  <c r="D156" i="3"/>
  <c r="C156" i="3"/>
  <c r="D155" i="3"/>
  <c r="C155" i="3"/>
  <c r="D154" i="3"/>
  <c r="C154" i="3"/>
  <c r="D153" i="3"/>
  <c r="C153" i="3"/>
  <c r="D152" i="3"/>
  <c r="C152" i="3"/>
  <c r="D151" i="3"/>
  <c r="C151" i="3"/>
  <c r="D150" i="3"/>
  <c r="C150" i="3"/>
  <c r="D149" i="3"/>
  <c r="C149" i="3"/>
  <c r="D148" i="3"/>
  <c r="C148" i="3"/>
  <c r="D147" i="3"/>
  <c r="C147" i="3"/>
  <c r="D146" i="3"/>
  <c r="C146" i="3"/>
  <c r="D145" i="3"/>
  <c r="C145" i="3"/>
  <c r="D144" i="3"/>
  <c r="C144" i="3"/>
  <c r="D143" i="3"/>
  <c r="C143" i="3"/>
  <c r="D142" i="3"/>
  <c r="C142" i="3"/>
  <c r="D141" i="3"/>
  <c r="C141" i="3"/>
  <c r="D140" i="3"/>
  <c r="C140" i="3"/>
  <c r="D139" i="3"/>
  <c r="C139" i="3"/>
  <c r="D138" i="3"/>
  <c r="C138" i="3"/>
  <c r="D137" i="3"/>
  <c r="C137" i="3"/>
  <c r="D136" i="3"/>
  <c r="C136" i="3"/>
  <c r="D135" i="3"/>
  <c r="C135" i="3"/>
  <c r="D134" i="3"/>
  <c r="C134" i="3"/>
  <c r="D133" i="3"/>
  <c r="C133" i="3"/>
  <c r="D132" i="3"/>
  <c r="C132" i="3"/>
  <c r="AP135" i="3"/>
  <c r="D131" i="3"/>
  <c r="C131" i="3"/>
  <c r="AP134" i="3"/>
  <c r="D130" i="3"/>
  <c r="C130" i="3"/>
  <c r="AP133" i="3"/>
  <c r="D129" i="3"/>
  <c r="C129" i="3"/>
  <c r="AP132" i="3"/>
  <c r="D128" i="3"/>
  <c r="C128" i="3"/>
  <c r="AP131" i="3"/>
  <c r="D127" i="3"/>
  <c r="C127" i="3"/>
  <c r="AP130" i="3"/>
  <c r="D126" i="3"/>
  <c r="C126" i="3"/>
  <c r="AP129" i="3"/>
  <c r="D125" i="3"/>
  <c r="C125" i="3"/>
  <c r="AP128" i="3"/>
  <c r="D124" i="3"/>
  <c r="C124" i="3"/>
  <c r="AP127" i="3"/>
  <c r="D123" i="3"/>
  <c r="C123" i="3"/>
  <c r="AP126" i="3"/>
  <c r="D122" i="3"/>
  <c r="C122" i="3"/>
  <c r="AP125" i="3"/>
  <c r="D121" i="3"/>
  <c r="C121" i="3"/>
  <c r="AP124" i="3"/>
  <c r="D120" i="3"/>
  <c r="C120" i="3"/>
  <c r="AP123" i="3"/>
  <c r="D119" i="3"/>
  <c r="C119" i="3"/>
  <c r="AP122" i="3"/>
  <c r="D118" i="3"/>
  <c r="C118" i="3"/>
  <c r="D117" i="3"/>
  <c r="C117" i="3"/>
  <c r="D116" i="3"/>
  <c r="C116" i="3"/>
  <c r="D115" i="3"/>
  <c r="C115" i="3"/>
  <c r="D114" i="3"/>
  <c r="C114" i="3"/>
  <c r="D113" i="3"/>
  <c r="C113" i="3"/>
  <c r="D112" i="3"/>
  <c r="C112" i="3"/>
  <c r="D111" i="3"/>
  <c r="C111" i="3"/>
  <c r="D110" i="3"/>
  <c r="C110" i="3"/>
  <c r="D109" i="3"/>
  <c r="C109" i="3"/>
  <c r="D108" i="3"/>
  <c r="C108" i="3"/>
  <c r="D107" i="3"/>
  <c r="C107" i="3"/>
  <c r="C106" i="3"/>
  <c r="D106" i="3" s="1"/>
  <c r="C105" i="3"/>
  <c r="D105" i="3" s="1"/>
  <c r="C104" i="3"/>
  <c r="D104" i="3" s="1"/>
  <c r="C103" i="3"/>
  <c r="D103" i="3" s="1"/>
  <c r="AC102" i="3"/>
  <c r="C102" i="3"/>
  <c r="D102" i="3" s="1"/>
  <c r="AC101" i="3"/>
  <c r="C101" i="3"/>
  <c r="D101" i="3" s="1"/>
  <c r="AC100" i="3"/>
  <c r="C100" i="3"/>
  <c r="D100" i="3" s="1"/>
  <c r="AC99" i="3"/>
  <c r="C99" i="3"/>
  <c r="D99" i="3" s="1"/>
  <c r="AC98" i="3"/>
  <c r="C98" i="3"/>
  <c r="D98" i="3" s="1"/>
  <c r="AC97" i="3"/>
  <c r="C97" i="3"/>
  <c r="D97" i="3" s="1"/>
  <c r="AC96" i="3"/>
  <c r="C96" i="3"/>
  <c r="D96" i="3" s="1"/>
  <c r="AC95" i="3"/>
  <c r="C95" i="3"/>
  <c r="D95" i="3" s="1"/>
  <c r="AC94" i="3"/>
  <c r="C94" i="3"/>
  <c r="D94" i="3" s="1"/>
  <c r="AC93" i="3"/>
  <c r="C93" i="3"/>
  <c r="D93" i="3" s="1"/>
  <c r="AC92" i="3"/>
  <c r="C92" i="3"/>
  <c r="D92" i="3" s="1"/>
  <c r="AC91" i="3"/>
  <c r="C91" i="3"/>
  <c r="D91" i="3" s="1"/>
  <c r="AC90" i="3"/>
  <c r="C90" i="3"/>
  <c r="D90" i="3" s="1"/>
  <c r="AC89" i="3"/>
  <c r="C89" i="3"/>
  <c r="D89" i="3" s="1"/>
  <c r="AC88" i="3"/>
  <c r="C88" i="3"/>
  <c r="D88" i="3" s="1"/>
  <c r="AC87" i="3"/>
  <c r="C87" i="3"/>
  <c r="D87" i="3" s="1"/>
  <c r="AC86" i="3"/>
  <c r="C86" i="3"/>
  <c r="D86" i="3" s="1"/>
  <c r="AC85" i="3"/>
  <c r="C85" i="3"/>
  <c r="D85" i="3" s="1"/>
  <c r="AC84" i="3"/>
  <c r="C84" i="3"/>
  <c r="D84" i="3" s="1"/>
  <c r="AC83" i="3"/>
  <c r="C83" i="3"/>
  <c r="D83" i="3" s="1"/>
  <c r="AC82" i="3"/>
  <c r="C82" i="3"/>
  <c r="D82" i="3" s="1"/>
  <c r="AC81" i="3"/>
  <c r="C81" i="3"/>
  <c r="D81" i="3" s="1"/>
  <c r="AC80" i="3"/>
  <c r="C80" i="3"/>
  <c r="D80" i="3" s="1"/>
  <c r="AC79" i="3"/>
  <c r="C79" i="3"/>
  <c r="D79" i="3" s="1"/>
  <c r="AC78" i="3"/>
  <c r="C78" i="3"/>
  <c r="AC77" i="3"/>
  <c r="C77" i="3"/>
  <c r="D77" i="3" s="1"/>
  <c r="AC76" i="3"/>
  <c r="C76" i="3"/>
  <c r="D76" i="3" s="1"/>
  <c r="AC75" i="3"/>
  <c r="C75" i="3"/>
  <c r="D75" i="3" s="1"/>
  <c r="AC74" i="3"/>
  <c r="C74" i="3"/>
  <c r="AC73" i="3"/>
  <c r="C73" i="3"/>
  <c r="D73" i="3" s="1"/>
  <c r="AC72" i="3"/>
  <c r="C72" i="3"/>
  <c r="D72" i="3" s="1"/>
  <c r="AC71" i="3"/>
  <c r="C71" i="3"/>
  <c r="D71" i="3" s="1"/>
  <c r="AC70" i="3"/>
  <c r="C70" i="3"/>
  <c r="D70" i="3" s="1"/>
  <c r="AC69" i="3"/>
  <c r="C69" i="3"/>
  <c r="D69" i="3" s="1"/>
  <c r="AC68" i="3"/>
  <c r="C68" i="3"/>
  <c r="D68" i="3" s="1"/>
  <c r="AC67" i="3"/>
  <c r="C67" i="3"/>
  <c r="D67" i="3" s="1"/>
  <c r="AC66" i="3"/>
  <c r="C66" i="3"/>
  <c r="D66" i="3" s="1"/>
  <c r="AC65" i="3"/>
  <c r="C65" i="3"/>
  <c r="D65" i="3" s="1"/>
  <c r="AC64" i="3"/>
  <c r="C64" i="3"/>
  <c r="D64" i="3" s="1"/>
  <c r="AC63" i="3"/>
  <c r="C63" i="3"/>
  <c r="AC62" i="3"/>
  <c r="C62" i="3"/>
  <c r="D62" i="3" s="1"/>
  <c r="AC61" i="3"/>
  <c r="C61" i="3"/>
  <c r="D61" i="3" s="1"/>
  <c r="AC60" i="3"/>
  <c r="C60" i="3"/>
  <c r="D60" i="3" s="1"/>
  <c r="AC59" i="3"/>
  <c r="C59" i="3"/>
  <c r="D59" i="3" s="1"/>
  <c r="AC58" i="3"/>
  <c r="C58" i="3"/>
  <c r="D58" i="3" s="1"/>
  <c r="AC57" i="3"/>
  <c r="C57" i="3"/>
  <c r="D57" i="3" s="1"/>
  <c r="AC56" i="3"/>
  <c r="C56" i="3"/>
  <c r="AC55" i="3"/>
  <c r="C55" i="3"/>
  <c r="D55" i="3" s="1"/>
  <c r="AC54" i="3"/>
  <c r="C54" i="3"/>
  <c r="D54" i="3" s="1"/>
  <c r="AC53" i="3"/>
  <c r="C53" i="3"/>
  <c r="D53" i="3" s="1"/>
  <c r="AC52" i="3"/>
  <c r="C52" i="3"/>
  <c r="D52" i="3" s="1"/>
  <c r="AC51" i="3"/>
  <c r="C51" i="3"/>
  <c r="D51" i="3" s="1"/>
  <c r="AC50" i="3"/>
  <c r="C50" i="3"/>
  <c r="D50" i="3" s="1"/>
  <c r="AC49" i="3"/>
  <c r="C49" i="3"/>
  <c r="D49" i="3" s="1"/>
  <c r="AC48" i="3"/>
  <c r="C48" i="3"/>
  <c r="D48" i="3" s="1"/>
  <c r="AC47" i="3"/>
  <c r="C47" i="3"/>
  <c r="D47" i="3" s="1"/>
  <c r="AC46" i="3"/>
  <c r="C46" i="3"/>
  <c r="D46" i="3" s="1"/>
  <c r="AC45" i="3"/>
  <c r="C45" i="3"/>
  <c r="AC44" i="3"/>
  <c r="C44" i="3"/>
  <c r="D44" i="3" s="1"/>
  <c r="AC43" i="3"/>
  <c r="C43" i="3"/>
  <c r="D43" i="3" s="1"/>
  <c r="AC42" i="3"/>
  <c r="C42" i="3"/>
  <c r="D42" i="3" s="1"/>
  <c r="AC41" i="3"/>
  <c r="C41" i="3"/>
  <c r="D41" i="3" s="1"/>
  <c r="AC40" i="3"/>
  <c r="C40" i="3"/>
  <c r="D40" i="3" s="1"/>
  <c r="AC39" i="3"/>
  <c r="C39" i="3"/>
  <c r="D39" i="3" s="1"/>
  <c r="AC38" i="3"/>
  <c r="C38" i="3"/>
  <c r="D38" i="3" s="1"/>
  <c r="AC37" i="3"/>
  <c r="C37" i="3"/>
  <c r="D37" i="3" s="1"/>
  <c r="AC36" i="3"/>
  <c r="C36" i="3"/>
  <c r="D36" i="3" s="1"/>
  <c r="AC35" i="3"/>
  <c r="C35" i="3"/>
  <c r="D35" i="3" s="1"/>
  <c r="AC34" i="3"/>
  <c r="C34" i="3"/>
  <c r="AC33" i="3"/>
  <c r="AD33" i="3" s="1"/>
  <c r="C33" i="3"/>
  <c r="D33" i="3" s="1"/>
  <c r="AC32" i="3"/>
  <c r="AD32" i="3" s="1"/>
  <c r="C32" i="3"/>
  <c r="D32" i="3" s="1"/>
  <c r="AC31" i="3"/>
  <c r="AD31" i="3" s="1"/>
  <c r="C31" i="3"/>
  <c r="D31" i="3" s="1"/>
  <c r="AD30" i="3"/>
  <c r="AC30" i="3"/>
  <c r="C30" i="3"/>
  <c r="D30" i="3" s="1"/>
  <c r="AC29" i="3"/>
  <c r="C29" i="3"/>
  <c r="D29" i="3" s="1"/>
  <c r="AC28" i="3"/>
  <c r="AD28" i="3" s="1"/>
  <c r="C28" i="3"/>
  <c r="D28" i="3" s="1"/>
  <c r="AC27" i="3"/>
  <c r="AD27" i="3" s="1"/>
  <c r="C27" i="3"/>
  <c r="D27" i="3" s="1"/>
  <c r="AC26" i="3"/>
  <c r="AD26" i="3" s="1"/>
  <c r="C26" i="3"/>
  <c r="D26" i="3" s="1"/>
  <c r="AC25" i="3"/>
  <c r="AD25" i="3" s="1"/>
  <c r="C25" i="3"/>
  <c r="D25" i="3" s="1"/>
  <c r="AC24" i="3"/>
  <c r="AD24" i="3" s="1"/>
  <c r="C24" i="3"/>
  <c r="D24" i="3" s="1"/>
  <c r="AC23" i="3"/>
  <c r="AD23" i="3" s="1"/>
  <c r="C23" i="3"/>
  <c r="AC22" i="3"/>
  <c r="AD22" i="3" s="1"/>
  <c r="C22" i="3"/>
  <c r="D22" i="3" s="1"/>
  <c r="AC21" i="3"/>
  <c r="AD21" i="3" s="1"/>
  <c r="C21" i="3"/>
  <c r="D21" i="3" s="1"/>
  <c r="AC20" i="3"/>
  <c r="AD20" i="3" s="1"/>
  <c r="C20" i="3"/>
  <c r="D20" i="3" s="1"/>
  <c r="AC19" i="3"/>
  <c r="AD19" i="3" s="1"/>
  <c r="C19" i="3"/>
  <c r="D19" i="3" s="1"/>
  <c r="A19" i="3"/>
  <c r="AC18" i="3"/>
  <c r="AD18" i="3" s="1"/>
  <c r="C18" i="3"/>
  <c r="D18" i="3" s="1"/>
  <c r="AC17" i="3"/>
  <c r="AD17" i="3" s="1"/>
  <c r="C17" i="3"/>
  <c r="D17" i="3" s="1"/>
  <c r="AC16" i="3"/>
  <c r="AD16" i="3" s="1"/>
  <c r="C16" i="3"/>
  <c r="D16" i="3" s="1"/>
  <c r="A16" i="3"/>
  <c r="AC15" i="3"/>
  <c r="AD15" i="3" s="1"/>
  <c r="C15" i="3"/>
  <c r="D15" i="3" s="1"/>
  <c r="AC14" i="3"/>
  <c r="AD14" i="3" s="1"/>
  <c r="C14" i="3"/>
  <c r="AC13" i="3"/>
  <c r="AD13" i="3" s="1"/>
  <c r="U13" i="3"/>
  <c r="C13" i="3"/>
  <c r="D13" i="3" s="1"/>
  <c r="A13" i="3"/>
  <c r="AC12" i="3"/>
  <c r="AD12" i="3" s="1"/>
  <c r="U12" i="3"/>
  <c r="V12" i="3" s="1"/>
  <c r="C12" i="3"/>
  <c r="D12" i="3" s="1"/>
  <c r="AC11" i="3"/>
  <c r="AD11" i="3" s="1"/>
  <c r="U11" i="3"/>
  <c r="C11" i="3"/>
  <c r="A11" i="3"/>
  <c r="AC10" i="3"/>
  <c r="AD10" i="3" s="1"/>
  <c r="U10" i="3"/>
  <c r="C10" i="3"/>
  <c r="AC9" i="3"/>
  <c r="AD9" i="3" s="1"/>
  <c r="U9" i="3"/>
  <c r="C9" i="3"/>
  <c r="A9" i="3"/>
  <c r="AC8" i="3"/>
  <c r="AD8" i="3" s="1"/>
  <c r="U8" i="3"/>
  <c r="C8" i="3"/>
  <c r="D8" i="3" s="1"/>
  <c r="AC7" i="3"/>
  <c r="AD7" i="3" s="1"/>
  <c r="U7" i="3"/>
  <c r="C7" i="3"/>
  <c r="D7" i="3" s="1"/>
  <c r="A7" i="3"/>
  <c r="AC6" i="3"/>
  <c r="AD6" i="3" s="1"/>
  <c r="U6" i="3"/>
  <c r="V6" i="3" s="1"/>
  <c r="C6" i="3"/>
  <c r="D6" i="3" s="1"/>
  <c r="AC5" i="3"/>
  <c r="AD5" i="3" s="1"/>
  <c r="U5" i="3"/>
  <c r="C5" i="3"/>
  <c r="D5" i="3" s="1"/>
  <c r="AC4" i="3"/>
  <c r="U4" i="3"/>
  <c r="C4" i="3"/>
  <c r="AC3" i="3"/>
  <c r="U3" i="3"/>
  <c r="C3" i="3"/>
  <c r="AC2" i="3"/>
  <c r="AD2" i="3" s="1"/>
  <c r="U2" i="3"/>
  <c r="V2" i="3" s="1"/>
  <c r="C2" i="3"/>
  <c r="D11" i="3" l="1"/>
  <c r="G11" i="5"/>
  <c r="D10" i="3"/>
  <c r="D23" i="3"/>
  <c r="V7" i="3"/>
  <c r="V10" i="3"/>
  <c r="D3" i="3"/>
  <c r="D4" i="3"/>
  <c r="D9" i="3"/>
  <c r="AD4" i="3"/>
  <c r="AE4" i="3" s="1"/>
  <c r="V5" i="3"/>
  <c r="V9" i="3"/>
  <c r="V11" i="3"/>
  <c r="V13" i="3"/>
  <c r="V8" i="3"/>
  <c r="D45" i="3"/>
  <c r="D63" i="3"/>
  <c r="D78" i="3"/>
  <c r="D74" i="3"/>
  <c r="D56" i="3"/>
  <c r="D2" i="3"/>
  <c r="V3" i="3"/>
  <c r="V4" i="3"/>
  <c r="D14" i="3"/>
  <c r="D34" i="3"/>
  <c r="E63" i="3" s="1"/>
  <c r="E74" i="3"/>
  <c r="E78" i="3"/>
  <c r="E82" i="3"/>
  <c r="E84" i="3"/>
  <c r="E86" i="3"/>
  <c r="E88" i="3"/>
  <c r="E101" i="3"/>
  <c r="E99" i="3"/>
  <c r="E97" i="3"/>
  <c r="E95" i="3"/>
  <c r="E93" i="3"/>
  <c r="E91" i="3"/>
  <c r="E89" i="3"/>
  <c r="E65" i="3"/>
  <c r="E67" i="3"/>
  <c r="E69" i="3"/>
  <c r="E71" i="3"/>
  <c r="E73" i="3"/>
  <c r="E75" i="3"/>
  <c r="E77" i="3"/>
  <c r="E79" i="3"/>
  <c r="E81" i="3"/>
  <c r="E83" i="3"/>
  <c r="E85" i="3"/>
  <c r="E87" i="3"/>
  <c r="E90" i="3"/>
  <c r="E92" i="3"/>
  <c r="E94" i="3"/>
  <c r="E96" i="3"/>
  <c r="E98" i="3"/>
  <c r="E100" i="3"/>
  <c r="AE19" i="3" l="1"/>
  <c r="AE26" i="3"/>
  <c r="AE17" i="3"/>
  <c r="AE24" i="3"/>
  <c r="AE25" i="3"/>
  <c r="AE8" i="3"/>
  <c r="AE31" i="3"/>
  <c r="AE16" i="3"/>
  <c r="AE28" i="3"/>
  <c r="AE14" i="3"/>
  <c r="AE22" i="3"/>
  <c r="AE23" i="3"/>
  <c r="AE33" i="3"/>
  <c r="AE18" i="3"/>
  <c r="AE13" i="3"/>
  <c r="AE32" i="3"/>
  <c r="AE7" i="3"/>
  <c r="AE5" i="3"/>
  <c r="AE11" i="3"/>
  <c r="AE15" i="3"/>
  <c r="AE2" i="3"/>
  <c r="AF2" i="3" s="1"/>
  <c r="AE30" i="3"/>
  <c r="AE12" i="3"/>
  <c r="AE20" i="3"/>
  <c r="AE6" i="3"/>
  <c r="AE27" i="3"/>
  <c r="AE9" i="3"/>
  <c r="AE10" i="3"/>
  <c r="AE21" i="3"/>
  <c r="E56" i="3"/>
  <c r="E80" i="3"/>
  <c r="E72" i="3"/>
  <c r="E70" i="3"/>
  <c r="E76" i="3"/>
  <c r="E68" i="3"/>
  <c r="E66" i="3"/>
  <c r="E64" i="3"/>
  <c r="E36" i="3"/>
  <c r="E62" i="3"/>
  <c r="E54" i="3"/>
  <c r="E60" i="3"/>
  <c r="E52" i="3"/>
  <c r="E58" i="3"/>
  <c r="E50" i="3"/>
  <c r="E48" i="3"/>
  <c r="E46" i="3"/>
  <c r="E53" i="3"/>
  <c r="E44" i="3"/>
  <c r="E34" i="3"/>
  <c r="E40" i="3"/>
  <c r="E30" i="3"/>
  <c r="E38" i="3"/>
  <c r="E31" i="3"/>
  <c r="E32" i="3"/>
  <c r="G32" i="3" s="1"/>
  <c r="E33" i="3"/>
  <c r="E55" i="3"/>
  <c r="E57" i="3"/>
  <c r="F57" i="3" s="1"/>
  <c r="E61" i="3"/>
  <c r="G61" i="3" s="1"/>
  <c r="G63" i="3"/>
  <c r="H63" i="3"/>
  <c r="F63" i="3"/>
  <c r="H98" i="3"/>
  <c r="F98" i="3"/>
  <c r="G98" i="3"/>
  <c r="H94" i="3"/>
  <c r="F94" i="3"/>
  <c r="G94" i="3"/>
  <c r="H90" i="3"/>
  <c r="F90" i="3"/>
  <c r="G90" i="3"/>
  <c r="G85" i="3"/>
  <c r="H85" i="3"/>
  <c r="F85" i="3"/>
  <c r="G81" i="3"/>
  <c r="H81" i="3"/>
  <c r="F81" i="3"/>
  <c r="G77" i="3"/>
  <c r="H77" i="3"/>
  <c r="F77" i="3"/>
  <c r="G73" i="3"/>
  <c r="H73" i="3"/>
  <c r="F73" i="3"/>
  <c r="G69" i="3"/>
  <c r="H69" i="3"/>
  <c r="F69" i="3"/>
  <c r="G65" i="3"/>
  <c r="H65" i="3"/>
  <c r="F65" i="3"/>
  <c r="G91" i="3"/>
  <c r="F91" i="3"/>
  <c r="H91" i="3"/>
  <c r="G95" i="3"/>
  <c r="F95" i="3"/>
  <c r="H95" i="3"/>
  <c r="G99" i="3"/>
  <c r="F99" i="3"/>
  <c r="H99" i="3"/>
  <c r="H86" i="3"/>
  <c r="F86" i="3"/>
  <c r="G86" i="3"/>
  <c r="H82" i="3"/>
  <c r="F82" i="3"/>
  <c r="G82" i="3"/>
  <c r="H78" i="3"/>
  <c r="F78" i="3"/>
  <c r="G78" i="3"/>
  <c r="H74" i="3"/>
  <c r="F74" i="3"/>
  <c r="G74" i="3"/>
  <c r="H70" i="3"/>
  <c r="F70" i="3"/>
  <c r="G70" i="3"/>
  <c r="H66" i="3"/>
  <c r="F66" i="3"/>
  <c r="G66" i="3"/>
  <c r="H62" i="3"/>
  <c r="F62" i="3"/>
  <c r="G62" i="3"/>
  <c r="H58" i="3"/>
  <c r="F58" i="3"/>
  <c r="G58" i="3"/>
  <c r="H54" i="3"/>
  <c r="F54" i="3"/>
  <c r="G54" i="3"/>
  <c r="G50" i="3"/>
  <c r="F50" i="3"/>
  <c r="H50" i="3"/>
  <c r="G46" i="3"/>
  <c r="F46" i="3"/>
  <c r="H46" i="3"/>
  <c r="G40" i="3"/>
  <c r="H40" i="3"/>
  <c r="F40" i="3"/>
  <c r="G36" i="3"/>
  <c r="H36" i="3"/>
  <c r="F36" i="3"/>
  <c r="G30" i="3"/>
  <c r="H30" i="3"/>
  <c r="F30" i="3"/>
  <c r="G53" i="3"/>
  <c r="H53" i="3"/>
  <c r="F53" i="3"/>
  <c r="E51" i="3"/>
  <c r="E49" i="3"/>
  <c r="E47" i="3"/>
  <c r="E45" i="3"/>
  <c r="E43" i="3"/>
  <c r="E41" i="3"/>
  <c r="E39" i="3"/>
  <c r="E37" i="3"/>
  <c r="E35" i="3"/>
  <c r="E29" i="3"/>
  <c r="E27" i="3"/>
  <c r="E25" i="3"/>
  <c r="E23" i="3"/>
  <c r="E21" i="3"/>
  <c r="E17" i="3"/>
  <c r="E16" i="3"/>
  <c r="E15" i="3"/>
  <c r="E11" i="3"/>
  <c r="E10" i="3"/>
  <c r="E7" i="3"/>
  <c r="E6" i="3"/>
  <c r="E4" i="3"/>
  <c r="E42" i="3"/>
  <c r="E28" i="3"/>
  <c r="E26" i="3"/>
  <c r="E24" i="3"/>
  <c r="E22" i="3"/>
  <c r="E20" i="3"/>
  <c r="E19" i="3"/>
  <c r="E18" i="3"/>
  <c r="E14" i="3"/>
  <c r="E13" i="3"/>
  <c r="E12" i="3"/>
  <c r="E9" i="3"/>
  <c r="E8" i="3"/>
  <c r="E5" i="3"/>
  <c r="E3" i="3"/>
  <c r="E2" i="3"/>
  <c r="W2" i="3"/>
  <c r="F3" i="6" s="1"/>
  <c r="W4" i="3"/>
  <c r="W6" i="3"/>
  <c r="X8" i="3"/>
  <c r="W10" i="3"/>
  <c r="X12" i="3"/>
  <c r="X3" i="3"/>
  <c r="W5" i="3"/>
  <c r="X7" i="3"/>
  <c r="W9" i="3"/>
  <c r="X11" i="3"/>
  <c r="W13" i="3"/>
  <c r="H100" i="3"/>
  <c r="F100" i="3"/>
  <c r="G100" i="3"/>
  <c r="H96" i="3"/>
  <c r="F96" i="3"/>
  <c r="G96" i="3"/>
  <c r="H92" i="3"/>
  <c r="F92" i="3"/>
  <c r="G92" i="3"/>
  <c r="G87" i="3"/>
  <c r="H87" i="3"/>
  <c r="F87" i="3"/>
  <c r="G83" i="3"/>
  <c r="H83" i="3"/>
  <c r="F83" i="3"/>
  <c r="G79" i="3"/>
  <c r="H79" i="3"/>
  <c r="F79" i="3"/>
  <c r="G75" i="3"/>
  <c r="H75" i="3"/>
  <c r="F75" i="3"/>
  <c r="G71" i="3"/>
  <c r="H71" i="3"/>
  <c r="F71" i="3"/>
  <c r="G67" i="3"/>
  <c r="H67" i="3"/>
  <c r="F67" i="3"/>
  <c r="G89" i="3"/>
  <c r="F89" i="3"/>
  <c r="H89" i="3"/>
  <c r="G93" i="3"/>
  <c r="F93" i="3"/>
  <c r="H93" i="3"/>
  <c r="G97" i="3"/>
  <c r="F97" i="3"/>
  <c r="H97" i="3"/>
  <c r="G101" i="3"/>
  <c r="F101" i="3"/>
  <c r="H101" i="3"/>
  <c r="H88" i="3"/>
  <c r="F88" i="3"/>
  <c r="G88" i="3"/>
  <c r="H84" i="3"/>
  <c r="F84" i="3"/>
  <c r="G84" i="3"/>
  <c r="H80" i="3"/>
  <c r="F80" i="3"/>
  <c r="G80" i="3"/>
  <c r="H76" i="3"/>
  <c r="F76" i="3"/>
  <c r="G76" i="3"/>
  <c r="H72" i="3"/>
  <c r="F72" i="3"/>
  <c r="G72" i="3"/>
  <c r="H68" i="3"/>
  <c r="F68" i="3"/>
  <c r="G68" i="3"/>
  <c r="H64" i="3"/>
  <c r="F64" i="3"/>
  <c r="G64" i="3"/>
  <c r="H60" i="3"/>
  <c r="F60" i="3"/>
  <c r="G60" i="3"/>
  <c r="H56" i="3"/>
  <c r="F56" i="3"/>
  <c r="G56" i="3"/>
  <c r="H52" i="3"/>
  <c r="G52" i="3"/>
  <c r="F52" i="3"/>
  <c r="G48" i="3"/>
  <c r="F48" i="3"/>
  <c r="H48" i="3"/>
  <c r="G44" i="3"/>
  <c r="F44" i="3"/>
  <c r="H44" i="3"/>
  <c r="G38" i="3"/>
  <c r="H38" i="3"/>
  <c r="F38" i="3"/>
  <c r="G34" i="3"/>
  <c r="H34" i="3"/>
  <c r="F34" i="3"/>
  <c r="G31" i="3"/>
  <c r="F31" i="3"/>
  <c r="H31" i="3"/>
  <c r="G33" i="3"/>
  <c r="F33" i="3"/>
  <c r="H33" i="3"/>
  <c r="G55" i="3"/>
  <c r="H55" i="3"/>
  <c r="F55" i="3"/>
  <c r="E59" i="3"/>
  <c r="W3" i="3"/>
  <c r="X5" i="3"/>
  <c r="W7" i="3"/>
  <c r="X9" i="3"/>
  <c r="W11" i="3"/>
  <c r="X13" i="3"/>
  <c r="X2" i="3"/>
  <c r="G3" i="6" s="1"/>
  <c r="X4" i="3"/>
  <c r="X6" i="3"/>
  <c r="W8" i="3"/>
  <c r="X10" i="3"/>
  <c r="W12" i="3"/>
  <c r="AF9" i="3" l="1"/>
  <c r="AF27" i="3"/>
  <c r="AF8" i="3"/>
  <c r="AF6" i="3"/>
  <c r="AF30" i="3"/>
  <c r="AF5" i="3"/>
  <c r="AF4" i="3"/>
  <c r="AF23" i="3"/>
  <c r="AF16" i="3"/>
  <c r="AF24" i="3"/>
  <c r="F4" i="6"/>
  <c r="F5" i="6" s="1"/>
  <c r="F6" i="6" s="1"/>
  <c r="F7" i="6" s="1"/>
  <c r="F8" i="6" s="1"/>
  <c r="F9" i="6" s="1"/>
  <c r="F10" i="6" s="1"/>
  <c r="F11" i="6" s="1"/>
  <c r="F12" i="6" s="1"/>
  <c r="F13" i="6" s="1"/>
  <c r="F14" i="6" s="1"/>
  <c r="F15" i="6" s="1"/>
  <c r="F16" i="6" s="1"/>
  <c r="F17" i="6" s="1"/>
  <c r="F18" i="6" s="1"/>
  <c r="F19" i="6" s="1"/>
  <c r="F20" i="6" s="1"/>
  <c r="F21" i="6" s="1"/>
  <c r="F22" i="6" s="1"/>
  <c r="F23" i="6" s="1"/>
  <c r="AF21" i="3"/>
  <c r="AF7" i="3"/>
  <c r="AF22" i="3"/>
  <c r="AF31" i="3"/>
  <c r="AF17" i="3"/>
  <c r="AF10" i="3"/>
  <c r="AF20" i="3"/>
  <c r="AF15" i="3"/>
  <c r="AF32" i="3"/>
  <c r="AF18" i="3"/>
  <c r="AF14" i="3"/>
  <c r="AF26" i="3"/>
  <c r="AF12" i="3"/>
  <c r="AF11" i="3"/>
  <c r="AF13" i="3"/>
  <c r="AF33" i="3"/>
  <c r="AF28" i="3"/>
  <c r="AF25" i="3"/>
  <c r="AF19" i="3"/>
  <c r="F32" i="3"/>
  <c r="H32" i="3"/>
  <c r="G57" i="3"/>
  <c r="H61" i="3"/>
  <c r="F61" i="3"/>
  <c r="H57" i="3"/>
  <c r="H3" i="3"/>
  <c r="G3" i="3"/>
  <c r="H8" i="3"/>
  <c r="G8" i="3"/>
  <c r="H12" i="3"/>
  <c r="G12" i="3"/>
  <c r="H14" i="3"/>
  <c r="G14" i="3"/>
  <c r="H19" i="3"/>
  <c r="F19" i="3"/>
  <c r="G19" i="3"/>
  <c r="H22" i="3"/>
  <c r="F22" i="3"/>
  <c r="G22" i="3"/>
  <c r="H26" i="3"/>
  <c r="F26" i="3"/>
  <c r="G26" i="3"/>
  <c r="H42" i="3"/>
  <c r="F42" i="3"/>
  <c r="G42" i="3"/>
  <c r="H6" i="3"/>
  <c r="G10" i="3"/>
  <c r="H10" i="3"/>
  <c r="G15" i="3"/>
  <c r="H15" i="3"/>
  <c r="G17" i="3"/>
  <c r="H17" i="3"/>
  <c r="F17" i="3"/>
  <c r="G23" i="3"/>
  <c r="H23" i="3"/>
  <c r="F23" i="3"/>
  <c r="G27" i="3"/>
  <c r="H27" i="3"/>
  <c r="F27" i="3"/>
  <c r="H35" i="3"/>
  <c r="F35" i="3"/>
  <c r="G35" i="3"/>
  <c r="H39" i="3"/>
  <c r="F39" i="3"/>
  <c r="G39" i="3"/>
  <c r="H43" i="3"/>
  <c r="F43" i="3"/>
  <c r="G43" i="3"/>
  <c r="H47" i="3"/>
  <c r="F47" i="3"/>
  <c r="G47" i="3"/>
  <c r="H51" i="3"/>
  <c r="F51" i="3"/>
  <c r="G51" i="3"/>
  <c r="G59" i="3"/>
  <c r="H59" i="3"/>
  <c r="F59" i="3"/>
  <c r="G4" i="6"/>
  <c r="H2" i="3"/>
  <c r="G2" i="3"/>
  <c r="H5" i="3"/>
  <c r="G5" i="3"/>
  <c r="H9" i="3"/>
  <c r="H13" i="3"/>
  <c r="G13" i="3"/>
  <c r="H18" i="3"/>
  <c r="F18" i="3"/>
  <c r="G18" i="3"/>
  <c r="H20" i="3"/>
  <c r="F20" i="3"/>
  <c r="G20" i="3"/>
  <c r="H24" i="3"/>
  <c r="F24" i="3"/>
  <c r="G24" i="3"/>
  <c r="H28" i="3"/>
  <c r="F28" i="3"/>
  <c r="G28" i="3"/>
  <c r="G4" i="3"/>
  <c r="H4" i="3"/>
  <c r="G7" i="3"/>
  <c r="H7" i="3"/>
  <c r="G11" i="3"/>
  <c r="H11" i="3"/>
  <c r="G16" i="3"/>
  <c r="H16" i="3"/>
  <c r="F16" i="3"/>
  <c r="G21" i="3"/>
  <c r="H21" i="3"/>
  <c r="F21" i="3"/>
  <c r="G25" i="3"/>
  <c r="H25" i="3"/>
  <c r="F25" i="3"/>
  <c r="H29" i="3"/>
  <c r="F29" i="3"/>
  <c r="G29" i="3"/>
  <c r="H37" i="3"/>
  <c r="F37" i="3"/>
  <c r="G37" i="3"/>
  <c r="H41" i="3"/>
  <c r="F41" i="3"/>
  <c r="G41" i="3"/>
  <c r="H45" i="3"/>
  <c r="F45" i="3"/>
  <c r="G45" i="3"/>
  <c r="H49" i="3"/>
  <c r="F49" i="3"/>
  <c r="G49" i="3"/>
  <c r="AH6" i="3" l="1"/>
  <c r="I6" i="6" s="1"/>
  <c r="AH4" i="3"/>
  <c r="I4" i="6" s="1"/>
  <c r="AI5" i="3"/>
  <c r="J5" i="6" s="1"/>
  <c r="AI6" i="3"/>
  <c r="J6" i="6" s="1"/>
  <c r="AH7" i="3"/>
  <c r="I7" i="6" s="1"/>
  <c r="AI3" i="3"/>
  <c r="J3" i="6" s="1"/>
  <c r="AH3" i="3"/>
  <c r="I3" i="6" s="1"/>
  <c r="AH8" i="3"/>
  <c r="I8" i="6" s="1"/>
  <c r="AI4" i="3"/>
  <c r="J4" i="6" s="1"/>
  <c r="AH5" i="3"/>
  <c r="I5" i="6" s="1"/>
  <c r="AI8" i="3"/>
  <c r="J8" i="6" s="1"/>
  <c r="AI7" i="3"/>
  <c r="J7" i="6" s="1"/>
  <c r="G9" i="3"/>
  <c r="G6" i="3"/>
  <c r="G5" i="6"/>
  <c r="G6" i="6" l="1"/>
  <c r="G7" i="6" l="1"/>
  <c r="G8" i="6" l="1"/>
  <c r="G9" i="6" l="1"/>
  <c r="G10" i="6" l="1"/>
  <c r="AL114" i="3"/>
  <c r="AL129" i="3"/>
  <c r="AL75" i="3"/>
  <c r="AL121" i="3"/>
  <c r="AL105" i="3"/>
  <c r="AL86" i="3"/>
  <c r="AL23" i="3"/>
  <c r="AL111" i="3"/>
  <c r="AL71" i="3"/>
  <c r="AL127" i="3"/>
  <c r="AL101" i="3"/>
  <c r="AL31" i="3"/>
  <c r="AL41" i="3"/>
  <c r="AL77" i="3"/>
  <c r="AL95" i="3"/>
  <c r="AL134" i="3"/>
  <c r="AL124" i="3"/>
  <c r="AL59" i="3"/>
  <c r="AL18" i="3"/>
  <c r="AL24" i="3"/>
  <c r="AL8" i="3"/>
  <c r="AL84" i="3"/>
  <c r="AL64" i="3"/>
  <c r="AL100" i="3"/>
  <c r="AL123" i="3"/>
  <c r="AL49" i="3"/>
  <c r="AL72" i="3"/>
  <c r="AL93" i="3"/>
  <c r="AL99" i="3"/>
  <c r="AL69" i="3"/>
  <c r="AL25" i="3"/>
  <c r="AL76" i="3"/>
  <c r="AL55" i="3"/>
  <c r="AL47" i="3"/>
  <c r="AL12" i="3"/>
  <c r="AL6" i="3"/>
  <c r="AL21" i="3"/>
  <c r="AL45" i="3"/>
  <c r="AL98" i="3"/>
  <c r="AL85" i="3"/>
  <c r="AL57" i="3"/>
  <c r="AL128" i="3"/>
  <c r="AL34" i="3"/>
  <c r="AL56" i="3"/>
  <c r="AL97" i="3"/>
  <c r="AL132" i="3"/>
  <c r="AL107" i="3"/>
  <c r="AL125" i="3"/>
  <c r="AL117" i="3"/>
  <c r="AL27" i="3"/>
  <c r="AL15" i="3"/>
  <c r="AL11" i="3"/>
  <c r="AL87" i="3"/>
  <c r="AL131" i="3"/>
  <c r="AL10" i="3"/>
  <c r="AL16" i="3"/>
  <c r="AL73" i="3"/>
  <c r="AL122" i="3"/>
  <c r="AL113" i="3"/>
  <c r="AL51" i="3"/>
  <c r="AL38" i="3"/>
  <c r="AL66" i="3"/>
  <c r="AL116" i="3"/>
  <c r="AL63" i="3"/>
  <c r="AL106" i="3"/>
  <c r="AL90" i="3"/>
  <c r="AL33" i="3"/>
  <c r="AL28" i="3"/>
  <c r="AL17" i="3"/>
  <c r="AL130" i="3"/>
  <c r="AL96" i="3"/>
  <c r="AL67" i="3"/>
  <c r="AL80" i="3"/>
  <c r="AL30" i="3"/>
  <c r="AL54" i="3"/>
  <c r="AL50" i="3"/>
  <c r="AL91" i="3"/>
  <c r="AL112" i="3"/>
  <c r="AL32" i="3"/>
  <c r="AL135" i="3"/>
  <c r="AL61" i="3"/>
  <c r="AL22" i="3"/>
  <c r="AL26" i="3"/>
  <c r="AL126" i="3"/>
  <c r="AL65" i="3"/>
  <c r="AL104" i="3"/>
  <c r="AL108" i="3"/>
  <c r="AL109" i="3"/>
  <c r="AL52" i="3"/>
  <c r="AL89" i="3"/>
  <c r="AL29" i="3"/>
  <c r="AL43" i="3"/>
  <c r="AL94" i="3"/>
  <c r="AL92" i="3"/>
  <c r="AL102" i="3"/>
  <c r="AL133" i="3"/>
  <c r="AL58" i="3"/>
  <c r="AL44" i="3"/>
  <c r="AL79" i="3"/>
  <c r="AL120" i="3"/>
  <c r="AL13" i="3"/>
  <c r="AL39" i="3"/>
  <c r="AL20" i="3"/>
  <c r="AL48" i="3"/>
  <c r="AL70" i="3"/>
  <c r="AL78" i="3"/>
  <c r="AL68" i="3"/>
  <c r="AL62" i="3"/>
  <c r="AL42" i="3"/>
  <c r="AL60" i="3"/>
  <c r="AL7" i="3"/>
  <c r="AL74" i="3"/>
  <c r="AL37" i="3"/>
  <c r="AL14" i="3"/>
  <c r="AL110" i="3"/>
  <c r="AL83" i="3"/>
  <c r="AL36" i="3"/>
  <c r="AL35" i="3"/>
  <c r="AL53" i="3"/>
  <c r="AL115" i="3"/>
  <c r="AL118" i="3"/>
  <c r="AL103" i="3"/>
  <c r="AL81" i="3"/>
  <c r="AL119" i="3"/>
  <c r="AL46" i="3"/>
  <c r="AL82" i="3"/>
  <c r="AL9" i="3"/>
  <c r="AL19" i="3"/>
  <c r="AL88" i="3"/>
  <c r="AL40" i="3"/>
  <c r="AM35" i="3" l="1"/>
  <c r="AM74" i="3"/>
  <c r="AM24" i="3"/>
  <c r="AM112" i="3"/>
  <c r="AM30" i="3"/>
  <c r="AM17" i="3"/>
  <c r="AM111" i="3"/>
  <c r="AM121" i="3"/>
  <c r="AM59" i="3"/>
  <c r="AM128" i="3"/>
  <c r="AM105" i="3"/>
  <c r="AM53" i="3"/>
  <c r="AM27" i="3"/>
  <c r="AM9" i="3"/>
  <c r="AM57" i="3"/>
  <c r="AM62" i="3"/>
  <c r="AM115" i="3"/>
  <c r="AM42" i="3"/>
  <c r="AM82" i="3"/>
  <c r="AM80" i="3"/>
  <c r="AM130" i="3"/>
  <c r="AM38" i="3"/>
  <c r="AM33" i="3"/>
  <c r="AM7" i="3"/>
  <c r="AM83" i="3"/>
  <c r="AM108" i="3"/>
  <c r="AM12" i="3"/>
  <c r="AM129" i="3"/>
  <c r="AM71" i="3"/>
  <c r="AM47" i="3"/>
  <c r="AM93" i="3"/>
  <c r="AM106" i="3"/>
  <c r="AM91" i="3"/>
  <c r="AM45" i="3"/>
  <c r="AM68" i="3"/>
  <c r="AM25" i="3"/>
  <c r="AM72" i="3"/>
  <c r="AM110" i="3"/>
  <c r="AM133" i="3"/>
  <c r="AM49" i="3"/>
  <c r="AM88" i="3"/>
  <c r="AM117" i="3"/>
  <c r="AM116" i="3"/>
  <c r="AM43" i="3"/>
  <c r="AM70" i="3"/>
  <c r="AM124" i="3"/>
  <c r="AM135" i="3"/>
  <c r="AM120" i="3"/>
  <c r="AM86" i="3"/>
  <c r="AM67" i="3"/>
  <c r="AM77" i="3"/>
  <c r="AM34" i="3"/>
  <c r="AM51" i="3"/>
  <c r="AM36" i="3"/>
  <c r="AM87" i="3"/>
  <c r="AM64" i="3"/>
  <c r="AM102" i="3"/>
  <c r="AM23" i="3"/>
  <c r="AM109" i="3"/>
  <c r="AM107" i="3"/>
  <c r="AM56" i="3"/>
  <c r="AM14" i="3"/>
  <c r="AM61" i="3"/>
  <c r="AM95" i="3"/>
  <c r="AM118" i="3"/>
  <c r="AM10" i="3"/>
  <c r="AM66" i="3"/>
  <c r="AM50" i="3"/>
  <c r="AM78" i="3"/>
  <c r="AM22" i="3"/>
  <c r="AM63" i="3"/>
  <c r="AM92" i="3"/>
  <c r="AM123" i="3"/>
  <c r="AM69" i="3"/>
  <c r="AM134" i="3"/>
  <c r="AM81" i="3"/>
  <c r="AM48" i="3"/>
  <c r="AM54" i="3"/>
  <c r="AM103" i="3"/>
  <c r="AM126" i="3"/>
  <c r="AM94" i="3"/>
  <c r="AM37" i="3"/>
  <c r="AM58" i="3"/>
  <c r="AM132" i="3"/>
  <c r="AM52" i="3"/>
  <c r="AM76" i="3"/>
  <c r="AM79" i="3"/>
  <c r="AM60" i="3"/>
  <c r="AM55" i="3"/>
  <c r="AM11" i="3"/>
  <c r="AM97" i="3"/>
  <c r="AM113" i="3"/>
  <c r="AM104" i="3"/>
  <c r="AM85" i="3"/>
  <c r="AM114" i="3"/>
  <c r="AM96" i="3"/>
  <c r="AM125" i="3"/>
  <c r="AM98" i="3"/>
  <c r="AM39" i="3"/>
  <c r="AM19" i="3"/>
  <c r="AM15" i="3"/>
  <c r="AM31" i="3"/>
  <c r="AM13" i="3"/>
  <c r="AM99" i="3"/>
  <c r="AM18" i="3"/>
  <c r="AM131" i="3"/>
  <c r="AM41" i="3"/>
  <c r="AM32" i="3"/>
  <c r="AM127" i="3"/>
  <c r="AM20" i="3"/>
  <c r="AM44" i="3"/>
  <c r="AM28" i="3"/>
  <c r="AM75" i="3"/>
  <c r="AM100" i="3"/>
  <c r="AM6" i="3"/>
  <c r="AM122" i="3"/>
  <c r="AM26" i="3"/>
  <c r="AM8" i="3"/>
  <c r="AM65" i="3"/>
  <c r="AM16" i="3"/>
  <c r="AM84" i="3"/>
  <c r="AM29" i="3"/>
  <c r="AM73" i="3"/>
  <c r="AM89" i="3"/>
  <c r="AM46" i="3"/>
  <c r="AM101" i="3"/>
  <c r="AM21" i="3"/>
  <c r="AM40" i="3"/>
  <c r="AM90" i="3"/>
  <c r="AM119" i="3"/>
  <c r="G11" i="6"/>
  <c r="AP7" i="3" l="1"/>
  <c r="AP12" i="3"/>
  <c r="AO32" i="3"/>
  <c r="AN32" i="3" s="1"/>
  <c r="J30" i="3" s="1"/>
  <c r="N30" i="3" s="1"/>
  <c r="AP67" i="3"/>
  <c r="AP115" i="3"/>
  <c r="AP55" i="3"/>
  <c r="AO17" i="3"/>
  <c r="AN17" i="3" s="1"/>
  <c r="J15" i="3" s="1"/>
  <c r="AO23" i="3"/>
  <c r="AN23" i="3" s="1"/>
  <c r="J21" i="3" s="1"/>
  <c r="AP48" i="3"/>
  <c r="AP42" i="3"/>
  <c r="AO10" i="3"/>
  <c r="AN10" i="3" s="1"/>
  <c r="J8" i="3" s="1"/>
  <c r="AO30" i="3"/>
  <c r="AN30" i="3" s="1"/>
  <c r="J28" i="3" s="1"/>
  <c r="AO24" i="3"/>
  <c r="AN24" i="3" s="1"/>
  <c r="J22" i="3" s="1"/>
  <c r="AO37" i="3"/>
  <c r="AN37" i="3" s="1"/>
  <c r="J35" i="3" s="1"/>
  <c r="AP105" i="3"/>
  <c r="AO34" i="3"/>
  <c r="AN34" i="3" s="1"/>
  <c r="J32" i="3" s="1"/>
  <c r="K32" i="3" s="1"/>
  <c r="AO21" i="3"/>
  <c r="AN21" i="3" s="1"/>
  <c r="J19" i="3" s="1"/>
  <c r="AP19" i="3"/>
  <c r="AO8" i="3"/>
  <c r="AN8" i="3" s="1"/>
  <c r="J6" i="3" s="1"/>
  <c r="AP14" i="3"/>
  <c r="F12" i="3" s="1"/>
  <c r="AP43" i="3"/>
  <c r="AP92" i="3"/>
  <c r="AP117" i="3"/>
  <c r="AP15" i="3"/>
  <c r="AP102" i="3"/>
  <c r="AP32" i="3"/>
  <c r="AP26" i="3"/>
  <c r="AP69" i="3"/>
  <c r="AO7" i="3"/>
  <c r="AN7" i="3" s="1"/>
  <c r="J5" i="3" s="1"/>
  <c r="AO14" i="3"/>
  <c r="AN14" i="3" s="1"/>
  <c r="J12" i="3" s="1"/>
  <c r="AP74" i="3"/>
  <c r="F6" i="3" s="1"/>
  <c r="AP84" i="3"/>
  <c r="AP75" i="3"/>
  <c r="AP13" i="3"/>
  <c r="AP81" i="3"/>
  <c r="AP27" i="3"/>
  <c r="AP79" i="3"/>
  <c r="AP107" i="3"/>
  <c r="AP35" i="3"/>
  <c r="F5" i="3" s="1"/>
  <c r="M30" i="3"/>
  <c r="N35" i="3"/>
  <c r="AP78" i="3"/>
  <c r="AP96" i="3"/>
  <c r="AP30" i="3"/>
  <c r="F7" i="3" s="1"/>
  <c r="AP51" i="3"/>
  <c r="AP91" i="3"/>
  <c r="AP58" i="3"/>
  <c r="AO27" i="3"/>
  <c r="AN27" i="3" s="1"/>
  <c r="J25" i="3" s="1"/>
  <c r="AP33" i="3"/>
  <c r="AO40" i="3"/>
  <c r="AN40" i="3" s="1"/>
  <c r="J38" i="3" s="1"/>
  <c r="AP8" i="3"/>
  <c r="AO39" i="3"/>
  <c r="AN39" i="3" s="1"/>
  <c r="J37" i="3" s="1"/>
  <c r="AP52" i="3"/>
  <c r="AP87" i="3"/>
  <c r="AO16" i="3"/>
  <c r="AN16" i="3" s="1"/>
  <c r="J14" i="3" s="1"/>
  <c r="AP68" i="3"/>
  <c r="AO13" i="3"/>
  <c r="AN13" i="3" s="1"/>
  <c r="J11" i="3" s="1"/>
  <c r="AP114" i="3"/>
  <c r="AP73" i="3"/>
  <c r="AO26" i="3"/>
  <c r="AN26" i="3" s="1"/>
  <c r="J24" i="3" s="1"/>
  <c r="AO41" i="3"/>
  <c r="AN41" i="3" s="1"/>
  <c r="J39" i="3" s="1"/>
  <c r="AP71" i="3"/>
  <c r="AO44" i="3"/>
  <c r="AN44" i="3" s="1"/>
  <c r="J42" i="3" s="1"/>
  <c r="AP64" i="3"/>
  <c r="AP112" i="3"/>
  <c r="AP83" i="3"/>
  <c r="AP70" i="3"/>
  <c r="AO38" i="3"/>
  <c r="AN38" i="3" s="1"/>
  <c r="J36" i="3" s="1"/>
  <c r="K36" i="3" s="1"/>
  <c r="AP22" i="3"/>
  <c r="AP21" i="3"/>
  <c r="AP120" i="3"/>
  <c r="AP99" i="3"/>
  <c r="AP49" i="3"/>
  <c r="AP31" i="3"/>
  <c r="F4" i="3" s="1"/>
  <c r="AP90" i="3"/>
  <c r="AP106" i="3"/>
  <c r="AP89" i="3"/>
  <c r="AP46" i="3"/>
  <c r="F8" i="3" s="1"/>
  <c r="AP93" i="3"/>
  <c r="AP109" i="3"/>
  <c r="AP85" i="3"/>
  <c r="AP16" i="3"/>
  <c r="F15" i="3" s="1"/>
  <c r="AP57" i="3"/>
  <c r="AP97" i="3"/>
  <c r="AP6" i="3"/>
  <c r="AP11" i="3"/>
  <c r="AP116" i="3"/>
  <c r="AO6" i="3"/>
  <c r="AN6" i="3" s="1"/>
  <c r="J4" i="3" s="1"/>
  <c r="AP9" i="3"/>
  <c r="AO18" i="3"/>
  <c r="AN18" i="3" s="1"/>
  <c r="J16" i="3" s="1"/>
  <c r="AO28" i="3"/>
  <c r="AN28" i="3" s="1"/>
  <c r="J26" i="3" s="1"/>
  <c r="N26" i="3" s="1"/>
  <c r="AP72" i="3"/>
  <c r="AP98" i="3"/>
  <c r="AP53" i="3"/>
  <c r="AP103" i="3"/>
  <c r="AP100" i="3"/>
  <c r="AP28" i="3"/>
  <c r="AP47" i="3"/>
  <c r="AP66" i="3"/>
  <c r="AP76" i="3"/>
  <c r="AO19" i="3"/>
  <c r="AN19" i="3" s="1"/>
  <c r="J17" i="3" s="1"/>
  <c r="AP108" i="3"/>
  <c r="AO29" i="3"/>
  <c r="AN29" i="3" s="1"/>
  <c r="J27" i="3" s="1"/>
  <c r="N27" i="3" s="1"/>
  <c r="AP118" i="3"/>
  <c r="F13" i="3" s="1"/>
  <c r="AP41" i="3"/>
  <c r="F14" i="3" s="1"/>
  <c r="AP111" i="3"/>
  <c r="AP18" i="3"/>
  <c r="AO42" i="3"/>
  <c r="AN42" i="3" s="1"/>
  <c r="J40" i="3" s="1"/>
  <c r="N40" i="3" s="1"/>
  <c r="AP50" i="3"/>
  <c r="AO15" i="3"/>
  <c r="AN15" i="3" s="1"/>
  <c r="J13" i="3" s="1"/>
  <c r="AP80" i="3"/>
  <c r="AO31" i="3"/>
  <c r="AN31" i="3" s="1"/>
  <c r="J29" i="3" s="1"/>
  <c r="N29" i="3" s="1"/>
  <c r="AP25" i="3"/>
  <c r="AO25" i="3"/>
  <c r="AN25" i="3" s="1"/>
  <c r="J23" i="3" s="1"/>
  <c r="AP37" i="3"/>
  <c r="F2" i="3" s="1"/>
  <c r="AO33" i="3"/>
  <c r="AN33" i="3" s="1"/>
  <c r="J31" i="3" s="1"/>
  <c r="AP104" i="3"/>
  <c r="AP17" i="3"/>
  <c r="AP88" i="3"/>
  <c r="AP36" i="3"/>
  <c r="AO11" i="3"/>
  <c r="AN11" i="3" s="1"/>
  <c r="J9" i="3" s="1"/>
  <c r="AP95" i="3"/>
  <c r="AP56" i="3"/>
  <c r="AP54" i="3"/>
  <c r="AP119" i="3"/>
  <c r="AP44" i="3"/>
  <c r="AP82" i="3"/>
  <c r="AP23" i="3"/>
  <c r="AP61" i="3"/>
  <c r="AP63" i="3"/>
  <c r="F10" i="3" s="1"/>
  <c r="AP29" i="3"/>
  <c r="AO36" i="3"/>
  <c r="AN36" i="3" s="1"/>
  <c r="J34" i="3" s="1"/>
  <c r="AP34" i="3"/>
  <c r="AO35" i="3"/>
  <c r="AN35" i="3" s="1"/>
  <c r="J33" i="3" s="1"/>
  <c r="AP113" i="3"/>
  <c r="AO22" i="3"/>
  <c r="AN22" i="3" s="1"/>
  <c r="J20" i="3" s="1"/>
  <c r="AP24" i="3"/>
  <c r="AP20" i="3"/>
  <c r="AP60" i="3"/>
  <c r="AO43" i="3"/>
  <c r="AN43" i="3" s="1"/>
  <c r="J41" i="3" s="1"/>
  <c r="AO9" i="3"/>
  <c r="AN9" i="3" s="1"/>
  <c r="J7" i="3" s="1"/>
  <c r="AP121" i="3"/>
  <c r="AP10" i="3"/>
  <c r="AP101" i="3"/>
  <c r="AO12" i="3"/>
  <c r="AN12" i="3" s="1"/>
  <c r="J10" i="3" s="1"/>
  <c r="AP94" i="3"/>
  <c r="AP65" i="3"/>
  <c r="AO20" i="3"/>
  <c r="AN20" i="3" s="1"/>
  <c r="J18" i="3" s="1"/>
  <c r="AP86" i="3"/>
  <c r="AP39" i="3"/>
  <c r="AP110" i="3"/>
  <c r="AP59" i="3"/>
  <c r="AP40" i="3"/>
  <c r="F3" i="3" s="1"/>
  <c r="AP77" i="3"/>
  <c r="AP45" i="3"/>
  <c r="AP38" i="3"/>
  <c r="F9" i="3" s="1"/>
  <c r="AP62" i="3"/>
  <c r="N28" i="3"/>
  <c r="K38" i="3"/>
  <c r="M38" i="3"/>
  <c r="N38" i="3"/>
  <c r="K37" i="3"/>
  <c r="N37" i="3"/>
  <c r="M37" i="3"/>
  <c r="F11" i="3"/>
  <c r="G12" i="6"/>
  <c r="M26" i="3" l="1"/>
  <c r="K26" i="3"/>
  <c r="K27" i="3"/>
  <c r="M27" i="3"/>
  <c r="M40" i="3"/>
  <c r="M29" i="3"/>
  <c r="K30" i="3"/>
  <c r="K40" i="3"/>
  <c r="M36" i="3"/>
  <c r="N32" i="3"/>
  <c r="M32" i="3"/>
  <c r="K35" i="3"/>
  <c r="M35" i="3"/>
  <c r="M28" i="3"/>
  <c r="K28" i="3"/>
  <c r="K29" i="3"/>
  <c r="N36" i="3"/>
  <c r="N39" i="3"/>
  <c r="M39" i="3"/>
  <c r="K39" i="3"/>
  <c r="N34" i="3"/>
  <c r="K34" i="3"/>
  <c r="M34" i="3"/>
  <c r="M31" i="3"/>
  <c r="N31" i="3"/>
  <c r="K33" i="3"/>
  <c r="M33" i="3"/>
  <c r="N33" i="3"/>
  <c r="K6" i="3"/>
  <c r="M6" i="3" s="1"/>
  <c r="K31" i="3"/>
  <c r="K25" i="3"/>
  <c r="M25" i="3" s="1"/>
  <c r="K5" i="3"/>
  <c r="M5" i="3" s="1"/>
  <c r="N5" i="3" s="1"/>
  <c r="K24" i="3"/>
  <c r="M24" i="3" s="1"/>
  <c r="N24" i="3" s="1"/>
  <c r="K18" i="3"/>
  <c r="M18" i="3" s="1"/>
  <c r="N18" i="3" s="1"/>
  <c r="K22" i="3"/>
  <c r="M22" i="3" s="1"/>
  <c r="K7" i="3"/>
  <c r="M7" i="3" s="1"/>
  <c r="K23" i="3"/>
  <c r="M23" i="3" s="1"/>
  <c r="N23" i="3" s="1"/>
  <c r="K17" i="3"/>
  <c r="M17" i="3" s="1"/>
  <c r="N17" i="3" s="1"/>
  <c r="K20" i="3"/>
  <c r="M20" i="3" s="1"/>
  <c r="N20" i="3" s="1"/>
  <c r="K16" i="3"/>
  <c r="M16" i="3" s="1"/>
  <c r="N16" i="3" s="1"/>
  <c r="K8" i="3"/>
  <c r="M8" i="3" s="1"/>
  <c r="K15" i="3"/>
  <c r="M15" i="3" s="1"/>
  <c r="N15" i="3" s="1"/>
  <c r="K12" i="3"/>
  <c r="M12" i="3" s="1"/>
  <c r="K11" i="3"/>
  <c r="M11" i="3" s="1"/>
  <c r="N11" i="3" s="1"/>
  <c r="K14" i="3"/>
  <c r="M14" i="3" s="1"/>
  <c r="N14" i="3" s="1"/>
  <c r="K19" i="3"/>
  <c r="M19" i="3" s="1"/>
  <c r="N19" i="3" s="1"/>
  <c r="K9" i="3"/>
  <c r="M9" i="3" s="1"/>
  <c r="N9" i="3" s="1"/>
  <c r="K13" i="3"/>
  <c r="M13" i="3" s="1"/>
  <c r="N13" i="3" s="1"/>
  <c r="K4" i="3"/>
  <c r="M4" i="3" s="1"/>
  <c r="N4" i="3" s="1"/>
  <c r="K10" i="3"/>
  <c r="M10" i="3" s="1"/>
  <c r="K21" i="3"/>
  <c r="M21" i="3" s="1"/>
  <c r="N21" i="3" s="1"/>
  <c r="G13" i="6"/>
  <c r="N25" i="3" l="1"/>
  <c r="N7" i="3"/>
  <c r="N6" i="3"/>
  <c r="N12" i="3"/>
  <c r="N8" i="3"/>
  <c r="N22" i="3"/>
  <c r="N10" i="3"/>
  <c r="G14" i="6"/>
  <c r="J22" i="9"/>
  <c r="J15" i="9"/>
  <c r="D31" i="9"/>
  <c r="D12" i="9"/>
  <c r="I28" i="9"/>
  <c r="D13" i="9"/>
  <c r="E22" i="9"/>
  <c r="C28" i="9"/>
  <c r="J19" i="9"/>
  <c r="E33" i="9"/>
  <c r="C26" i="9"/>
  <c r="E14" i="9"/>
  <c r="F15" i="9"/>
  <c r="A17" i="3"/>
  <c r="J9" i="9"/>
  <c r="C24" i="9"/>
  <c r="C27" i="9"/>
  <c r="F20" i="9"/>
  <c r="I27" i="9"/>
  <c r="E11" i="9"/>
  <c r="E7" i="9"/>
  <c r="D4" i="9"/>
  <c r="J24" i="9"/>
  <c r="I33" i="9"/>
  <c r="D5" i="9"/>
  <c r="D21" i="9"/>
  <c r="I14" i="9"/>
  <c r="D30" i="9"/>
  <c r="E27" i="9"/>
  <c r="J10" i="9"/>
  <c r="C33" i="9"/>
  <c r="E24" i="9"/>
  <c r="J26" i="9"/>
  <c r="F25" i="9"/>
  <c r="E15" i="9"/>
  <c r="J33" i="9"/>
  <c r="C18" i="9"/>
  <c r="I26" i="9"/>
  <c r="E12" i="9"/>
  <c r="E19" i="9"/>
  <c r="F10" i="9"/>
  <c r="C30" i="9"/>
  <c r="C10" i="9"/>
  <c r="F22" i="9"/>
  <c r="I25" i="9"/>
  <c r="C12" i="9"/>
  <c r="D22" i="9"/>
  <c r="F7" i="9"/>
  <c r="J8" i="9"/>
  <c r="D26" i="9"/>
  <c r="J31" i="9"/>
  <c r="I9" i="9"/>
  <c r="E26" i="9"/>
  <c r="D29" i="9"/>
  <c r="E16" i="9"/>
  <c r="E31" i="9"/>
  <c r="C31" i="9"/>
  <c r="E6" i="9"/>
  <c r="C23" i="9"/>
  <c r="E28" i="9"/>
  <c r="J14" i="9"/>
  <c r="J7" i="9"/>
  <c r="F28" i="9"/>
  <c r="I19" i="9"/>
  <c r="I11" i="9"/>
  <c r="F31" i="9"/>
  <c r="F18" i="9"/>
  <c r="F6" i="9"/>
  <c r="I29" i="9"/>
  <c r="F13" i="9"/>
  <c r="F29" i="9"/>
  <c r="E9" i="9"/>
  <c r="C25" i="9"/>
  <c r="I24" i="9"/>
  <c r="I6" i="9"/>
  <c r="I16" i="9"/>
  <c r="F9" i="9"/>
  <c r="F24" i="9"/>
  <c r="I20" i="9"/>
  <c r="D16" i="9"/>
  <c r="E23" i="9"/>
  <c r="D7" i="9"/>
  <c r="F12" i="9"/>
  <c r="J29" i="9"/>
  <c r="C11" i="9"/>
  <c r="D28" i="9"/>
  <c r="C15" i="9"/>
  <c r="C13" i="9"/>
  <c r="I10" i="9"/>
  <c r="E20" i="9"/>
  <c r="F33" i="9"/>
  <c r="C8" i="9"/>
  <c r="I23" i="9"/>
  <c r="C5" i="9"/>
  <c r="J21" i="9"/>
  <c r="C22" i="9"/>
  <c r="J6" i="9"/>
  <c r="F26" i="9"/>
  <c r="E5" i="9"/>
  <c r="F8" i="9"/>
  <c r="C19" i="9"/>
  <c r="I15" i="9"/>
  <c r="F11" i="9"/>
  <c r="J5" i="9"/>
  <c r="D24" i="9"/>
  <c r="D23" i="9"/>
  <c r="C9" i="9"/>
  <c r="I22" i="9"/>
  <c r="F21" i="9"/>
  <c r="C21" i="9"/>
  <c r="D27" i="9"/>
  <c r="D18" i="9"/>
  <c r="E30" i="9"/>
  <c r="F4" i="9"/>
  <c r="E25" i="9"/>
  <c r="I5" i="9"/>
  <c r="E4" i="9"/>
  <c r="C29" i="9"/>
  <c r="D15" i="9"/>
  <c r="D6" i="9"/>
  <c r="J20" i="9"/>
  <c r="I7" i="9"/>
  <c r="I4" i="9"/>
  <c r="D11" i="9"/>
  <c r="J18" i="9"/>
  <c r="D25" i="9"/>
  <c r="J11" i="9"/>
  <c r="I8" i="9"/>
  <c r="I18" i="9"/>
  <c r="C14" i="9"/>
  <c r="D20" i="9"/>
  <c r="F16" i="9"/>
  <c r="I31" i="9"/>
  <c r="I12" i="9"/>
  <c r="J23" i="9"/>
  <c r="J16" i="9"/>
  <c r="A14" i="3"/>
  <c r="E29" i="9"/>
  <c r="C20" i="9"/>
  <c r="J13" i="9"/>
  <c r="J27" i="9"/>
  <c r="J28" i="9"/>
  <c r="C16" i="9"/>
  <c r="A20" i="3"/>
  <c r="F30" i="9"/>
  <c r="C7" i="9"/>
  <c r="I21" i="9"/>
  <c r="I13" i="9"/>
  <c r="I30" i="9"/>
  <c r="D14" i="9"/>
  <c r="F23" i="9"/>
  <c r="F14" i="9"/>
  <c r="D8" i="9"/>
  <c r="E13" i="9"/>
  <c r="C6" i="9"/>
  <c r="E18" i="9"/>
  <c r="F19" i="9"/>
  <c r="J30" i="9"/>
  <c r="D10" i="9"/>
  <c r="E8" i="9"/>
  <c r="J4" i="9"/>
  <c r="C4" i="9"/>
  <c r="F27" i="9"/>
  <c r="E21" i="9"/>
  <c r="J25" i="9"/>
  <c r="J12" i="9"/>
  <c r="D9" i="9"/>
  <c r="F5" i="9"/>
  <c r="E10" i="9"/>
  <c r="D33" i="9"/>
  <c r="D19" i="9"/>
  <c r="G18" i="9" l="1"/>
  <c r="H25" i="9"/>
  <c r="G21" i="9"/>
  <c r="H29" i="9"/>
  <c r="G27" i="9"/>
  <c r="H28" i="9"/>
  <c r="H9" i="9"/>
  <c r="G29" i="9"/>
  <c r="H20" i="9"/>
  <c r="G31" i="9"/>
  <c r="G7" i="9"/>
  <c r="H30" i="9"/>
  <c r="H11" i="9"/>
  <c r="H10" i="9"/>
  <c r="H5" i="9"/>
  <c r="H14" i="9"/>
  <c r="H7" i="9"/>
  <c r="G6" i="9"/>
  <c r="G5" i="9"/>
  <c r="H4" i="9"/>
  <c r="G9" i="9"/>
  <c r="G28" i="9"/>
  <c r="G13" i="9"/>
  <c r="H27" i="9"/>
  <c r="H23" i="9"/>
  <c r="G23" i="9"/>
  <c r="G10" i="9"/>
  <c r="G8" i="9"/>
  <c r="G24" i="9"/>
  <c r="G33" i="9"/>
  <c r="H21" i="9"/>
  <c r="H19" i="9"/>
  <c r="H8" i="9"/>
  <c r="H6" i="9"/>
  <c r="G14" i="9"/>
  <c r="G16" i="9"/>
  <c r="G19" i="9"/>
  <c r="H12" i="9"/>
  <c r="H33" i="9"/>
  <c r="G4" i="9"/>
  <c r="G22" i="9"/>
  <c r="G30" i="9"/>
  <c r="G26" i="9"/>
  <c r="G11" i="9"/>
  <c r="H31" i="9"/>
  <c r="G25" i="9"/>
  <c r="H24" i="9"/>
  <c r="H13" i="9"/>
  <c r="H26" i="9"/>
  <c r="H18" i="9"/>
  <c r="G20" i="9"/>
  <c r="G15" i="9"/>
  <c r="H15" i="9"/>
  <c r="G12" i="9"/>
  <c r="H16" i="9"/>
  <c r="H22" i="9"/>
  <c r="O7" i="3"/>
  <c r="P7" i="3" s="1"/>
  <c r="O17" i="3"/>
  <c r="Q17" i="3" s="1"/>
  <c r="O19" i="3"/>
  <c r="P19" i="3" s="1"/>
  <c r="O22" i="3"/>
  <c r="P22" i="3" s="1"/>
  <c r="O14" i="3"/>
  <c r="O24" i="3"/>
  <c r="P24" i="3" s="1"/>
  <c r="O5" i="3"/>
  <c r="O6" i="3"/>
  <c r="O25" i="3"/>
  <c r="Q25" i="3" s="1"/>
  <c r="D24" i="6" s="1"/>
  <c r="O20" i="3"/>
  <c r="P20" i="3" s="1"/>
  <c r="O15" i="3"/>
  <c r="O12" i="3"/>
  <c r="O4" i="3"/>
  <c r="O23" i="3"/>
  <c r="P23" i="3" s="1"/>
  <c r="O26" i="3"/>
  <c r="P26" i="3" s="1"/>
  <c r="O11" i="3"/>
  <c r="P11" i="3" s="1"/>
  <c r="O9" i="3"/>
  <c r="Q9" i="3" s="1"/>
  <c r="O10" i="3"/>
  <c r="Q10" i="3" s="1"/>
  <c r="O16" i="3"/>
  <c r="P16" i="3" s="1"/>
  <c r="O21" i="3"/>
  <c r="O18" i="3"/>
  <c r="O13" i="3"/>
  <c r="Q13" i="3" s="1"/>
  <c r="O8" i="3"/>
  <c r="G15" i="6"/>
  <c r="Q7" i="3" l="1"/>
  <c r="Q26" i="3"/>
  <c r="P17" i="3"/>
  <c r="Q24" i="3"/>
  <c r="B3" i="6"/>
  <c r="Q15" i="3"/>
  <c r="P5" i="3"/>
  <c r="Q5" i="3"/>
  <c r="Q16" i="3"/>
  <c r="P8" i="3"/>
  <c r="P15" i="3"/>
  <c r="Q8" i="3"/>
  <c r="Q19" i="3"/>
  <c r="Q22" i="3"/>
  <c r="P12" i="3"/>
  <c r="Q6" i="3"/>
  <c r="Q21" i="3"/>
  <c r="P6" i="3"/>
  <c r="P21" i="3"/>
  <c r="Q11" i="3"/>
  <c r="Q12" i="3"/>
  <c r="P25" i="3"/>
  <c r="C24" i="6" s="1"/>
  <c r="B24" i="6"/>
  <c r="Q4" i="3"/>
  <c r="Q18" i="3"/>
  <c r="P9" i="3"/>
  <c r="P14" i="3"/>
  <c r="P4" i="3"/>
  <c r="P18" i="3"/>
  <c r="Q14" i="3"/>
  <c r="P10" i="3"/>
  <c r="Q20" i="3"/>
  <c r="Q23" i="3"/>
  <c r="P13" i="3"/>
  <c r="G16" i="6"/>
  <c r="B4" i="6" l="1"/>
  <c r="D4" i="6"/>
  <c r="C4" i="6"/>
  <c r="Q27" i="3"/>
  <c r="D25" i="6" s="1"/>
  <c r="P27" i="3"/>
  <c r="C25" i="6" s="1"/>
  <c r="G17" i="6"/>
  <c r="B5" i="6" l="1"/>
  <c r="D5" i="6"/>
  <c r="C5" i="6"/>
  <c r="G18" i="6"/>
  <c r="B6" i="6" l="1"/>
  <c r="D6" i="6"/>
  <c r="C6" i="6"/>
  <c r="G19" i="6"/>
  <c r="B7" i="6" l="1"/>
  <c r="D7" i="6"/>
  <c r="C7" i="6"/>
  <c r="G20" i="6"/>
  <c r="B8" i="6" l="1"/>
  <c r="D8" i="6"/>
  <c r="C8" i="6"/>
  <c r="G21" i="6"/>
  <c r="B9" i="6" l="1"/>
  <c r="D9" i="6"/>
  <c r="C9" i="6"/>
  <c r="G22" i="6"/>
  <c r="B10" i="6" l="1"/>
  <c r="G23" i="6"/>
  <c r="D11" i="6" l="1"/>
  <c r="C11" i="6"/>
  <c r="B11" i="6"/>
  <c r="D12" i="6" l="1"/>
  <c r="B12" i="6"/>
  <c r="C12" i="6"/>
  <c r="B13" i="6" l="1"/>
  <c r="D13" i="6"/>
  <c r="C13" i="6"/>
  <c r="C14" i="6" l="1"/>
  <c r="B14" i="6"/>
  <c r="D14" i="6"/>
  <c r="D15" i="6" l="1"/>
  <c r="C15" i="6"/>
  <c r="B15" i="6"/>
  <c r="D16" i="6" l="1"/>
  <c r="B16" i="6"/>
  <c r="C16" i="6"/>
  <c r="B17" i="6" l="1"/>
  <c r="D17" i="6"/>
  <c r="C17" i="6"/>
  <c r="C18" i="6" l="1"/>
  <c r="D18" i="6"/>
  <c r="B18" i="6"/>
  <c r="D19" i="6" l="1"/>
  <c r="C19" i="6"/>
  <c r="B19" i="6"/>
  <c r="B20" i="6" l="1"/>
  <c r="D20" i="6"/>
  <c r="C20" i="6"/>
  <c r="B21" i="6" l="1"/>
  <c r="C21" i="6"/>
  <c r="D21" i="6"/>
  <c r="C22" i="6" l="1"/>
  <c r="B22" i="6"/>
  <c r="D22" i="6"/>
  <c r="D23" i="6" l="1"/>
  <c r="C23" i="6"/>
  <c r="B23" i="6"/>
  <c r="C3" i="6"/>
  <c r="C10" i="6" s="1"/>
  <c r="D3" i="6"/>
  <c r="D10" i="6" l="1"/>
  <c r="D26" i="6" s="1"/>
  <c r="C26"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Takashi Aoki</author>
  </authors>
  <commentList>
    <comment ref="E1" authorId="0" shapeId="0" xr:uid="{00000000-0006-0000-0100-000001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重複排除した申請者所属（組織名）</t>
        </r>
      </text>
    </comment>
    <comment ref="F1" authorId="0" shapeId="0" xr:uid="{00000000-0006-0000-0100-000002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左記組織の親組織（本部等）</t>
        </r>
      </text>
    </comment>
    <comment ref="G1" authorId="0" shapeId="0" xr:uid="{00000000-0006-0000-0100-000003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旧組織での場合など、親組織の対応がない組織はここに数え上げ</t>
        </r>
      </text>
    </comment>
    <comment ref="J1" authorId="0" shapeId="0" xr:uid="{00000000-0006-0000-0100-000004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列</t>
        </r>
        <r>
          <rPr>
            <sz val="9"/>
            <color indexed="81"/>
            <rFont val="MS P ゴシック"/>
            <family val="2"/>
          </rPr>
          <t>AK</t>
        </r>
        <r>
          <rPr>
            <sz val="9"/>
            <color indexed="81"/>
            <rFont val="ＭＳ Ｐゴシック"/>
            <family val="3"/>
            <charset val="128"/>
          </rPr>
          <t>から</t>
        </r>
      </text>
    </comment>
    <comment ref="L1" authorId="0" shapeId="0" xr:uid="{00000000-0006-0000-0100-000005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年間登録のシートももたせて、所属欄を計数することで個別と同じく自動化はできるだろう。ただめんどくさいので、手を抜いた。</t>
        </r>
      </text>
    </comment>
    <comment ref="V1" authorId="0" shapeId="0" xr:uid="{00000000-0006-0000-0100-000006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連結番号</t>
        </r>
      </text>
    </comment>
    <comment ref="AR1" authorId="0" shapeId="0" xr:uid="{00000000-0006-0000-0100-000007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包括許可適用</t>
        </r>
      </text>
    </comment>
    <comment ref="AS1" authorId="0" shapeId="0" xr:uid="{00000000-0006-0000-0100-000008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少額特例適用</t>
        </r>
      </text>
    </comment>
    <comment ref="AU1" authorId="0" shapeId="0" xr:uid="{00000000-0006-0000-0100-000009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該当だが許可／特例なし（国内取引のはず）
</t>
        </r>
      </text>
    </comment>
    <comment ref="AK5" authorId="0" shapeId="0" xr:uid="{00000000-0006-0000-0100-00000A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組織名称・略称・英文呼称エクセルファイルからもらう。</t>
        </r>
      </text>
    </comment>
    <comment ref="AL5" authorId="0" shapeId="0" xr:uid="{00000000-0006-0000-0100-00000B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３文字目が『本部室Ｃ推』のいずれかの場合、『経CC』以外は、上位組織である
=IF(OR(AG2="経ＣＣ",ISBLANK(AG2)),"",IFERROR(FIND(RIGHT(AG2,1),"本部室Ｃ推"),""))
としたのだが、将来この名前ルールも変わるかもしれない。やむを得ないので、マクロを組んでセルの背景色で判断することにした。</t>
        </r>
      </text>
    </comment>
    <comment ref="AM5" authorId="0" shapeId="0" xr:uid="{00000000-0006-0000-0100-00000C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本部の登場順序</t>
        </r>
      </text>
    </comment>
    <comment ref="AN5" authorId="0" shapeId="0" xr:uid="{00000000-0006-0000-0100-00000D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組織登場順序で連結した組織リスト。そのあとに、予め検出された親組織のなかったBU等を連結</t>
        </r>
      </text>
    </comment>
    <comment ref="AO5" authorId="0" shapeId="0" xr:uid="{00000000-0006-0000-0100-00000E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配下組織と何文字共有しているか</t>
        </r>
      </text>
    </comment>
    <comment ref="AP5" authorId="0" shapeId="0" xr:uid="{00000000-0006-0000-0100-00000F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親組織名
</t>
        </r>
      </text>
    </comment>
    <comment ref="L7" authorId="0" shapeId="0" xr:uid="{00000000-0006-0000-0100-000010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セ事Ｉが１件増えた（監視カメラの取引）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lumia.630 aokit</author>
  </authors>
  <commentList>
    <comment ref="A6" authorId="0" shapeId="0" xr:uid="{00000000-0006-0000-0200-000001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このシートの集計期間の２つのセル</t>
        </r>
      </text>
    </comment>
    <comment ref="A7" authorId="0" shapeId="0" xr:uid="{00000000-0006-0000-0200-000002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組織名称のシートの略称欄（欄名除く・第１行が第１の親組織の略称であるもの・例：ＶＣ本）
組織の３文字略称の列ベクトル。セルの色で親組織とそれに属する組織が識別されているもの。かつ、第１行が親組織で始まるもの。</t>
        </r>
      </text>
    </comment>
    <comment ref="A8" authorId="0" shapeId="0" xr:uid="{00000000-0006-0000-0200-000003000000}">
      <text>
        <r>
          <rPr>
            <b/>
            <sz val="9"/>
            <color indexed="81"/>
            <rFont val="MS P ゴシック"/>
            <family val="2"/>
          </rPr>
          <t>lumia.630 aokit:</t>
        </r>
        <r>
          <rPr>
            <sz val="9"/>
            <color indexed="81"/>
            <rFont val="MS P ゴシック"/>
            <family val="2"/>
          </rPr>
          <t xml:space="preserve">
yushtsu_kobetsu</t>
        </r>
        <r>
          <rPr>
            <sz val="9"/>
            <color indexed="81"/>
            <rFont val="ＭＳ Ｐゴシック"/>
            <family val="3"/>
            <charset val="128"/>
          </rPr>
          <t>のシート（全セル選択）</t>
        </r>
      </text>
    </comment>
    <comment ref="A9" authorId="0" shapeId="0" xr:uid="{00000000-0006-0000-0200-000004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このシートの取引区分集計の値の入る領域（見出しを含まない：固定）の左上のセル</t>
        </r>
      </text>
    </comment>
    <comment ref="A10" authorId="0" shapeId="0" xr:uid="{00000000-0006-0000-0200-000005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上記の非ゼロのもの</t>
        </r>
      </text>
    </comment>
    <comment ref="A11" authorId="0" shapeId="0" xr:uid="{00000000-0006-0000-0200-000006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組織集計の表の値の領域（集計名と、年間登録の件数と、個別審査の件数：以上の３列）の左上の１セル</t>
        </r>
      </text>
    </comment>
    <comment ref="A12" authorId="0" shapeId="0" xr:uid="{00000000-0006-0000-0200-000007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値の入る欄の左上の１セル。名前に定義された領域を利用して動的に集計結果が入る。</t>
        </r>
      </text>
    </comment>
    <comment ref="A16" authorId="0" shapeId="0" xr:uid="{00000000-0006-0000-0200-000008000000}">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第１列に親組織、同じ行の第２列以降に属する組織を記した範囲の第１行第１列に『</t>
        </r>
        <r>
          <rPr>
            <sz val="9"/>
            <color indexed="81"/>
            <rFont val="MS P ゴシック"/>
            <family val="2"/>
          </rPr>
          <t>Range_</t>
        </r>
        <r>
          <rPr>
            <sz val="9"/>
            <color indexed="81"/>
            <rFont val="ＭＳ Ｐゴシック"/>
            <family val="3"/>
            <charset val="128"/>
          </rPr>
          <t>組織辞書』を名付ける。</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Takashi Aoki</author>
  </authors>
  <commentList>
    <comment ref="F3" authorId="0" shapeId="0" xr:uid="{00000000-0006-0000-0500-000001000000}">
      <text>
        <r>
          <rPr>
            <b/>
            <sz val="9"/>
            <color indexed="81"/>
            <rFont val="MS P ゴシック"/>
            <family val="2"/>
          </rPr>
          <t>Takashi Aoki:</t>
        </r>
        <r>
          <rPr>
            <sz val="9"/>
            <color indexed="81"/>
            <rFont val="MS P ゴシック"/>
            <family val="2"/>
          </rPr>
          <t xml:space="preserve">
</t>
        </r>
        <r>
          <rPr>
            <sz val="16"/>
            <color indexed="81"/>
            <rFont val="ＭＳ Ｐゴシック"/>
            <family val="3"/>
            <charset val="128"/>
          </rPr>
          <t>組織表は、経企画からいただく。今回は矢島さんからもらった。</t>
        </r>
      </text>
    </comment>
  </commentList>
</comments>
</file>

<file path=xl/sharedStrings.xml><?xml version="1.0" encoding="utf-8"?>
<sst xmlns="http://schemas.openxmlformats.org/spreadsheetml/2006/main" count="5930" uniqueCount="1859">
  <si>
    <t>管理番号</t>
  </si>
  <si>
    <t>承認日</t>
  </si>
  <si>
    <t>審査担当者</t>
  </si>
  <si>
    <t>出荷時期（開始日）</t>
  </si>
  <si>
    <t>出荷時期（終了日）</t>
  </si>
  <si>
    <t>実施日</t>
  </si>
  <si>
    <t>件名</t>
  </si>
  <si>
    <t>取引内容区分</t>
  </si>
  <si>
    <t>取引内容区分（その他等）</t>
  </si>
  <si>
    <t>金額（円）</t>
  </si>
  <si>
    <t>仕向地</t>
  </si>
  <si>
    <t>経由地</t>
  </si>
  <si>
    <t>顧客・契約先</t>
  </si>
  <si>
    <t>最終需要者</t>
  </si>
  <si>
    <t>申請者所属</t>
  </si>
  <si>
    <t>申請者</t>
  </si>
  <si>
    <t>貨物　リスト規制</t>
  </si>
  <si>
    <t>貨物　許可等措置</t>
  </si>
  <si>
    <t>技術　リスト規制</t>
  </si>
  <si>
    <t>技術　許可等措置</t>
  </si>
  <si>
    <t>取締役決裁</t>
  </si>
  <si>
    <t>社承番号</t>
  </si>
  <si>
    <t>事前連絡による変更内容</t>
  </si>
  <si>
    <t>追記内容</t>
  </si>
  <si>
    <t>技輸審-2019-0557</t>
  </si>
  <si>
    <t>小松原朗</t>
  </si>
  <si>
    <t>［販売］AT9968　50g</t>
  </si>
  <si>
    <t>販売</t>
  </si>
  <si>
    <t>スイス</t>
  </si>
  <si>
    <t>－</t>
  </si>
  <si>
    <t>SUSS Micro Optics SA</t>
  </si>
  <si>
    <t>顧客に同じ</t>
  </si>
  <si>
    <t>ＧＢ光</t>
  </si>
  <si>
    <t>藤井　美和子</t>
  </si>
  <si>
    <t>対象外（項番なし）</t>
  </si>
  <si>
    <t>技輸審-2019-0558</t>
  </si>
  <si>
    <t>［販売］G-ブレス　名刺サイズ</t>
  </si>
  <si>
    <t>中国</t>
  </si>
  <si>
    <t>岩谷産業株式会社</t>
  </si>
  <si>
    <t>Zhuhai Ftz Oplink Communications</t>
  </si>
  <si>
    <t>松崎　一</t>
  </si>
  <si>
    <t>技輸審-2019-0559</t>
  </si>
  <si>
    <t>青木孝</t>
  </si>
  <si>
    <t>［販売］窒化物エピタキシャルウェハ（6inch on Si)</t>
  </si>
  <si>
    <t>台湾</t>
  </si>
  <si>
    <t>TSEL Technology Inc.</t>
  </si>
  <si>
    <t>GLC Semiconductor Group (TW) Co.</t>
  </si>
  <si>
    <t>ＧＢ営</t>
  </si>
  <si>
    <t>須藤　久美子</t>
  </si>
  <si>
    <t>該当（別１：７（１８））</t>
  </si>
  <si>
    <t>その他</t>
  </si>
  <si>
    <t>技社承-2019-055</t>
  </si>
  <si>
    <t>技輸審-2019-0560</t>
  </si>
  <si>
    <t>［無償提供］窒化物エピタキシャルウェハ（6inch on Si)</t>
  </si>
  <si>
    <t>無償提供</t>
  </si>
  <si>
    <t>Lextar Electronics Corporation</t>
  </si>
  <si>
    <t>技社承-2019-056</t>
  </si>
  <si>
    <t>技輸審-2019-0561</t>
  </si>
  <si>
    <t>［無償提供］HIREC100塗装サンプル</t>
  </si>
  <si>
    <t>ロシア</t>
  </si>
  <si>
    <t>日本→ロシア</t>
  </si>
  <si>
    <t>イスクラ産業株式会社</t>
  </si>
  <si>
    <t>未定</t>
  </si>
  <si>
    <t>川田　久美子</t>
  </si>
  <si>
    <t>非該当（対象外、5(1)項、別２の21の3項）</t>
  </si>
  <si>
    <t>技輸審-2019-0562</t>
  </si>
  <si>
    <t>加藤順一</t>
  </si>
  <si>
    <t>［無償提供］研磨フィルム、研磨パッド</t>
  </si>
  <si>
    <t>米国</t>
  </si>
  <si>
    <t>NTT-AT（G米国）</t>
  </si>
  <si>
    <t>池田　元昭</t>
  </si>
  <si>
    <t>技輸審-2019-0563</t>
  </si>
  <si>
    <t>［返却］Optical Isolator　M/N I-780-LM-1.4-4</t>
  </si>
  <si>
    <t>返却</t>
  </si>
  <si>
    <t>Isowave</t>
  </si>
  <si>
    <t>笹倉　淳平</t>
  </si>
  <si>
    <t>非該当（別１：９（３））</t>
  </si>
  <si>
    <t>技輸審-2019-0564</t>
  </si>
  <si>
    <t>［販売］窒化物エピウェハ（６インチ）</t>
  </si>
  <si>
    <t>イギリス</t>
  </si>
  <si>
    <t>University of Glasgow</t>
  </si>
  <si>
    <t>少額特例</t>
  </si>
  <si>
    <t>技輸審-2019-0565</t>
  </si>
  <si>
    <t>シンガポール</t>
  </si>
  <si>
    <t>NTTーAT（シンガポール支店）</t>
  </si>
  <si>
    <t>技輸審-2019-0566</t>
  </si>
  <si>
    <t>［製造評価］Mo/Si Ellipsoidal Mirror、反射率指示書</t>
  </si>
  <si>
    <t>製造・評価</t>
  </si>
  <si>
    <t>Lawrence Berkley National Laboratory</t>
  </si>
  <si>
    <t>NTT-AT(GBア/GBE)</t>
  </si>
  <si>
    <t>ＧＢＥ</t>
  </si>
  <si>
    <t>飛田　達也</t>
  </si>
  <si>
    <t>非該当（判定項番は備考欄記載）</t>
  </si>
  <si>
    <t>技輸審-2019-0567</t>
  </si>
  <si>
    <t>［販売］光コネクタクリーナの販売</t>
  </si>
  <si>
    <t>FS TECH PTE Ltd.</t>
  </si>
  <si>
    <t>村上　雅之</t>
  </si>
  <si>
    <t>技輸審-2019-0568</t>
  </si>
  <si>
    <t>［無償提供］OR-5200プログラム　評価用ライセンス</t>
  </si>
  <si>
    <t>南アフリカ共和国</t>
  </si>
  <si>
    <t xml:space="preserve">NTT Limited </t>
  </si>
  <si>
    <t>ＧＢＳ</t>
  </si>
  <si>
    <t>塩井　桂</t>
  </si>
  <si>
    <t>技輸審-2019-0569</t>
  </si>
  <si>
    <t>［販売］光学接着剤HT0031 5g</t>
  </si>
  <si>
    <t>カナダ</t>
  </si>
  <si>
    <t>Haas Group Canada, Inc.</t>
  </si>
  <si>
    <t>IBM Canada</t>
  </si>
  <si>
    <t>技輸審-2019-0570</t>
  </si>
  <si>
    <t>［販売］メタルパタン付きウェハ</t>
  </si>
  <si>
    <t>Diamond Foundry</t>
  </si>
  <si>
    <t>包括許可適用</t>
  </si>
  <si>
    <t>包括許可</t>
  </si>
  <si>
    <t>技社承-2019-057</t>
  </si>
  <si>
    <t>技輸審-2019-0571</t>
  </si>
  <si>
    <t>［その他］分析レポート（ICP-MS)と試料返却</t>
  </si>
  <si>
    <t>その他の案件</t>
  </si>
  <si>
    <t>分析結果の提供と試料の返却</t>
  </si>
  <si>
    <t>Dongguan Tianyu Semiocnductor Technology</t>
  </si>
  <si>
    <t>該当（別１：７（２２））</t>
  </si>
  <si>
    <t>該当（別表：７（５））</t>
  </si>
  <si>
    <t>技社承-2019-058</t>
  </si>
  <si>
    <t>技輸審-2019-0572</t>
  </si>
  <si>
    <t>［販売］HIREC450 1kgセット、HIREC塗装板／HIREC施工要領</t>
  </si>
  <si>
    <t>韓国</t>
  </si>
  <si>
    <t>株式会社リッチストーンに、日本成田渡しで販売する</t>
  </si>
  <si>
    <t>株式会社リッチストーン</t>
  </si>
  <si>
    <t>IB Korea</t>
  </si>
  <si>
    <t>ＧＢ環</t>
  </si>
  <si>
    <t>野沢　和彦</t>
  </si>
  <si>
    <t>非該当（別１：５（１）・別２：２１（３））</t>
  </si>
  <si>
    <t>技輸審-2019-0573</t>
  </si>
  <si>
    <t>［無償提供］シール材　OS5962 200g</t>
  </si>
  <si>
    <t xml:space="preserve">FiberSource, Inc </t>
  </si>
  <si>
    <t>MiQro Innovation Collaborative C</t>
  </si>
  <si>
    <t>技輸審-2019-0574</t>
  </si>
  <si>
    <t>［販売］セラミックマイクロヒータ（CMH-7019）</t>
  </si>
  <si>
    <t>Shenzhen Goptic Company Ltd.</t>
  </si>
  <si>
    <t>SHENZHEN　UNIVERSITY</t>
  </si>
  <si>
    <t>Ｇ推進</t>
  </si>
  <si>
    <t>彭　皓</t>
  </si>
  <si>
    <t>技社承-2019-059</t>
  </si>
  <si>
    <t>技輸審-2019-0575</t>
  </si>
  <si>
    <t>Sigetronics, Inc.</t>
  </si>
  <si>
    <t>技輸審-2019-0576</t>
  </si>
  <si>
    <t>［販売］窒化物エピタキシャルウェハ（4インチ)</t>
  </si>
  <si>
    <t>Wind semiconductor Ltd.</t>
  </si>
  <si>
    <t>National Taiwan University</t>
  </si>
  <si>
    <t>出荷予定の在庫品の品質上の問題（クラック）を事前通知のうえ、割引価格による売買の合意となり通関価格変更（29万円が25万円に減少）となる旨連絡受領（20200323：経輸出室長）</t>
  </si>
  <si>
    <t>技輸審-2019-0577</t>
  </si>
  <si>
    <t>［無償提供］窒化物エピタキシャルウェハ（8インチ）</t>
  </si>
  <si>
    <t>Litrax Technology Corporation</t>
  </si>
  <si>
    <t>ITRI (Industrial Technology Rese</t>
  </si>
  <si>
    <t>技社承-2019-060</t>
  </si>
  <si>
    <t>４枚の申請であったが、契約変更により３枚となった。うち２枚を3/18に通関（済）・１枚を3/30に通関（予定：FEDEX割当て済）(2020/03/26：経輸出室長）</t>
  </si>
  <si>
    <t>技輸審-2019-0578</t>
  </si>
  <si>
    <t>［返却］SiC基板（顧客試料</t>
  </si>
  <si>
    <t>TanKeBlue Semiconductor Co.Ltd.</t>
  </si>
  <si>
    <t>張　洋琴</t>
  </si>
  <si>
    <t>技社承-2019-061</t>
  </si>
  <si>
    <t>技輸審-2019-0579</t>
  </si>
  <si>
    <t>［販売］GaN layers on 6 inch Si substrate</t>
  </si>
  <si>
    <t>W&amp;H Semiconductor Ltd.</t>
  </si>
  <si>
    <t>非該当（別１：７（１８））</t>
  </si>
  <si>
    <t>技輸審-2019-0580</t>
  </si>
  <si>
    <t>［貸出］インテリジェントマイクFR-1000及び内蔵ソフトウェア</t>
  </si>
  <si>
    <t>貸出</t>
  </si>
  <si>
    <t>ハンガリー</t>
  </si>
  <si>
    <t>Xdroid Kft</t>
  </si>
  <si>
    <t>田中　宏充</t>
  </si>
  <si>
    <t>非該当（別１：９（１））</t>
  </si>
  <si>
    <t>非該当（別表：１０（１）・１５（５））</t>
  </si>
  <si>
    <t>技輸審-2019-0581</t>
  </si>
  <si>
    <t>seong-andang</t>
  </si>
  <si>
    <t>技輸審-2019-0582</t>
  </si>
  <si>
    <t>［販売］セラミックマイクロヒータ CMH-7019 2個</t>
  </si>
  <si>
    <t>University of Verginia</t>
  </si>
  <si>
    <t>技輸審-2019-0583</t>
  </si>
  <si>
    <t>［販売］光学接着剤AT8224 10g</t>
  </si>
  <si>
    <t>Broadex Technologies UK Ltd.</t>
  </si>
  <si>
    <t>技輸審-2019-0584</t>
  </si>
  <si>
    <t>［その他］分析レポート（TXRF)と試料返却</t>
  </si>
  <si>
    <t>Southampton University</t>
  </si>
  <si>
    <t>非該当（輸出令別表第１の7項(18)）</t>
  </si>
  <si>
    <t>非該当（外為令別表の7項）</t>
  </si>
  <si>
    <t>ＡＴ－経輸出第E2019-00003号により追認。</t>
  </si>
  <si>
    <t>技輸審-2019-0585</t>
  </si>
  <si>
    <t>取引中止</t>
  </si>
  <si>
    <t>［返却］貨物(2)、貨物(4)、貨物(7)、技術(1)</t>
  </si>
  <si>
    <t>イスラエル</t>
  </si>
  <si>
    <t>Allot Communications</t>
  </si>
  <si>
    <t>セ事Ｉ</t>
  </si>
  <si>
    <t>及川　遼介</t>
  </si>
  <si>
    <t>非該当（別１の8項、9項(1)(3)(7)）</t>
  </si>
  <si>
    <t>非該当（外為令別表の9項(1)(2)）</t>
  </si>
  <si>
    <t>技輸審-2019-0586</t>
  </si>
  <si>
    <t>［販売］光学接着剤AT6001　50g</t>
  </si>
  <si>
    <t>広州利成</t>
  </si>
  <si>
    <t>古河FITEL(上海)</t>
  </si>
  <si>
    <t>山内　篤</t>
  </si>
  <si>
    <t>技輸審-2019-0587</t>
  </si>
  <si>
    <t>［販売］窒化物エピウェハ</t>
  </si>
  <si>
    <t>Wuhan CC Power Technology Co., Ltd.</t>
  </si>
  <si>
    <t xml:space="preserve">Southern  University of Science </t>
  </si>
  <si>
    <t>該当（輸出令別表第１の7項(18)(22)）</t>
  </si>
  <si>
    <t>ＡＴ－経輸出第E2019-00003号により追認。感染症対策の影響で経由変更（変更前：Wuhan経由・変更後：Shanghai経由）インボイス確認済（20200327：経輸出室長）</t>
  </si>
  <si>
    <t>技輸審-2019-0588</t>
  </si>
  <si>
    <t>［販売］研磨フィルムADS-NEXT-127</t>
  </si>
  <si>
    <t>ベトナム</t>
  </si>
  <si>
    <t>株式会社フジクラ</t>
  </si>
  <si>
    <t>Fujikura Fiber Optics Viet Nam L</t>
  </si>
  <si>
    <t>芳賀　由昌</t>
  </si>
  <si>
    <t>技輸審-2019-0589</t>
  </si>
  <si>
    <t>［販売］光コネクタ端面検査機/部分品・附属品/表示・分析プログラム/取扱説明書</t>
  </si>
  <si>
    <t>日本</t>
  </si>
  <si>
    <t>株式会社オムニクス</t>
  </si>
  <si>
    <t>SUMIDEN DEVICE INNOVATION VIETNA</t>
  </si>
  <si>
    <t>平本　裕樹</t>
  </si>
  <si>
    <t>非該当（別表第１:9(6)項）</t>
  </si>
  <si>
    <t>非該当（別表：9(2)項）</t>
  </si>
  <si>
    <t>技輸審-2019-0590</t>
  </si>
  <si>
    <t>［販売］KTN結晶チップ（KCCBAR0000-00)</t>
  </si>
  <si>
    <t>ドイツ</t>
  </si>
  <si>
    <t>AMS Technolgies AG</t>
  </si>
  <si>
    <t>University of Freiburg</t>
  </si>
  <si>
    <t>非該当（別１：１０（１４））</t>
  </si>
  <si>
    <t>非該当（別表：１０）</t>
  </si>
  <si>
    <t>技輸審-2019-0591</t>
  </si>
  <si>
    <t>［販売］窒化物エピタキシャルウェハ(3inch on SiC)</t>
  </si>
  <si>
    <t>Feng Chia University</t>
  </si>
  <si>
    <t>該当（別１：７（１８）・７（２２））</t>
  </si>
  <si>
    <t>技社承-2019-062</t>
  </si>
  <si>
    <t>技輸審-2019-0592</t>
  </si>
  <si>
    <t>［返却］WHG325 WLAN Controller</t>
  </si>
  <si>
    <t>ー</t>
  </si>
  <si>
    <t>EDGECORE NETWORKS CORPORATION</t>
  </si>
  <si>
    <t>ＮＳＴ</t>
  </si>
  <si>
    <t>櫻井　智美</t>
  </si>
  <si>
    <t>非該当（別1：9(1)(7)）</t>
  </si>
  <si>
    <t>非該当（別：9(1)(2)）</t>
  </si>
  <si>
    <t>技輸審-2019-0593</t>
  </si>
  <si>
    <t>［販売］光コネクタクリーナ/取扱説明書</t>
  </si>
  <si>
    <t>台湾、韓国、中国</t>
  </si>
  <si>
    <t>株式会社トーツー創研</t>
  </si>
  <si>
    <t>技輸審-2019-0594</t>
  </si>
  <si>
    <t>［販売］Shimadzu standard grating,toroidalmirror</t>
  </si>
  <si>
    <t>インド</t>
  </si>
  <si>
    <t>GP NET</t>
  </si>
  <si>
    <t>Physical Research Laboratories</t>
  </si>
  <si>
    <t>非該当（別１：７（１６）・（１７の２）・１０）</t>
  </si>
  <si>
    <t>技輸審-2020-0001</t>
  </si>
  <si>
    <t xml:space="preserve">［技術提供］OpenStack Tacker開発 </t>
  </si>
  <si>
    <t>技術提供</t>
  </si>
  <si>
    <t xml:space="preserve">OpenStack Foundation </t>
  </si>
  <si>
    <t>ＲＤＩ</t>
  </si>
  <si>
    <t>飯沼　満</t>
  </si>
  <si>
    <t>公知特例</t>
  </si>
  <si>
    <t>技輸審-2020-0002</t>
  </si>
  <si>
    <t>［ＰＧ提供］WinActorソース・マニュアル等一式</t>
  </si>
  <si>
    <t>プログラム提供</t>
  </si>
  <si>
    <t>ソースを提供するオフショア開発</t>
  </si>
  <si>
    <t>日本（NTTデータ先端技術株式会社）</t>
  </si>
  <si>
    <t>NTTデータ先端技術株式会社</t>
  </si>
  <si>
    <t>NTT DATA Global Delivery Service</t>
  </si>
  <si>
    <t>ＡＩＤ</t>
  </si>
  <si>
    <t>辻川　裕介</t>
  </si>
  <si>
    <t>非該当（別表：９）</t>
  </si>
  <si>
    <t>技輸審-2020-0003</t>
  </si>
  <si>
    <t>［ＰＧ提供］ノウンアプリ（Android版）</t>
  </si>
  <si>
    <t>Google</t>
  </si>
  <si>
    <t>日本のAndroid OS利用者</t>
  </si>
  <si>
    <t>ＡＩＲ</t>
  </si>
  <si>
    <t>遠藤　公誉</t>
  </si>
  <si>
    <t>非該当（別表：９（１）９（２））</t>
  </si>
  <si>
    <t>次回の審査はGoogle/Appleへの申請内容を確認し審査に記録する。可能であれば市販プログラム提供の取引として取り扱う。</t>
  </si>
  <si>
    <t>技輸審-2020-0004</t>
  </si>
  <si>
    <t>［ＰＧ提供］ノウンアプリ（iOS版）</t>
  </si>
  <si>
    <t>Apple</t>
  </si>
  <si>
    <t>日本のiOS利用者</t>
  </si>
  <si>
    <t>技輸審-2020-0005</t>
  </si>
  <si>
    <t>［無償提供］光学接着剤AT3862P 5g</t>
  </si>
  <si>
    <t>ficonTEC Service GmbH</t>
  </si>
  <si>
    <t>技輸審-2020-0006</t>
  </si>
  <si>
    <t>［販売］シール材　OS5962 200g</t>
  </si>
  <si>
    <t>Wasatch photonics</t>
  </si>
  <si>
    <t>技輸審-2020-0007</t>
  </si>
  <si>
    <t>［販売］Nanoimprint Test Mold (nim phh 100)</t>
  </si>
  <si>
    <t>The University of Alabama</t>
  </si>
  <si>
    <t>非該当（別表第１:7(17)、10(11の2)）</t>
  </si>
  <si>
    <t>技輸審-2020-0008</t>
  </si>
  <si>
    <t>［販売］[アライズ]WinActor関連製品</t>
  </si>
  <si>
    <t>代理店向け非市販プログラムあり</t>
  </si>
  <si>
    <t>ホワイト国/非ホワイト国</t>
  </si>
  <si>
    <t>アライズイノベーション株式会社</t>
  </si>
  <si>
    <t>アライズイノベーション、エンドユーザ</t>
  </si>
  <si>
    <t>藤崎　美奈子</t>
  </si>
  <si>
    <t>その他の特例適用（外省令９条２項１４号イ）</t>
  </si>
  <si>
    <t>技輸審-2020-0009</t>
  </si>
  <si>
    <t>［販売］［株式会社IIJエンジニアリング］WinActor関連製品</t>
  </si>
  <si>
    <t>株式会社IIJエンジニアリング</t>
  </si>
  <si>
    <t>IIJエンジニアリング、二次代理店、エンドユーザ</t>
  </si>
  <si>
    <t>技輸審-2020-0010</t>
  </si>
  <si>
    <t>［販売］［IIJ Europe Limited.］WinActor関連製品</t>
  </si>
  <si>
    <t>ホワイト国</t>
  </si>
  <si>
    <t>IIJ Europe Limited.</t>
  </si>
  <si>
    <t>IIJ Europe Limited、二次代理店、エンドユーザ</t>
  </si>
  <si>
    <t>技輸審-2020-0011</t>
  </si>
  <si>
    <t>［販売］［NTT Communications Russia ］WinActor関連製品</t>
  </si>
  <si>
    <t>NTT Communications Russia LLC</t>
  </si>
  <si>
    <t>NTT Communications 、二次代理店、エンドユーザ</t>
  </si>
  <si>
    <t>技輸審-2020-0012</t>
  </si>
  <si>
    <t>［販売］[CFO SOLUTION]WinActor関連製品</t>
  </si>
  <si>
    <t>非ホワイト国</t>
  </si>
  <si>
    <t>CFO SOLUTION CO LIMITED</t>
  </si>
  <si>
    <t>CFO SOLUTION、2次代理店、エンドユーザ</t>
  </si>
  <si>
    <t>感染症流行等による口座準備の遅れのため、親会社である日本法人経由の間接輸出を含むものとする（20200406:経輸出室長）</t>
  </si>
  <si>
    <t>技輸審-2020-0013</t>
  </si>
  <si>
    <t>［販売］[NTTコムウェア]WinActor関連製品</t>
  </si>
  <si>
    <t>ＮＴＴコムウェア株式会社</t>
  </si>
  <si>
    <t>ＮＴＴコムウェア、二次代理店、エンドユーザ</t>
  </si>
  <si>
    <t>吉田　拡正</t>
  </si>
  <si>
    <t>技輸審-2020-0014</t>
  </si>
  <si>
    <t>［ＰＧ提供］@InfoCanalアプリ(iOS版)</t>
  </si>
  <si>
    <t>AppStoreでのアプリ公開</t>
  </si>
  <si>
    <t>ソ防災</t>
  </si>
  <si>
    <t>栗村　紀明</t>
  </si>
  <si>
    <t>非該当（別表：９（１）・９（２））</t>
  </si>
  <si>
    <t>技輸審-2020-0015</t>
  </si>
  <si>
    <t>［ＰＧ提供］ @InfoCanalアプリ(Android版)</t>
  </si>
  <si>
    <t>Playストアでのアプリ公開</t>
  </si>
  <si>
    <t>google</t>
  </si>
  <si>
    <t>技輸審-2020-0016</t>
  </si>
  <si>
    <t>［販売］[NTTDATA]WinActor関連製品</t>
  </si>
  <si>
    <t>NTTDATA</t>
  </si>
  <si>
    <t>NTTDATA、2次代理店、エンドユーザ</t>
  </si>
  <si>
    <t>技輸審-2020-0017</t>
  </si>
  <si>
    <t>［その他］[G米国]WinActor関連製品</t>
  </si>
  <si>
    <t>米州地域への営業</t>
  </si>
  <si>
    <t>NTT-AT G米国</t>
  </si>
  <si>
    <t>G米国、エンドユーザ</t>
  </si>
  <si>
    <t>技輸審-2020-0018</t>
  </si>
  <si>
    <t>［その他］[G星国]WinActor関連製品</t>
  </si>
  <si>
    <t>APAC地域への営業</t>
  </si>
  <si>
    <t>NTT-AT G星国</t>
  </si>
  <si>
    <t>G星国、エンドユーザ</t>
  </si>
  <si>
    <t>プリセールスのほかに代理店拡大のための試用版等提供を行う。その際は提供管理簿に記録する。（2020/05/13経輸出室長）</t>
  </si>
  <si>
    <t>技輸審-2020-0019</t>
  </si>
  <si>
    <t xml:space="preserve">［技術提供］CWA AコースCertified、BコースSales Certified </t>
  </si>
  <si>
    <t>米国、中国、星国</t>
  </si>
  <si>
    <t>NTT-AT米国支店、上海駐在員事務所、シンガポール支店</t>
  </si>
  <si>
    <t>齋藤　実</t>
  </si>
  <si>
    <t>その他の特例適用（貿易外省令第9条2項十三）</t>
  </si>
  <si>
    <t>技輸審-2020-0020</t>
  </si>
  <si>
    <t>［販売］シール材　OS5958 200g</t>
  </si>
  <si>
    <t>Fibersource,Inc.</t>
  </si>
  <si>
    <t>Valley International Supply</t>
  </si>
  <si>
    <t>技輸審-2020-0021</t>
  </si>
  <si>
    <t>［販売］[NTTコムチャイナ]WinActor関連製品</t>
  </si>
  <si>
    <t>代理店限定の非市販プログラムあり</t>
  </si>
  <si>
    <t>NTTコムチャイナ</t>
  </si>
  <si>
    <t>NTTコムチャイナ、エンドユーザ</t>
  </si>
  <si>
    <t>安谷屋　深志</t>
  </si>
  <si>
    <t>技輸審-2020-0022</t>
  </si>
  <si>
    <t>［ＰＧ提供］[G上海]WinActor関連製品</t>
  </si>
  <si>
    <t>NTT-AT上海駐在員事務所(G上海)</t>
  </si>
  <si>
    <t>技輸審-2020-0023</t>
  </si>
  <si>
    <t>［ＰＧ提供］音声点検アプリ</t>
  </si>
  <si>
    <t>Apple (技輸審-2019-0163）</t>
  </si>
  <si>
    <t>ＣＩＴ</t>
  </si>
  <si>
    <t>久保田　典子</t>
  </si>
  <si>
    <t>非該当（別表：9(1)(2)）</t>
  </si>
  <si>
    <t>技輸審-2020-0024</t>
  </si>
  <si>
    <t>［技術提供］WinActor e-learning（CWA）</t>
  </si>
  <si>
    <t>技輸審-2020-0025</t>
  </si>
  <si>
    <t>Dongguan Tianyu Semiconductor Technology</t>
  </si>
  <si>
    <t>技社承-2020-001</t>
  </si>
  <si>
    <t>技輸審-2020-0026</t>
  </si>
  <si>
    <t>［販売］Index Matching Block [SNW-IMB] x 4</t>
  </si>
  <si>
    <t>ポーランド</t>
  </si>
  <si>
    <t>HUBER+SUHNER Sp. z o.o.</t>
  </si>
  <si>
    <t>小柳　竜太</t>
  </si>
  <si>
    <t>技輸審-2020-0027</t>
  </si>
  <si>
    <t>［販売］窒化物エピタキシャルウェハ（4インチ on Si)</t>
  </si>
  <si>
    <t>Lakeshore Cryotronics</t>
  </si>
  <si>
    <t>技社承-2020-002</t>
  </si>
  <si>
    <t>技輸審-2020-0028</t>
  </si>
  <si>
    <t>［販売］光コネクタ研磨機　ATP-3000、ATP-3200の部分品・附属品の販売</t>
  </si>
  <si>
    <t>国内代理店経由</t>
  </si>
  <si>
    <t>アルプシステムズ株式会社</t>
  </si>
  <si>
    <t>OE-TEK Inc.</t>
  </si>
  <si>
    <t>非該当（別表１　9(6)）</t>
  </si>
  <si>
    <t>技輸審-2020-0029</t>
  </si>
  <si>
    <t>［その他］CUTE・SOSC保守に係る技術提供</t>
  </si>
  <si>
    <t>技術提供、プログラム提供</t>
  </si>
  <si>
    <t>株式会社ソフトロード</t>
  </si>
  <si>
    <t>西安絲路軟件有限責任公司（ソフトロード　西安支社）</t>
  </si>
  <si>
    <t>ＮＳＭ</t>
  </si>
  <si>
    <t>市田　由貴子</t>
  </si>
  <si>
    <t>非該当（別表：９（１）・（２））</t>
  </si>
  <si>
    <t>技輸審-2020-0030</t>
  </si>
  <si>
    <t>［その他］貨物(2)、貨物(6)、貨物(7)、技術(1)</t>
  </si>
  <si>
    <t>メーカによる買い取り</t>
  </si>
  <si>
    <t>ALLOT, LTD.</t>
  </si>
  <si>
    <t>宇野　浩司</t>
  </si>
  <si>
    <t>非該当（別１：８・９（１,３,７）・１０（８））</t>
  </si>
  <si>
    <t>非該当（別表：９（１）（２））</t>
  </si>
  <si>
    <t>技輸審-2020-0031</t>
  </si>
  <si>
    <t>［返却］貨物(2)、貨物(6)、貨物(7)、技術(1)</t>
  </si>
  <si>
    <t>ＶＴＳ</t>
  </si>
  <si>
    <t>松戸　隆幸</t>
  </si>
  <si>
    <t>技輸審-2020-0032</t>
  </si>
  <si>
    <t>［無償提供］メタル付きウェハ素子</t>
  </si>
  <si>
    <t>GaN Power Technology Corporation</t>
  </si>
  <si>
    <t>技輸審-2020-0033</t>
  </si>
  <si>
    <t>IIJ Europe Limited</t>
  </si>
  <si>
    <t>技輸審-2020-0034</t>
  </si>
  <si>
    <t>［無償提供］コネクタ付き光ファイバコード</t>
  </si>
  <si>
    <t>Wave2Wave Solution Corp.</t>
  </si>
  <si>
    <t>技輸審-2020-0035</t>
  </si>
  <si>
    <t>［無償提供］ADS-NEXT-127</t>
  </si>
  <si>
    <t>フジクラ</t>
  </si>
  <si>
    <t>技輸審-2020-0036</t>
  </si>
  <si>
    <t>［販売］セラミックマイクロヒータ CMH-7019 2個, CMH-7022 1個</t>
  </si>
  <si>
    <t>AMS Technologies</t>
  </si>
  <si>
    <t>技輸審-2020-0037</t>
  </si>
  <si>
    <t>［販売］光学接着剤HT0031 10g</t>
  </si>
  <si>
    <t>Ciena</t>
  </si>
  <si>
    <t>技輸審-2020-0038</t>
  </si>
  <si>
    <t>［その他］IPカメラ_Dシリーズ製品／Dシリーズ製品特注に係る技術</t>
  </si>
  <si>
    <t>製造・評価、修理・交換、返品、技術提供</t>
  </si>
  <si>
    <t>DYNACOLOR INC.</t>
  </si>
  <si>
    <t>伊藤　健一</t>
  </si>
  <si>
    <t>非該当（別１：７（１１）・８・９（１）（７））</t>
  </si>
  <si>
    <t>非該当（別表：９（２）・１０（１））</t>
  </si>
  <si>
    <t>技輸審-2020-0039</t>
  </si>
  <si>
    <t>［販売］窒化物エピタキシャルウェハ（6inch)</t>
  </si>
  <si>
    <t>一部無償</t>
  </si>
  <si>
    <t>WaveTek Microelectronics Corp.</t>
  </si>
  <si>
    <t>技社承-2020-003</t>
  </si>
  <si>
    <t>技輸審-2020-0040</t>
  </si>
  <si>
    <t>［その他］研修システムの更改の見積・設計・開発および更改後の保守に係る技術提供</t>
  </si>
  <si>
    <t>榛葉　洋光</t>
  </si>
  <si>
    <t>非該当（別表：９（２））</t>
  </si>
  <si>
    <t>技輸審-2020-0041</t>
  </si>
  <si>
    <t>［販売］HIREC 100 6kgセット、施工要領</t>
  </si>
  <si>
    <t>AMS Technologies AG</t>
  </si>
  <si>
    <t>HENSOLDT Sensors GmbH</t>
  </si>
  <si>
    <t>技輸審-2020-0042</t>
  </si>
  <si>
    <t>［貸出］研磨機附属品・部分品及び研磨フィルム</t>
  </si>
  <si>
    <t>研磨フィルムは無償提供</t>
  </si>
  <si>
    <t>タイ王国</t>
  </si>
  <si>
    <t>Fabrinet</t>
  </si>
  <si>
    <t>技輸審-2020-0043</t>
  </si>
  <si>
    <t>［無償提供］ナタデココストロー</t>
  </si>
  <si>
    <t>チリ</t>
  </si>
  <si>
    <t xml:space="preserve"> ICA IMPORTACIONES LTD.</t>
  </si>
  <si>
    <t>蒲原　正純</t>
  </si>
  <si>
    <t>技輸審-2020-0044</t>
  </si>
  <si>
    <t>［販売］窒化物エピタキシャルウェハ</t>
  </si>
  <si>
    <t>ドイツ（MTA Internationale Spedition GmbH）</t>
  </si>
  <si>
    <t>Progress Research &amp; Production Ltd</t>
  </si>
  <si>
    <t xml:space="preserve">National Research University of </t>
  </si>
  <si>
    <t>技社承-2020-004</t>
  </si>
  <si>
    <t>取引期間の延長：2020/08/30まで。厚木の製造装置不具合による製造遅延のため（2020/06/30：経輸出室長）経由地の変更：仕向地ロシアへの直送。製造遅延吸収のため（2020/07/10：経輸出室長）通関業者変更：モスクワでのFedexに通関額の制約があり、DHLに変更（2020/07/14：経輸出室長）</t>
  </si>
  <si>
    <t>技輸審-2020-0045</t>
  </si>
  <si>
    <t>［販売］窒化物エピウェハ (GaN on GaN wafer)</t>
  </si>
  <si>
    <t>Shenzhen ZMJ Semiconductors Co.,</t>
  </si>
  <si>
    <t>個別許可申請</t>
  </si>
  <si>
    <t>技社承-2020-005</t>
  </si>
  <si>
    <t>『ヘテロエピタキシャル』でないものとなるため該非判定の見直しを行った。該非判定の結果が変わり、リスト規制非該当の判定となるため取引を中止とする。あらたな申請に基づいて審査することとした。（2020/05/19）</t>
  </si>
  <si>
    <t>技輸審-2020-0046</t>
  </si>
  <si>
    <t>［販売］シール材　OS5958 400g</t>
  </si>
  <si>
    <t>技輸審-2020-0047</t>
  </si>
  <si>
    <t>［無償提供］HIREC100塗装サンプル（4個）</t>
  </si>
  <si>
    <t>Zhejiang Beiliang Wind Energy Electronic</t>
  </si>
  <si>
    <t>技輸審-2020-0048</t>
  </si>
  <si>
    <t>［販売］Ｇ-ブレス　ガムサイズ</t>
  </si>
  <si>
    <t>タイ</t>
  </si>
  <si>
    <t>岡谷鋼機株式会社</t>
  </si>
  <si>
    <t>AIPHONE COMMUNICATIONS(THAILAND)</t>
  </si>
  <si>
    <t>石原　秀樹</t>
  </si>
  <si>
    <t>前倒し：2020/05/25 に 1000枚＋ 2020/06/03 に 2000枚 とする旨連絡を受けた（2020/05/22：経輸出室長）</t>
  </si>
  <si>
    <t>技輸審-2020-0049</t>
  </si>
  <si>
    <t>［販売］光学接着剤OS5958 400g</t>
  </si>
  <si>
    <t>Molex, LLC.</t>
  </si>
  <si>
    <t>技輸審-2020-0050</t>
  </si>
  <si>
    <t>技輸審-2020-0051</t>
  </si>
  <si>
    <t>［無償提供］チップ(型番無し)3個、ファイバアレイ(HNA-TEC-FA)6個</t>
  </si>
  <si>
    <t>非該当（別表１　7(1)、9(3)項）</t>
  </si>
  <si>
    <t>技輸審-2020-0052</t>
  </si>
  <si>
    <t>［無償提供］WinActorプログラムおよびマニュアル</t>
  </si>
  <si>
    <t>BSNL</t>
  </si>
  <si>
    <t>技輸審-2020-0053</t>
  </si>
  <si>
    <t>［修理交換］IP負荷測定／擬似エミュレーションテスタ用メインフレーム及びコントローラ</t>
  </si>
  <si>
    <t>修理・交換</t>
  </si>
  <si>
    <t>株式会社東陽テクニカ</t>
  </si>
  <si>
    <t>SPIRENT Communications</t>
  </si>
  <si>
    <t>一瀬　昌</t>
  </si>
  <si>
    <t>非該当（別１：９（１・６・７・１１））</t>
  </si>
  <si>
    <t>技輸審-2020-0054</t>
  </si>
  <si>
    <t xml:space="preserve">［販売］接着剤 AT6001 </t>
  </si>
  <si>
    <t>セブンシックス株式会社</t>
  </si>
  <si>
    <t>FI-RA PHOTONICS CO.,LTD</t>
  </si>
  <si>
    <t>技輸審-2020-0055</t>
  </si>
  <si>
    <t>［修理交換］自動消光比測定器（PCA-2000C）／アプリケーションプログラム</t>
  </si>
  <si>
    <t>Furukawa FITEL (Thailand) Co., Ltd.</t>
  </si>
  <si>
    <t>非該当（別１：９（６）・１０（２））</t>
  </si>
  <si>
    <t>技輸審-2020-0056</t>
  </si>
  <si>
    <t>［販売］Mo mirror chip</t>
  </si>
  <si>
    <t>KLA Corporation</t>
  </si>
  <si>
    <t>非該当（判定項番は備考欄）</t>
  </si>
  <si>
    <t>技輸審-2020-0057</t>
  </si>
  <si>
    <t>技輸審-2020-0058</t>
  </si>
  <si>
    <t>［販売］光学接着剤UV2100 100g</t>
  </si>
  <si>
    <t>イタリア</t>
  </si>
  <si>
    <t>Advanced Fiber Resources Milan</t>
  </si>
  <si>
    <t>技輸審-2020-0059</t>
  </si>
  <si>
    <t>［販売］HIREC100 11kg セット /施工要領</t>
  </si>
  <si>
    <t>NTT Communication China</t>
  </si>
  <si>
    <t>BEIJING INSTITUTE OF RADIO MEASU</t>
  </si>
  <si>
    <t>技社承-2020-006</t>
  </si>
  <si>
    <t>技輸審-2020-0060</t>
  </si>
  <si>
    <t>NTT-AT（上海駐在員事務所）</t>
  </si>
  <si>
    <t>技輸審-2020-0061</t>
  </si>
  <si>
    <t>［貸出］コンパクト光スイッチユニットCSWシリーズ</t>
  </si>
  <si>
    <t>香港</t>
  </si>
  <si>
    <t>HGC Global Communications Limited</t>
  </si>
  <si>
    <t>技輸審-2020-0062</t>
  </si>
  <si>
    <t>［貸出］MT/APCコネクタサンプル</t>
  </si>
  <si>
    <t>Dimension Technology Co.,Ltd</t>
  </si>
  <si>
    <t>技輸審-2020-0063</t>
  </si>
  <si>
    <t>［販売］光学接着剤AT3916P　10g、GA700L　10g</t>
  </si>
  <si>
    <t>マレーシア</t>
  </si>
  <si>
    <t>FiberSource</t>
  </si>
  <si>
    <t>Jabil Circuit Sdn Bhd</t>
  </si>
  <si>
    <t>技輸審-2020-0064</t>
  </si>
  <si>
    <t>［販売］HIREC450x2kg/施工要領書</t>
  </si>
  <si>
    <t>Comec Technologies (S) Pte Ltd</t>
  </si>
  <si>
    <t>Intricon Pte Ltd.</t>
  </si>
  <si>
    <t>技輸審-2020-0065</t>
  </si>
  <si>
    <t>［技術提供］インターンシップ　（オンライン実施）に関わる技術</t>
  </si>
  <si>
    <t>インターンシップ研修</t>
  </si>
  <si>
    <t>なし</t>
  </si>
  <si>
    <t>インド工科大学　ハイデラバード校</t>
  </si>
  <si>
    <t>研修生一覧添付</t>
  </si>
  <si>
    <t>人事部</t>
  </si>
  <si>
    <t>本川　史生</t>
  </si>
  <si>
    <t>非該当（別表：９の項）</t>
  </si>
  <si>
    <t>技輸審-2020-0066</t>
  </si>
  <si>
    <t>［販売］窒化物エピタキシャルウエハ</t>
  </si>
  <si>
    <t>技社承-2020-007</t>
  </si>
  <si>
    <t>技輸審-2020-0067</t>
  </si>
  <si>
    <t>非該当（別１：７（１８・２２・２３・２４））</t>
  </si>
  <si>
    <t>技社承-2020-008</t>
  </si>
  <si>
    <t>技輸審-2020-0068</t>
  </si>
  <si>
    <t>［販売］ポリイミド波長板</t>
  </si>
  <si>
    <t>Fraunhofer-Institut f?r Nachrichtentechn</t>
  </si>
  <si>
    <t>非該当（別表１の5(1)(3)(17)）</t>
  </si>
  <si>
    <t>技輸審-2020-0069</t>
  </si>
  <si>
    <t>［販売］Index Mactching Block</t>
  </si>
  <si>
    <t>SFO Technologies Pvt. Ltd.</t>
  </si>
  <si>
    <t>技輸審-2020-0070</t>
  </si>
  <si>
    <t>［修理交換］貨物(6)</t>
  </si>
  <si>
    <t>ALLOT, LTD.?</t>
  </si>
  <si>
    <t>非該当（別１：８・９（３）・１０（８））</t>
  </si>
  <si>
    <t>技輸審-2020-0071</t>
  </si>
  <si>
    <t>［無償提供］WinActorプログラムおよびマニュアル等</t>
  </si>
  <si>
    <t>ICA IMPORTACIONES LTD.</t>
  </si>
  <si>
    <t>技輸審-2020-0072</t>
  </si>
  <si>
    <t>［販売］SCP241の部分品・附属品</t>
  </si>
  <si>
    <t>Masstron Pte.,Ltd.</t>
  </si>
  <si>
    <t>非該当（別表1の9(6)）</t>
  </si>
  <si>
    <t>技輸審-2020-0073</t>
  </si>
  <si>
    <t>［販売］窒化物エピタキシャルウェハ（2inch GaN on GaN)</t>
  </si>
  <si>
    <t>Batelle Memorial Institute, Pacific Nort</t>
  </si>
  <si>
    <t>非該当（別１：７）</t>
  </si>
  <si>
    <t>技輸審-2020-0074</t>
  </si>
  <si>
    <t>技輸審-2020-0075</t>
  </si>
  <si>
    <t>技輸審-2020-0076</t>
  </si>
  <si>
    <t>［無償提供］窒化物エピタキシャルウェハ（6インチ）</t>
  </si>
  <si>
    <t>出荷業務のスケジュールに（2020/6/12が創立記念日により出荷できない）より2020/6/11を取引期間の開始日とする。</t>
  </si>
  <si>
    <t>技輸審-2020-0077</t>
  </si>
  <si>
    <t>［販売］光学接着剤　GA700H　15g</t>
  </si>
  <si>
    <t>SubCom,LLC</t>
  </si>
  <si>
    <t>技輸審-2020-0078</t>
  </si>
  <si>
    <t>Southern University of Science a</t>
  </si>
  <si>
    <t>非該当（別１：７の項）</t>
  </si>
  <si>
    <t>技輸審-2020-0079</t>
  </si>
  <si>
    <t>［無償提供］HIREC100塗装サンプル（5個）</t>
  </si>
  <si>
    <t>技輸審-2020-0080</t>
  </si>
  <si>
    <t>［販売］窒化物エピタキシャルウェハ（6インチ）</t>
  </si>
  <si>
    <t>JET Propulsion Laboratory (JPL NASA)</t>
  </si>
  <si>
    <t>技社承-2020-009</t>
  </si>
  <si>
    <t>技輸審-2020-0081</t>
  </si>
  <si>
    <t>［技術提供］3core fiberの技術仕様</t>
  </si>
  <si>
    <t>YOFC</t>
  </si>
  <si>
    <t>ＧＩＯ</t>
  </si>
  <si>
    <t>河崎　康成</t>
  </si>
  <si>
    <t>該当（別表：１０（１））</t>
  </si>
  <si>
    <t>技社承-2020-010</t>
  </si>
  <si>
    <t>技輸審-2020-0082</t>
  </si>
  <si>
    <t>［技術提供］MatchContactSolution（MatchWeb）</t>
  </si>
  <si>
    <t>ディー・エイチ・エル・ジャパン株式会社</t>
  </si>
  <si>
    <t>備考欄に記載</t>
  </si>
  <si>
    <t>ＶＣＥ</t>
  </si>
  <si>
    <t>佐藤　弘基</t>
  </si>
  <si>
    <t>技輸審-2020-0083</t>
  </si>
  <si>
    <t>［販売］シール材　OS5958 1000g</t>
  </si>
  <si>
    <t>Masstron Pte Ltd.</t>
  </si>
  <si>
    <t>技輸審-2020-0084</t>
  </si>
  <si>
    <t>［販売］シール材OS5958 400g</t>
  </si>
  <si>
    <t>技輸審-2020-0085</t>
  </si>
  <si>
    <t>［無償提供］Si mirror chip</t>
  </si>
  <si>
    <t>サンプル</t>
  </si>
  <si>
    <t>技輸審-2020-0086</t>
  </si>
  <si>
    <t>［販売］Nb2O5 Mirror</t>
  </si>
  <si>
    <t xml:space="preserve">National Tsing Hua University </t>
  </si>
  <si>
    <t>非該当（別表1の10(5)(6)(7)(14)）</t>
  </si>
  <si>
    <t>技輸審-2020-0087</t>
  </si>
  <si>
    <t>［販売］manual mount</t>
  </si>
  <si>
    <t xml:space="preserve">Physical Research Laboratories </t>
  </si>
  <si>
    <t>畑山　雅俊</t>
  </si>
  <si>
    <t>新型コロナウィルスの感染拡大のために受け入れができないとお客様から連絡を受けたため、9/30までの取引とする（2020/06/25：経輸出室長）。</t>
  </si>
  <si>
    <t>技輸審-2020-0088</t>
  </si>
  <si>
    <t>処理中</t>
  </si>
  <si>
    <t>非該当（別表１の9(3)）</t>
  </si>
  <si>
    <t>技輸審-2020-0089</t>
  </si>
  <si>
    <t>［無償提供］G-ブレス（ハガキx1,名刺x1）、ナタデココストローx20</t>
  </si>
  <si>
    <t>Hideki Asano</t>
  </si>
  <si>
    <t>技輸審-2020-0090</t>
  </si>
  <si>
    <t>技輸審-2020-0091</t>
  </si>
  <si>
    <t>［その他］FlowInspector機能概要説明書</t>
  </si>
  <si>
    <t>技術提供 インターンシップ研修</t>
  </si>
  <si>
    <t>インド工科大学 ハイデラバード校</t>
  </si>
  <si>
    <t>研修生　Tanmay Renugunta</t>
  </si>
  <si>
    <t>ＮＩネ</t>
  </si>
  <si>
    <t>瀬社家　光</t>
  </si>
  <si>
    <t>技輸審-2020-0092</t>
  </si>
  <si>
    <t>［販売］光コネクタクリーナ</t>
  </si>
  <si>
    <t>オランダ</t>
  </si>
  <si>
    <t>Maunt. B.V.</t>
  </si>
  <si>
    <t>技輸審-2020-0093</t>
  </si>
  <si>
    <t>［修理交換］KTN光スキャナー(1D)</t>
  </si>
  <si>
    <t>国立台湾大学</t>
  </si>
  <si>
    <t>非該当（別１：１０（５）（６）（７）（７の２））</t>
  </si>
  <si>
    <t>技輸審-2020-0094</t>
  </si>
  <si>
    <t>［販売］窒化物エピタキシャルウェハ（4インチon SiC)</t>
  </si>
  <si>
    <t>Nanyang Technological University</t>
  </si>
  <si>
    <t>技社承-2020-011</t>
  </si>
  <si>
    <t>通関業者の変更（Fedex→日立物流バンテック）：引き渡し条件（建値）がDDPである契約であることから通関とフォワーダの組み合わせの融通を当社が活用したいため。（2020/06/22：経輸出受付）</t>
  </si>
  <si>
    <t>技輸審-2020-0095</t>
  </si>
  <si>
    <t>保存</t>
  </si>
  <si>
    <t>［無償提供］ナノインプリント樹脂　#18210、#18247</t>
  </si>
  <si>
    <t>中華人民共和国</t>
  </si>
  <si>
    <t>AT　＝＞　SHUN HOI LOGISTICS（香港）　＝＞　OPPO（中国）</t>
  </si>
  <si>
    <t>OPPO Mobile Telecommunications Corp., Lt</t>
  </si>
  <si>
    <t>本間　和晴</t>
  </si>
  <si>
    <t>技輸審-2020-0096</t>
  </si>
  <si>
    <t>Avo Photonics, Inc.</t>
  </si>
  <si>
    <t>技輸審-2020-0097</t>
  </si>
  <si>
    <t>非該当（別１：７（２２））</t>
  </si>
  <si>
    <t>非該当（別表：７（５））</t>
  </si>
  <si>
    <t>技社承-2020-012</t>
  </si>
  <si>
    <t>技輸審-2020-0098</t>
  </si>
  <si>
    <t xml:space="preserve">［販売］接着剤 AT3727E </t>
  </si>
  <si>
    <t>技輸審-2020-0099</t>
  </si>
  <si>
    <t>［無償提供］光コネクタクリーナ/取扱説明書</t>
  </si>
  <si>
    <t>技輸審-2020-0100</t>
  </si>
  <si>
    <t>［無償提供］光学接着剤#18256 200g</t>
  </si>
  <si>
    <t>フランス</t>
  </si>
  <si>
    <t>Mathym SAS</t>
  </si>
  <si>
    <t>技輸審-2020-0101</t>
  </si>
  <si>
    <t>南方科技大学</t>
  </si>
  <si>
    <t>技輸審-2020-0102</t>
  </si>
  <si>
    <t>［販売］HIREC 100 14kgセット、施工要領</t>
  </si>
  <si>
    <t>技輸審-2020-0103</t>
  </si>
  <si>
    <t>［製造評価］EUVミラー/反射率測定指示書</t>
  </si>
  <si>
    <t>NTT-AT（GBE)</t>
  </si>
  <si>
    <t>非該当（別１：７（１７の２）・１０（５）等）</t>
  </si>
  <si>
    <t>技輸審-2020-0104</t>
  </si>
  <si>
    <t>［販売］SiNメンブレンチップ</t>
  </si>
  <si>
    <t>Paul Scherrer Institut</t>
  </si>
  <si>
    <t>技輸審-2020-0105</t>
  </si>
  <si>
    <t>［販売］SiCメンブレン</t>
  </si>
  <si>
    <t>USD760　（第4号/2020.06.02）</t>
  </si>
  <si>
    <t xml:space="preserve">Korea Advanced Institute of Science and </t>
  </si>
  <si>
    <t>非該当（別表１の7(18)(22)(23)）</t>
  </si>
  <si>
    <t>技輸審-2020-0106</t>
  </si>
  <si>
    <t>技輸審-2020-0107</t>
  </si>
  <si>
    <t>技輸審-2020-0108</t>
  </si>
  <si>
    <t>［販売］GaN/InAlN　layers on 6 inch Si substrate</t>
  </si>
  <si>
    <t>技社承-2020-013</t>
  </si>
  <si>
    <t>技輸審-2020-0109</t>
  </si>
  <si>
    <t>［販売］窒化物エピウェハ（6インチ on Si)</t>
  </si>
  <si>
    <t>University of Cambridge</t>
  </si>
  <si>
    <t>University of Sheffield</t>
  </si>
  <si>
    <t>技社承-2020-014</t>
  </si>
  <si>
    <t>技輸審-2020-0110</t>
  </si>
  <si>
    <t>［無償提供］G-ブレス（L, M, はがき、名刺サイズ）</t>
  </si>
  <si>
    <t>Masstron Pte. Ltd</t>
  </si>
  <si>
    <t>技輸審-2020-0111</t>
  </si>
  <si>
    <t>［販売］GaN wafer on Si with In-situ SiN cap</t>
  </si>
  <si>
    <t>RFHIC Corporation</t>
  </si>
  <si>
    <t>製造装置故障の確認遅れ（2020/8/5連絡受領）により取引期間を延長。2020/10/30までとする。（2020/8/6：経輸出室長）</t>
  </si>
  <si>
    <t>技輸審-2020-0112</t>
  </si>
  <si>
    <t>［販売］Ru Beam separator</t>
  </si>
  <si>
    <t>University of Colorado</t>
  </si>
  <si>
    <t>技輸審-2020-0113</t>
  </si>
  <si>
    <t>［無償提供］OR-5200(WinActor)のプログラム及びマニュアル</t>
  </si>
  <si>
    <t>商品評価用途</t>
  </si>
  <si>
    <t>エジプト</t>
  </si>
  <si>
    <t>Axcell Financial Advisory</t>
  </si>
  <si>
    <t>非該当（外為令別表：9項、16項）</t>
  </si>
  <si>
    <t>技輸審-2020-0114</t>
  </si>
  <si>
    <t>［販売］特許調査報告書（検索式で抽出する公開特許一覧リスト）</t>
  </si>
  <si>
    <t>日本国内</t>
  </si>
  <si>
    <t>ファーウェイ技術日本株式会社</t>
  </si>
  <si>
    <t>ファーウェイ本社法人（中国）</t>
  </si>
  <si>
    <t>ＩＰＲ</t>
  </si>
  <si>
    <t>打橋　知孝</t>
  </si>
  <si>
    <t>技社承-2020-015</t>
  </si>
  <si>
    <t>技輸審-2020-0115</t>
  </si>
  <si>
    <t>［無償提供］紫外線発光プラスティック</t>
  </si>
  <si>
    <t>非該当（別１：１４（８））</t>
  </si>
  <si>
    <t>技輸審-2020-0116</t>
  </si>
  <si>
    <t>技輸審-2020-0117</t>
  </si>
  <si>
    <t>［貸出］光コネクタクリーナ一体型スコープVIEWTOP及びその技術</t>
  </si>
  <si>
    <t>Senko Advanced Components,Inc.（Brian 宅）</t>
  </si>
  <si>
    <t>非該当（9項(6)）</t>
  </si>
  <si>
    <t>非該当（9項(2)）</t>
  </si>
  <si>
    <t>技輸審-2020-0118</t>
  </si>
  <si>
    <t>［ＰＧ提供］SMBC日興証券向けFFRI yaraiライセンスファイル年間保守</t>
  </si>
  <si>
    <t>技術提供、電話、メールによる技術サポート</t>
  </si>
  <si>
    <t>香港、シンガポール</t>
  </si>
  <si>
    <t>NTT Com Asia Ltd.</t>
  </si>
  <si>
    <t>SMBC日興証券</t>
  </si>
  <si>
    <t>與口　和浩</t>
  </si>
  <si>
    <t>非該当（別表：８・９（１））</t>
  </si>
  <si>
    <t>技輸審-2020-0119</t>
  </si>
  <si>
    <t>［無償提供］インテリジェント光スイッチNSW</t>
  </si>
  <si>
    <t>製品評価用途</t>
  </si>
  <si>
    <t>Zetawave Pte Ltd</t>
  </si>
  <si>
    <t>非該当（外為令別 9(1)(2)）</t>
  </si>
  <si>
    <t>技輸審-2020-0120</t>
  </si>
  <si>
    <t>［無償提供］光コネクタクリーナ試作品及びその技術</t>
  </si>
  <si>
    <t>Senko Advanced Components Inc.</t>
  </si>
  <si>
    <t>技輸審-2020-0121</t>
  </si>
  <si>
    <t xml:space="preserve">［販売］光学接着剤　AT3925M, GA700H 各5g </t>
  </si>
  <si>
    <t>Blue Chip Electronics</t>
  </si>
  <si>
    <t>技輸審-2020-0122</t>
  </si>
  <si>
    <t>AFL Telecommunications</t>
  </si>
  <si>
    <t>技輸審-2020-0123</t>
  </si>
  <si>
    <t>［無償提供］G-ブレスデモ用プラスチックタッパー（6個）</t>
  </si>
  <si>
    <t>技輸審-2020-0124</t>
  </si>
  <si>
    <t>［無償提供］G-ブレス（はがきサイズ 3枚）</t>
  </si>
  <si>
    <t>NTT-AT 米国支店</t>
  </si>
  <si>
    <t>ピカロ</t>
  </si>
  <si>
    <t>技輸審-2020-0125</t>
  </si>
  <si>
    <t>［販売］Nanoimprint Custom Mold</t>
  </si>
  <si>
    <t>非該当（別１：７（１７）・１０（１１の２））</t>
  </si>
  <si>
    <t>技輸審-2020-0126</t>
  </si>
  <si>
    <t>［修理交換］UVC殺菌ボックスの返送</t>
  </si>
  <si>
    <t>GaN Power Technology Co. Ltd.</t>
  </si>
  <si>
    <t>非該当（別１：２（３６）３の２（２）５の２）</t>
  </si>
  <si>
    <t>対象貨物を数量８から数量９に変更（追加）との連絡受領（2020/07/22：経輸出室長）</t>
  </si>
  <si>
    <t>・実施結果報告の修正連絡（差異無し→事前連絡のとおり差異あり＜8台→9台＞）</t>
  </si>
  <si>
    <t>技輸審-2020-0127</t>
  </si>
  <si>
    <t>［無償提供］HIREC100塗布済調色サンプル（４枚）</t>
  </si>
  <si>
    <t>ACON Optics Communications</t>
  </si>
  <si>
    <t>Hunan Eastonewashon Technology C</t>
  </si>
  <si>
    <t>技輸審-2020-0128</t>
  </si>
  <si>
    <t>［修理交換］光コネクタ端面検査機SmartCheckとその技術</t>
  </si>
  <si>
    <t>代替機の送付</t>
  </si>
  <si>
    <t>メキシコ</t>
  </si>
  <si>
    <t>SEIオプティフロンティア株式会社</t>
  </si>
  <si>
    <t>SANTOMI, S.A. DE C.V.</t>
  </si>
  <si>
    <t>非該当（別表　9(2)）</t>
  </si>
  <si>
    <t>技輸審-2020-0129</t>
  </si>
  <si>
    <t>［展示デモ］光コネクタクリーナ一体型スコープVIEWTOP及びその技術</t>
  </si>
  <si>
    <t>展示・デモ</t>
  </si>
  <si>
    <t>オーストラリア</t>
  </si>
  <si>
    <t>AusOptic International PtyLtd.</t>
  </si>
  <si>
    <t>技輸審-2020-0130</t>
  </si>
  <si>
    <t>非該当（別１：７（１６・１７の２・１８等）・１０）</t>
  </si>
  <si>
    <t>技輸審-2020-0131</t>
  </si>
  <si>
    <t>［販売］光コネクタ研磨機ATP-3000（販売済）の付属品（別紙注文書に記載）</t>
  </si>
  <si>
    <t>TECHNOMASHI-VOS</t>
  </si>
  <si>
    <t>非該当（輸出令別表第１：9(6)）</t>
  </si>
  <si>
    <t>技輸審-2020-0132</t>
  </si>
  <si>
    <t>非該当（別１：７（１６・１７の２・１８）・１０）</t>
  </si>
  <si>
    <t>技輸審-2020-0133</t>
  </si>
  <si>
    <t>［販売］窒化物エピタキシャルウェハ(6inc InAlN HEMT)</t>
  </si>
  <si>
    <t>Suzhou Nanowin Science and Techn</t>
  </si>
  <si>
    <t>技輸審-2020-0134</t>
  </si>
  <si>
    <t>［販売］AT3862P 10g、AT3925M 10g</t>
  </si>
  <si>
    <t>ブラジル</t>
  </si>
  <si>
    <t>FiberSource, Inc.</t>
  </si>
  <si>
    <t>BrPhotonics</t>
  </si>
  <si>
    <t>技輸審-2020-0135</t>
  </si>
  <si>
    <t>［販売］シール材　OS5958　200</t>
  </si>
  <si>
    <t>技輸審-2020-0136</t>
  </si>
  <si>
    <t>GoTech IR4 (Asia) Sdn Bhd</t>
  </si>
  <si>
    <t>技輸審-2020-0137</t>
  </si>
  <si>
    <t>［販売］光コネクタ端面検査機SmartCheck及びその部分品・附属、その技術</t>
  </si>
  <si>
    <t>住友商事マシネックス株式会社</t>
  </si>
  <si>
    <t>SEI OPTIFRONTIER VIETNAM , LTD</t>
  </si>
  <si>
    <t>非該当（輸出令別表１　9(6)）</t>
  </si>
  <si>
    <t>非該当（外為令別表　9(2)）</t>
  </si>
  <si>
    <t>出荷品が受入不合格となったため、8/14までの取引とする。なお、担当者より、メーカと代替機の送付についてやり取りをしていたため連絡が遅れたとの報告受領済み（2020/08/3：経輸出室長）</t>
  </si>
  <si>
    <t>技輸審-2020-0138</t>
  </si>
  <si>
    <t>［販売］WinActorプログラムおよびマニュアル等</t>
  </si>
  <si>
    <t>ワークスアイディ株式会社</t>
  </si>
  <si>
    <t>JCL Credit Leasing Sdn Bhd</t>
  </si>
  <si>
    <t>木下　はづき</t>
  </si>
  <si>
    <t>技輸審-2020-0139</t>
  </si>
  <si>
    <t>［販売］HIREC100 1kg セット　/施工要領書</t>
  </si>
  <si>
    <t>ACON OPTICS</t>
  </si>
  <si>
    <t>Hunan Eastonewashon Technology</t>
  </si>
  <si>
    <t>技輸審-2020-0140</t>
  </si>
  <si>
    <t>［無償提供］HIREC製品一式</t>
  </si>
  <si>
    <t>ACON OPTICS COMMUNICATIONS INC.</t>
  </si>
  <si>
    <t>技輸審-2020-0141</t>
  </si>
  <si>
    <t>［販売］シール材　OS5958 5200g</t>
  </si>
  <si>
    <t>技輸審-2020-0142</t>
  </si>
  <si>
    <t>技輸審-2020-0143</t>
  </si>
  <si>
    <t>［販売］HIREC450 7kgセット /施工要領書</t>
  </si>
  <si>
    <t>ノルウェー</t>
  </si>
  <si>
    <t>NanoTech Solutions</t>
  </si>
  <si>
    <t>Kongsberg Satellite Services AS</t>
  </si>
  <si>
    <t>技輸審-2020-0144</t>
  </si>
  <si>
    <t>［無償提供］窒化物エピウェハ(6inch AlGaN/GaN HEMT on Si)</t>
  </si>
  <si>
    <t>技社承-2020-016</t>
  </si>
  <si>
    <t>技輸審-2020-0145</t>
  </si>
  <si>
    <t>［販売］セラミックマイクロヒータ CMH-7019</t>
  </si>
  <si>
    <t>非該当（別表１の5(13)(14)(15)）</t>
  </si>
  <si>
    <t>技輸審-2020-0146</t>
  </si>
  <si>
    <t>［その他］2inch GaN wafer on Sapphire,6 inch GaN</t>
  </si>
  <si>
    <t>Si基板は無償提供、Sapphire基板は販売</t>
  </si>
  <si>
    <t>University of California Riverside</t>
  </si>
  <si>
    <t>http://atsvdocsys.at-ad.ntt-at.co.jp/ArcSuite/docspace/sdk/open.do?id=atsvdocsys%3ACAB010%3A159892947252615</t>
  </si>
  <si>
    <t>技輸審-2020-0147</t>
  </si>
  <si>
    <t xml:space="preserve">Griffith University </t>
  </si>
  <si>
    <t>差し替え誓約書を別途担当者より受け取り、文書管理システムの下記に保管した。　 「経企部 経輸出 経輸出 1台帳管理簿様式 2020年度 取引実施結果報告添付忘れ格納先 技輸審-2020-0147」</t>
  </si>
  <si>
    <t>技輸審-2020-0148</t>
  </si>
  <si>
    <t>［無償提供］HIREC100塗布済サンプル（３枚）</t>
  </si>
  <si>
    <t>NorthWind Architects, LLC</t>
  </si>
  <si>
    <t>技輸審-2020-0149</t>
  </si>
  <si>
    <t>［ＰＧ提供］Android版 WinActor Cast on Call モバイルアプリ</t>
  </si>
  <si>
    <t>プログラム、マニュアル提供</t>
  </si>
  <si>
    <t>Google Inc.</t>
  </si>
  <si>
    <t>増山　篤志</t>
  </si>
  <si>
    <t>非該当（別表：９（１））</t>
  </si>
  <si>
    <t>技輸審-2020-0150</t>
  </si>
  <si>
    <t>［ＰＧ提供］iOS版 WinActor Cast on Call モバイルアプリ</t>
  </si>
  <si>
    <t>Apple Inc.</t>
  </si>
  <si>
    <t>技輸審-2020-0151</t>
  </si>
  <si>
    <t>技輸審-2020-0152</t>
  </si>
  <si>
    <t>技輸審-2020-0153</t>
  </si>
  <si>
    <t>［無償提供］UVC LEDモジュールx1、紫外線発光プラスチックx1</t>
  </si>
  <si>
    <t>Hideki Asano （現地エージェント）</t>
  </si>
  <si>
    <t>NTT Belgium</t>
  </si>
  <si>
    <t>非該当（別１：３の２・１０（８）・１４（８））</t>
  </si>
  <si>
    <t>技輸審-2020-0154</t>
  </si>
  <si>
    <t>［販売］窒化物エピタキシャルウェハ(InAlN/GaN HEMT on Si)</t>
  </si>
  <si>
    <t>技輸審-2020-0155</t>
  </si>
  <si>
    <t>［販売］光学接着剤GA700H 5g</t>
  </si>
  <si>
    <t>Ranovus, Inc.</t>
  </si>
  <si>
    <t>技輸審-2020-0156</t>
  </si>
  <si>
    <t>［販売］G-ブレス　L、M、はがき、名刺</t>
  </si>
  <si>
    <t>藤倉商事株式会社</t>
  </si>
  <si>
    <t>上海電力股?有限公司</t>
  </si>
  <si>
    <t>技輸審-2020-0157</t>
  </si>
  <si>
    <t>［販売］Mold (NIM-PHL45,NIM-PHL350)</t>
  </si>
  <si>
    <t>Nanonex</t>
  </si>
  <si>
    <t>非該当（7(17)、10(11の2)）</t>
  </si>
  <si>
    <t>商材主管ＢＵの修正：（誤）GB営（正）GBア（2020/08/27 経輸出室長承認）</t>
  </si>
  <si>
    <t>技輸審-2020-0158</t>
  </si>
  <si>
    <t>［販売］窒化物エピタキシャルウェハ(6inch on Si)</t>
  </si>
  <si>
    <t>技社承-2020-017</t>
  </si>
  <si>
    <t>技輸審-2020-0159</t>
  </si>
  <si>
    <t>［販売］EUV ML mirror</t>
  </si>
  <si>
    <t>Energetiq Technology, Inc</t>
  </si>
  <si>
    <t>非該当（別１：７（１７）・１０（５）（６）（７））</t>
  </si>
  <si>
    <t>技輸審-2020-0160</t>
  </si>
  <si>
    <t>［ＰＧ提供］指定された判断にしたがって電文を複製して配布する</t>
  </si>
  <si>
    <t>当社（@InfoCanal事業）</t>
  </si>
  <si>
    <t>Ｖまち</t>
  </si>
  <si>
    <t>役務通達</t>
  </si>
  <si>
    <t>備考の『取引とは…をいう。』は、役務通達（『外国為替及び外国貿易法第２５条第１項及び外国為替令第１７条第２項の規定に基づき許可を要する技術を提供 する取引又は行為について』）の１（３）”用語の解釈”から引用したもの</t>
  </si>
  <si>
    <t>技輸審-2020-0161</t>
  </si>
  <si>
    <t>［無償提供］フェイスシールドx1セット</t>
  </si>
  <si>
    <t>技輸審-2020-0162</t>
  </si>
  <si>
    <t>Hideki Asano（現地エージェント</t>
  </si>
  <si>
    <t>技輸審-2020-0163</t>
  </si>
  <si>
    <t>［販売］EUV Mirror</t>
  </si>
  <si>
    <t>KM Labs</t>
  </si>
  <si>
    <t>非該当（別１：７（１６・１８から２３）・１０項）</t>
  </si>
  <si>
    <t>技輸審-2020-0164</t>
  </si>
  <si>
    <t>［販売］可変焦点レンズ</t>
  </si>
  <si>
    <t>Memorial Sloan Kettering Cancer Center</t>
  </si>
  <si>
    <t>非該当（別１：１０（５・６・７））</t>
  </si>
  <si>
    <t>技輸審-2020-0165</t>
  </si>
  <si>
    <t>［販売］セラミックマイクロヒータ CMH-7019 1個</t>
  </si>
  <si>
    <t>スペイン</t>
  </si>
  <si>
    <t>Keynet Sistemas Profesionales, S.L.</t>
  </si>
  <si>
    <t>非該当（別表１　5(13)(14)(15)）</t>
  </si>
  <si>
    <t>2020/08/26 別申請でＢ型熱電対も審査《技輸審-2020-0168》1000140154</t>
  </si>
  <si>
    <t>技輸審-2020-0166</t>
  </si>
  <si>
    <t>技社承-2020-018</t>
  </si>
  <si>
    <t>技輸審-2020-0167</t>
  </si>
  <si>
    <t>インターンシップ</t>
  </si>
  <si>
    <t>ミャンマー</t>
  </si>
  <si>
    <t>ミャンマー国内の大学2校（UIT、UTYCC）</t>
  </si>
  <si>
    <t>村山　弓佳</t>
  </si>
  <si>
    <t>非該当（別表：9、10(2)項）</t>
  </si>
  <si>
    <t>その他の特例適用（備考欄参照）</t>
  </si>
  <si>
    <t>インターンの結果をまとめた学生のレポートを人事部から大学に提出する予定である（9/30　経輸出室長了承済み）</t>
  </si>
  <si>
    <t>技輸審-2020-0168</t>
  </si>
  <si>
    <t>［販売］Ｂ型熱電対 1個</t>
  </si>
  <si>
    <t>技輸審-2020-0169</t>
  </si>
  <si>
    <t>［無償提供］HIREC100、HIREC450塗装サンプル（13個）</t>
  </si>
  <si>
    <t>Australian Bureau of Meteorology</t>
  </si>
  <si>
    <t>技輸審-2020-0170</t>
  </si>
  <si>
    <t>［その他］WinActor Cast on Call</t>
  </si>
  <si>
    <t>契約者向けクラウドサービス</t>
  </si>
  <si>
    <t>顧客審査票の通り</t>
  </si>
  <si>
    <t>市販特例</t>
  </si>
  <si>
    <t>技輸審-2020-0171</t>
  </si>
  <si>
    <t>［販売］波長掃引光源ソフトウエア</t>
  </si>
  <si>
    <t>Glannaventa, Inc.</t>
  </si>
  <si>
    <t>技輸審-2020-0172</t>
  </si>
  <si>
    <t>［無償提供］備考参照</t>
  </si>
  <si>
    <t>非該当（別表１の7(1),9(3),16）</t>
  </si>
  <si>
    <t>技輸審-2020-0173</t>
  </si>
  <si>
    <t>［その他］窒化物エピタキシャルウェハ(6inch, 8inch)</t>
  </si>
  <si>
    <t>返却及び貸出</t>
  </si>
  <si>
    <t xml:space="preserve">GaN Power Technology Corporation </t>
  </si>
  <si>
    <t>該当（別表：７（１））</t>
  </si>
  <si>
    <t>技社承-2020-019</t>
  </si>
  <si>
    <t>技輸審-2020-0174</t>
  </si>
  <si>
    <t>［無償提供］XUV分割ミラー</t>
  </si>
  <si>
    <t>National Tsing Hua University</t>
  </si>
  <si>
    <t>非該当（10項(5)(6)(7)(14)）</t>
  </si>
  <si>
    <t>技輸審-2020-0175</t>
  </si>
  <si>
    <t>技社承-2020-020</t>
  </si>
  <si>
    <t>技輸審-2020-0176</t>
  </si>
  <si>
    <t>Tsinghua Universit</t>
  </si>
  <si>
    <t>非該当（別１：５（１３・１４・１５））</t>
  </si>
  <si>
    <t>技社承-2020-021</t>
  </si>
  <si>
    <t>技輸審-2020-0177</t>
  </si>
  <si>
    <t>非該当（別表　9、16項）</t>
  </si>
  <si>
    <t>技輸審-2020-0178</t>
  </si>
  <si>
    <t>［無償提供］フェルール(C-01-2642-00 REV.06)</t>
  </si>
  <si>
    <t>技輸審-2020-0179</t>
  </si>
  <si>
    <t>技社承-2020-022</t>
  </si>
  <si>
    <t>技輸審-2020-0180</t>
  </si>
  <si>
    <t>［販売］光変調アナライザ/光変調アナライザ用アプリケーション・ソフトウェア</t>
  </si>
  <si>
    <t>キーサイト・テクノロジー株式会社</t>
  </si>
  <si>
    <t>備考参照</t>
  </si>
  <si>
    <t>該当（別１：７（９））</t>
  </si>
  <si>
    <t>非該当（別表：７・９）</t>
  </si>
  <si>
    <t>技社承-2020-023</t>
  </si>
  <si>
    <t>技輸審-2020-0181</t>
  </si>
  <si>
    <t>［修理交換］VeEX モジューラー型100Gテスタ</t>
  </si>
  <si>
    <t>VeEX</t>
  </si>
  <si>
    <t>技輸審-2020-0182</t>
  </si>
  <si>
    <t>［修理交換］故障品(DVI KVM extender）の返却</t>
  </si>
  <si>
    <t>Guntermann&amp;Drunck GmbH Mr.Tom Valk</t>
  </si>
  <si>
    <t>吉野　英昭</t>
  </si>
  <si>
    <t>非該当（別１：８（７）・９（１））</t>
  </si>
  <si>
    <t>技輸審-2020-0183</t>
  </si>
  <si>
    <t>［販売］KTNチップ用マウント／検査データシート</t>
  </si>
  <si>
    <t>NIST</t>
  </si>
  <si>
    <t>非該当（別１：３（２）・１０に非該当）</t>
  </si>
  <si>
    <t>1000146262（本件）・技輸審-2020-0183・中止→技輸審-2020-0188で再申請1000147993・・・・・技輸審-2020-0188・技輸審-2020-0183の申請しなおし</t>
  </si>
  <si>
    <t>技輸審-2020-0184</t>
  </si>
  <si>
    <t>［販売］窒化物エピタキシャルウェハ(4inch InAlN/GaN HEMT on Si</t>
  </si>
  <si>
    <t>技輸審-2020-0185</t>
  </si>
  <si>
    <t>［無償提供］UVC殺菌ボックス</t>
  </si>
  <si>
    <t>NTT-AT米国支店</t>
  </si>
  <si>
    <t>非該当（別１：２（３６）・３－２（２））</t>
  </si>
  <si>
    <t>技輸審-2020-0186</t>
  </si>
  <si>
    <t>［無償提供］可変焦点レンズ用電圧モニター</t>
  </si>
  <si>
    <t>技輸審-2020-0187</t>
  </si>
  <si>
    <t>［販売］ガラスセル　HZ-MG-40　5個</t>
  </si>
  <si>
    <t>フィンランド</t>
  </si>
  <si>
    <t>Microsoft Oy</t>
  </si>
  <si>
    <t>技輸審-2020-0188</t>
  </si>
  <si>
    <t>1000146262・・・・・技輸審-2020-0183・中止→技輸審-2020-0188で再申請1000147993（本件）・技輸審-2020-0188・技輸審-2020-0183の申請しなおし</t>
  </si>
  <si>
    <t>技輸審-2020-0189</t>
  </si>
  <si>
    <t>［販売］X線チャートXRESO-100 / 検査報告書</t>
  </si>
  <si>
    <t>Lawrence Livermore National Laboratory</t>
  </si>
  <si>
    <t>技輸審-2020-0190</t>
  </si>
  <si>
    <t>［販売］自動消光比測定器（PCA-2000D）／アプリケーションプログラム</t>
  </si>
  <si>
    <t>非該当（別１：９（６））</t>
  </si>
  <si>
    <t>技輸審-2020-0191</t>
  </si>
  <si>
    <t>［返却］デモ機(KVMスイッチ)</t>
  </si>
  <si>
    <t>非該当（別１：９）</t>
  </si>
  <si>
    <t>技輸審-2020-0192</t>
  </si>
  <si>
    <t>チェコ</t>
  </si>
  <si>
    <t>EG? Brno, a.s.</t>
  </si>
  <si>
    <t>技輸審-2020-0193</t>
  </si>
  <si>
    <t>［無償提供］窒化物エピタキシャルウエハ</t>
  </si>
  <si>
    <t>技社承-2020-024</t>
  </si>
  <si>
    <t>技輸審-2020-0194</t>
  </si>
  <si>
    <t>技社承-2020-025</t>
  </si>
  <si>
    <t>技輸審-2020-0195</t>
  </si>
  <si>
    <t>［販売］窒化物エピタキシャルウェハ（8インチ）</t>
  </si>
  <si>
    <t>X-FAB Dresden GmbH &amp; Co., KG</t>
  </si>
  <si>
    <t>技社承-2020-026</t>
  </si>
  <si>
    <t>技輸審-2020-0196</t>
  </si>
  <si>
    <t>［製造評価］石英ミラー基板</t>
  </si>
  <si>
    <t>Ducth United Instruments</t>
  </si>
  <si>
    <t>NTT-AT GBE</t>
  </si>
  <si>
    <t>非該当（備考欄記載）</t>
  </si>
  <si>
    <t>技輸審-2020-0197</t>
  </si>
  <si>
    <t>技輸審-2020-0198</t>
  </si>
  <si>
    <t>［貸出］無線通信アンテナ</t>
  </si>
  <si>
    <t>Etherdyne Technologies, Inc.</t>
  </si>
  <si>
    <t>山口　城治</t>
  </si>
  <si>
    <t>非該当（別１：９（１）・９（７））</t>
  </si>
  <si>
    <t>技輸審-2020-0199</t>
  </si>
  <si>
    <t>［販売］インテリジェント光スイッチNSWシリーズ/内蔵プログラム/取扱説明書</t>
  </si>
  <si>
    <t xml:space="preserve">伊藤忠テクノソリューションズ株式会社 </t>
  </si>
  <si>
    <t xml:space="preserve">BBIX SINGAPORE PTE LTD. </t>
  </si>
  <si>
    <t>藤原　稔</t>
  </si>
  <si>
    <t>非該当（2(36)、9(1)）</t>
  </si>
  <si>
    <t>非該当（9(1)(2)）</t>
  </si>
  <si>
    <t>技輸審-2020-0200</t>
  </si>
  <si>
    <t>伊藤忠テクノソリューションズ株式会社</t>
  </si>
  <si>
    <t>BBIX HONG KONG PTE.LTD.</t>
  </si>
  <si>
    <t>技輸審-2020-0201</t>
  </si>
  <si>
    <t>［無償提供］G-ブレス　L、M、はがき、名刺</t>
  </si>
  <si>
    <t>営業サンプル</t>
  </si>
  <si>
    <t>台湾泉秀有限公司</t>
  </si>
  <si>
    <t>技輸審-2020-0202</t>
  </si>
  <si>
    <t>［無償提供］G-ブレス（Mサイズ）</t>
  </si>
  <si>
    <t>ラトビア</t>
  </si>
  <si>
    <t>Scan-Plast Latvia LSEZ SIA</t>
  </si>
  <si>
    <t>技輸審-2020-0203</t>
  </si>
  <si>
    <t>［技術提供］WinActor Cast on Call シナリオ（市販）</t>
  </si>
  <si>
    <t>技輸審-2020-0204</t>
  </si>
  <si>
    <t>［販売］Index Matching block</t>
  </si>
  <si>
    <t>技輸審-2020-0205</t>
  </si>
  <si>
    <t>［技術提供］技術名/Ceramic heater Manual 20200923</t>
  </si>
  <si>
    <t>技輸審-2020-0206</t>
  </si>
  <si>
    <t>［無償提供］光学接着剤#18256 500g, #18257 50g</t>
  </si>
  <si>
    <t>Pixelligent Technologies, LLC</t>
  </si>
  <si>
    <t>技輸審-2020-0207</t>
  </si>
  <si>
    <t>［販売］窒化物エピタキシャルウェハ(3inch InAlN/GaN on SiC)</t>
  </si>
  <si>
    <t>成功大学</t>
  </si>
  <si>
    <t>技輸審-2020-0208</t>
  </si>
  <si>
    <t>［販売］Zrフィルター</t>
  </si>
  <si>
    <t>Shanghai NTI Co., Ltd.</t>
  </si>
  <si>
    <t>Tech, Inst, Phys and Chem,</t>
  </si>
  <si>
    <t>非該当（別１：７（１８）・１０（５・６・７））</t>
  </si>
  <si>
    <t>技社承-2020-027</t>
  </si>
  <si>
    <t>技輸審-2020-0209</t>
  </si>
  <si>
    <t>技輸審-2020-0210</t>
  </si>
  <si>
    <t>［販売］量産型光コネクタ研磨機 ATP-2100、ATP-2200の部分品・附属品</t>
  </si>
  <si>
    <t>GUANGZHOU LICHENG OPTOELECTRONIC CO.,LTD</t>
  </si>
  <si>
    <t>住友?工光器件（无?）有限公司</t>
  </si>
  <si>
    <t>非該当（9(6)項）</t>
  </si>
  <si>
    <t>手作業</t>
    <rPh sb="0" eb="3">
      <t>テサギョウ</t>
    </rPh>
    <phoneticPr fontId="6"/>
  </si>
  <si>
    <t>マクロ実行</t>
    <rPh sb="3" eb="5">
      <t>ジッコウ</t>
    </rPh>
    <phoneticPr fontId="6"/>
  </si>
  <si>
    <t>自動</t>
    <rPh sb="0" eb="2">
      <t>ジドウ</t>
    </rPh>
    <phoneticPr fontId="6"/>
  </si>
  <si>
    <t>固定</t>
    <rPh sb="0" eb="2">
      <t>コテイ</t>
    </rPh>
    <phoneticPr fontId="6"/>
  </si>
  <si>
    <t>期間の開始</t>
    <rPh sb="0" eb="2">
      <t>キカン</t>
    </rPh>
    <rPh sb="3" eb="5">
      <t>カイシ</t>
    </rPh>
    <phoneticPr fontId="6"/>
  </si>
  <si>
    <t>個別</t>
    <rPh sb="0" eb="2">
      <t>コベツ</t>
    </rPh>
    <phoneticPr fontId="6"/>
  </si>
  <si>
    <t>年間</t>
    <rPh sb="0" eb="2">
      <t>ネンカン</t>
    </rPh>
    <phoneticPr fontId="6"/>
  </si>
  <si>
    <t>実績あり</t>
    <rPh sb="0" eb="2">
      <t>ジッセキ</t>
    </rPh>
    <phoneticPr fontId="6"/>
  </si>
  <si>
    <t>連結番号</t>
    <rPh sb="0" eb="2">
      <t>レンケツ</t>
    </rPh>
    <rPh sb="2" eb="4">
      <t>バンゴウ</t>
    </rPh>
    <phoneticPr fontId="6"/>
  </si>
  <si>
    <t>ＶＲ一</t>
  </si>
  <si>
    <t>期間の終了</t>
    <rPh sb="0" eb="2">
      <t>キカン</t>
    </rPh>
    <rPh sb="3" eb="5">
      <t>シュウリョウ</t>
    </rPh>
    <phoneticPr fontId="6"/>
  </si>
  <si>
    <t>ＶＲ二</t>
  </si>
  <si>
    <t>ＶＲ三</t>
    <rPh sb="2" eb="3">
      <t>サン</t>
    </rPh>
    <phoneticPr fontId="10"/>
  </si>
  <si>
    <t>BU抽出列</t>
    <rPh sb="2" eb="4">
      <t>チュウシュツ</t>
    </rPh>
    <rPh sb="4" eb="5">
      <t>レツ</t>
    </rPh>
    <phoneticPr fontId="6"/>
  </si>
  <si>
    <t>機器持出し</t>
  </si>
  <si>
    <t>Ｖ北海</t>
  </si>
  <si>
    <t>Ｖ東北</t>
  </si>
  <si>
    <t>区分抽出列</t>
    <rPh sb="0" eb="2">
      <t>クブン</t>
    </rPh>
    <rPh sb="2" eb="4">
      <t>チュウシュツ</t>
    </rPh>
    <rPh sb="4" eb="5">
      <t>レツ</t>
    </rPh>
    <phoneticPr fontId="6"/>
  </si>
  <si>
    <t>Ｖ福島</t>
  </si>
  <si>
    <t>ＶＧＭ</t>
  </si>
  <si>
    <t>仕向地抽出列</t>
    <rPh sb="0" eb="3">
      <t>シムケチ</t>
    </rPh>
    <rPh sb="3" eb="5">
      <t>チュウシュツ</t>
    </rPh>
    <rPh sb="5" eb="6">
      <t>レツ</t>
    </rPh>
    <phoneticPr fontId="6"/>
  </si>
  <si>
    <t>包括許可列</t>
    <rPh sb="0" eb="2">
      <t>ホウカツ</t>
    </rPh>
    <rPh sb="2" eb="4">
      <t>キョカ</t>
    </rPh>
    <rPh sb="4" eb="5">
      <t>レツ</t>
    </rPh>
    <phoneticPr fontId="6"/>
  </si>
  <si>
    <t>技術指導・討論</t>
  </si>
  <si>
    <t>ＶＵＳ</t>
  </si>
  <si>
    <t>ＶＤＸ</t>
  </si>
  <si>
    <t>特例列</t>
    <rPh sb="0" eb="2">
      <t>トクレイ</t>
    </rPh>
    <rPh sb="2" eb="3">
      <t>レツ</t>
    </rPh>
    <phoneticPr fontId="6"/>
  </si>
  <si>
    <t>ＶＣ企</t>
  </si>
  <si>
    <t>西営業</t>
  </si>
  <si>
    <t>非許可特例列</t>
    <rPh sb="0" eb="1">
      <t>ヒ</t>
    </rPh>
    <rPh sb="1" eb="3">
      <t>キョカ</t>
    </rPh>
    <rPh sb="3" eb="5">
      <t>トクレイ</t>
    </rPh>
    <rPh sb="5" eb="6">
      <t>レツ</t>
    </rPh>
    <phoneticPr fontId="6"/>
  </si>
  <si>
    <t>西東海</t>
  </si>
  <si>
    <t>西九州</t>
  </si>
  <si>
    <t>西ソル</t>
  </si>
  <si>
    <t>期間の審査数</t>
    <rPh sb="0" eb="2">
      <t>キカン</t>
    </rPh>
    <rPh sb="3" eb="5">
      <t>シンサ</t>
    </rPh>
    <rPh sb="5" eb="6">
      <t>スウ</t>
    </rPh>
    <phoneticPr fontId="6"/>
  </si>
  <si>
    <t>西ＮＭ</t>
  </si>
  <si>
    <t>西ＢＩ</t>
    <phoneticPr fontId="10"/>
  </si>
  <si>
    <t>西地創</t>
    <phoneticPr fontId="10"/>
  </si>
  <si>
    <t>西企画</t>
  </si>
  <si>
    <t>結果</t>
    <rPh sb="0" eb="2">
      <t>ケッカ</t>
    </rPh>
    <phoneticPr fontId="6"/>
  </si>
  <si>
    <t>Ｇ推進</t>
    <phoneticPr fontId="10"/>
  </si>
  <si>
    <t>Ｇ上海</t>
  </si>
  <si>
    <t>Ｇ星国</t>
    <phoneticPr fontId="10"/>
  </si>
  <si>
    <t>Ｇ米国</t>
  </si>
  <si>
    <t>ＧＢＩ</t>
  </si>
  <si>
    <t>ＧＢア</t>
  </si>
  <si>
    <t>ＧＢＥ</t>
    <phoneticPr fontId="10"/>
  </si>
  <si>
    <t>ＧＩＯ</t>
    <phoneticPr fontId="10"/>
  </si>
  <si>
    <t>ＧＢＰ</t>
  </si>
  <si>
    <t>ＧＢ企</t>
  </si>
  <si>
    <t>セ事サ</t>
    <phoneticPr fontId="10"/>
  </si>
  <si>
    <t>セ事Ｉ</t>
    <phoneticPr fontId="10"/>
  </si>
  <si>
    <t>セ事プ</t>
    <phoneticPr fontId="10"/>
  </si>
  <si>
    <t>セ事企</t>
    <rPh sb="2" eb="3">
      <t>キ</t>
    </rPh>
    <phoneticPr fontId="10"/>
  </si>
  <si>
    <t>ＣＩＢ</t>
    <phoneticPr fontId="10"/>
  </si>
  <si>
    <t>ＣＩＳ</t>
    <phoneticPr fontId="10"/>
  </si>
  <si>
    <t>ＣＩ企</t>
  </si>
  <si>
    <t>ＮＩビ</t>
    <phoneticPr fontId="10"/>
  </si>
  <si>
    <t>ＮＩＩ</t>
    <phoneticPr fontId="10"/>
  </si>
  <si>
    <t>ＮＩネ</t>
    <phoneticPr fontId="10"/>
  </si>
  <si>
    <t>ＮＩサ</t>
    <phoneticPr fontId="10"/>
  </si>
  <si>
    <t>ＮＩア</t>
    <phoneticPr fontId="10"/>
  </si>
  <si>
    <t>ＮＩ企</t>
    <phoneticPr fontId="10"/>
  </si>
  <si>
    <t>ＡＩＳ</t>
    <phoneticPr fontId="10"/>
  </si>
  <si>
    <t>ＡＩＲ</t>
    <phoneticPr fontId="10"/>
  </si>
  <si>
    <t>ＡＩＩ</t>
    <phoneticPr fontId="10"/>
  </si>
  <si>
    <t>ＡＩＡ</t>
    <phoneticPr fontId="10"/>
  </si>
  <si>
    <t>ＡＩＤ</t>
    <phoneticPr fontId="10"/>
  </si>
  <si>
    <t>ＡＩ企</t>
    <phoneticPr fontId="10"/>
  </si>
  <si>
    <t>ＮＳＳ</t>
    <phoneticPr fontId="10"/>
  </si>
  <si>
    <t>ＮＳＭ</t>
    <phoneticPr fontId="10"/>
  </si>
  <si>
    <t>ＮＳＴ</t>
    <phoneticPr fontId="10"/>
  </si>
  <si>
    <t>ＮＳ企</t>
    <rPh sb="2" eb="3">
      <t>クワダ</t>
    </rPh>
    <phoneticPr fontId="10"/>
  </si>
  <si>
    <t>ＩＰＲ</t>
    <phoneticPr fontId="10"/>
  </si>
  <si>
    <t>ＩＰＭ</t>
    <phoneticPr fontId="10"/>
  </si>
  <si>
    <t>ＩＰＬ</t>
    <phoneticPr fontId="10"/>
  </si>
  <si>
    <t>ＩＰ企</t>
    <phoneticPr fontId="10"/>
  </si>
  <si>
    <t>ＮＰＬ</t>
    <phoneticPr fontId="10"/>
  </si>
  <si>
    <t>ＮＰ企</t>
    <rPh sb="2" eb="3">
      <t>キ</t>
    </rPh>
    <phoneticPr fontId="10"/>
  </si>
  <si>
    <t>ＲＤＭ</t>
    <phoneticPr fontId="10"/>
  </si>
  <si>
    <t>ＲＤＤ</t>
    <phoneticPr fontId="10"/>
  </si>
  <si>
    <t>ＲＤＲ</t>
    <phoneticPr fontId="10"/>
  </si>
  <si>
    <t>ＲＤＷ</t>
    <phoneticPr fontId="10"/>
  </si>
  <si>
    <t>ＲＤ企</t>
    <phoneticPr fontId="10"/>
  </si>
  <si>
    <t>ＩＯビ</t>
    <phoneticPr fontId="10"/>
  </si>
  <si>
    <t>ＩＯＧ</t>
    <phoneticPr fontId="10"/>
  </si>
  <si>
    <t>ＩＯ企</t>
    <rPh sb="2" eb="3">
      <t>キ</t>
    </rPh>
    <phoneticPr fontId="10"/>
  </si>
  <si>
    <t>営推チ</t>
    <phoneticPr fontId="10"/>
  </si>
  <si>
    <t>営推マ</t>
  </si>
  <si>
    <t>営推進</t>
  </si>
  <si>
    <t>営推企</t>
  </si>
  <si>
    <t>Ｄ基幹</t>
    <rPh sb="1" eb="3">
      <t>キカン</t>
    </rPh>
    <phoneticPr fontId="10"/>
  </si>
  <si>
    <t>ＤＡＰ</t>
    <phoneticPr fontId="10"/>
  </si>
  <si>
    <t>ＤＭＳ</t>
    <phoneticPr fontId="10"/>
  </si>
  <si>
    <t>Ｄ環境</t>
    <rPh sb="1" eb="3">
      <t>カンキョウ</t>
    </rPh>
    <phoneticPr fontId="10"/>
  </si>
  <si>
    <t>経企画</t>
  </si>
  <si>
    <t>経推進</t>
  </si>
  <si>
    <t>経財務</t>
    <rPh sb="1" eb="3">
      <t>ザイム</t>
    </rPh>
    <phoneticPr fontId="10"/>
  </si>
  <si>
    <t>経戦略</t>
  </si>
  <si>
    <t>経関企</t>
  </si>
  <si>
    <t>経ＣＳ</t>
  </si>
  <si>
    <t>経輸出</t>
    <phoneticPr fontId="10"/>
  </si>
  <si>
    <t>経知財</t>
    <rPh sb="1" eb="3">
      <t>チザイ</t>
    </rPh>
    <phoneticPr fontId="10"/>
  </si>
  <si>
    <t>総総務</t>
  </si>
  <si>
    <t>総法務</t>
  </si>
  <si>
    <t>総啓発</t>
  </si>
  <si>
    <t>総倫理</t>
  </si>
  <si>
    <t>人ＴＭ</t>
    <phoneticPr fontId="10"/>
  </si>
  <si>
    <t>審査件数</t>
    <rPh sb="0" eb="2">
      <t>シンサ</t>
    </rPh>
    <rPh sb="2" eb="4">
      <t>ケンスウ</t>
    </rPh>
    <phoneticPr fontId="6"/>
  </si>
  <si>
    <t>該非判定通知書発行件数</t>
    <rPh sb="0" eb="4">
      <t>ガイヒハンテイ</t>
    </rPh>
    <rPh sb="4" eb="7">
      <t>ツウチショ</t>
    </rPh>
    <rPh sb="7" eb="9">
      <t>ハッコウ</t>
    </rPh>
    <rPh sb="9" eb="11">
      <t>ケンスウ</t>
    </rPh>
    <phoneticPr fontId="6"/>
  </si>
  <si>
    <t>Q1</t>
    <phoneticPr fontId="6"/>
  </si>
  <si>
    <t>リスト規制</t>
    <rPh sb="3" eb="5">
      <t>キセイ</t>
    </rPh>
    <phoneticPr fontId="6"/>
  </si>
  <si>
    <t>個別許可</t>
    <rPh sb="0" eb="2">
      <t>コベツ</t>
    </rPh>
    <rPh sb="2" eb="4">
      <t>キョカ</t>
    </rPh>
    <phoneticPr fontId="6"/>
  </si>
  <si>
    <t>輸出許可通知書数</t>
    <rPh sb="0" eb="4">
      <t>ユシュツキョカ</t>
    </rPh>
    <rPh sb="4" eb="7">
      <t>ツウチショ</t>
    </rPh>
    <rPh sb="7" eb="8">
      <t>スウ</t>
    </rPh>
    <phoneticPr fontId="6"/>
  </si>
  <si>
    <t>包括許可</t>
    <rPh sb="0" eb="2">
      <t>ホウカツ</t>
    </rPh>
    <rPh sb="2" eb="4">
      <t>キョカ</t>
    </rPh>
    <phoneticPr fontId="6"/>
  </si>
  <si>
    <t>マクロ</t>
    <phoneticPr fontId="6"/>
  </si>
  <si>
    <t>特例適用</t>
    <rPh sb="0" eb="2">
      <t>トクレイ</t>
    </rPh>
    <rPh sb="2" eb="4">
      <t>テキヨウ</t>
    </rPh>
    <phoneticPr fontId="6"/>
  </si>
  <si>
    <t>国内取引</t>
    <rPh sb="0" eb="2">
      <t>コクナイ</t>
    </rPh>
    <rPh sb="2" eb="4">
      <t>トリヒキ</t>
    </rPh>
    <phoneticPr fontId="6"/>
  </si>
  <si>
    <t>リスト規制非該当</t>
    <rPh sb="3" eb="5">
      <t>キセイ</t>
    </rPh>
    <rPh sb="5" eb="8">
      <t>ヒガイトウ</t>
    </rPh>
    <phoneticPr fontId="6"/>
  </si>
  <si>
    <t>小計</t>
    <rPh sb="0" eb="2">
      <t>ショウケイ</t>
    </rPh>
    <phoneticPr fontId="6"/>
  </si>
  <si>
    <t>年間登録審査件数</t>
    <rPh sb="0" eb="4">
      <t>ネンカントウロク</t>
    </rPh>
    <rPh sb="4" eb="6">
      <t>シンサ</t>
    </rPh>
    <rPh sb="6" eb="8">
      <t>ケンスウ</t>
    </rPh>
    <phoneticPr fontId="6"/>
  </si>
  <si>
    <t>年間登録出荷件数</t>
    <rPh sb="0" eb="4">
      <t>ネンカントウロク</t>
    </rPh>
    <rPh sb="4" eb="6">
      <t>シュッカ</t>
    </rPh>
    <rPh sb="6" eb="8">
      <t>ケンスウ</t>
    </rPh>
    <phoneticPr fontId="6"/>
  </si>
  <si>
    <t>年度累積審査件数</t>
    <rPh sb="0" eb="2">
      <t>ネンド</t>
    </rPh>
    <rPh sb="2" eb="4">
      <t>ルイセキ</t>
    </rPh>
    <rPh sb="4" eb="6">
      <t>シンサ</t>
    </rPh>
    <rPh sb="6" eb="8">
      <t>ケンスウ</t>
    </rPh>
    <phoneticPr fontId="6"/>
  </si>
  <si>
    <t>年度累積出荷件数</t>
    <rPh sb="0" eb="2">
      <t>ネンド</t>
    </rPh>
    <rPh sb="2" eb="4">
      <t>ルイセキ</t>
    </rPh>
    <rPh sb="4" eb="6">
      <t>シュッカ</t>
    </rPh>
    <rPh sb="6" eb="8">
      <t>ケンスウ</t>
    </rPh>
    <phoneticPr fontId="6"/>
  </si>
  <si>
    <t>取引総額</t>
    <rPh sb="0" eb="2">
      <t>トリヒキ</t>
    </rPh>
    <rPh sb="2" eb="4">
      <t>ソウガク</t>
    </rPh>
    <phoneticPr fontId="15"/>
  </si>
  <si>
    <t>取引総額</t>
    <rPh sb="0" eb="2">
      <t>トリヒキ</t>
    </rPh>
    <rPh sb="2" eb="4">
      <t>ソウガク</t>
    </rPh>
    <phoneticPr fontId="2"/>
  </si>
  <si>
    <t>取引回数</t>
    <rPh sb="0" eb="2">
      <t>トリヒキ</t>
    </rPh>
    <rPh sb="2" eb="4">
      <t>カイスウ</t>
    </rPh>
    <phoneticPr fontId="15"/>
  </si>
  <si>
    <t>取引回数</t>
    <rPh sb="0" eb="2">
      <t>トリヒキ</t>
    </rPh>
    <rPh sb="2" eb="4">
      <t>カイスウ</t>
    </rPh>
    <phoneticPr fontId="2"/>
  </si>
  <si>
    <t>国内総額</t>
    <rPh sb="0" eb="2">
      <t>コクナイ</t>
    </rPh>
    <rPh sb="2" eb="4">
      <t>ソウガク</t>
    </rPh>
    <phoneticPr fontId="15"/>
  </si>
  <si>
    <t>国内総額</t>
    <rPh sb="0" eb="2">
      <t>コクナイ</t>
    </rPh>
    <rPh sb="2" eb="4">
      <t>ソウガク</t>
    </rPh>
    <phoneticPr fontId="2"/>
  </si>
  <si>
    <t>国内回数</t>
    <rPh sb="0" eb="2">
      <t>コクナイ</t>
    </rPh>
    <rPh sb="2" eb="4">
      <t>カイスウ</t>
    </rPh>
    <phoneticPr fontId="15"/>
  </si>
  <si>
    <t>国内回数</t>
    <rPh sb="0" eb="2">
      <t>コクナイ</t>
    </rPh>
    <rPh sb="2" eb="4">
      <t>カイスウ</t>
    </rPh>
    <phoneticPr fontId="2"/>
  </si>
  <si>
    <t>出荷日自</t>
    <rPh sb="0" eb="3">
      <t>シュッカビ</t>
    </rPh>
    <rPh sb="3" eb="4">
      <t>ジ</t>
    </rPh>
    <phoneticPr fontId="15"/>
  </si>
  <si>
    <t>出荷日自</t>
    <rPh sb="0" eb="3">
      <t>シュッカビ</t>
    </rPh>
    <rPh sb="3" eb="4">
      <t>ジ</t>
    </rPh>
    <phoneticPr fontId="2"/>
  </si>
  <si>
    <t>ＣＩＳ</t>
  </si>
  <si>
    <t>出荷日至</t>
    <rPh sb="0" eb="3">
      <t>シュッカビ</t>
    </rPh>
    <rPh sb="3" eb="4">
      <t>イタ</t>
    </rPh>
    <phoneticPr fontId="15"/>
  </si>
  <si>
    <t>出荷日至</t>
    <rPh sb="0" eb="3">
      <t>シュッカビ</t>
    </rPh>
    <rPh sb="3" eb="4">
      <t>イタ</t>
    </rPh>
    <phoneticPr fontId="2"/>
  </si>
  <si>
    <t>別表１</t>
    <rPh sb="0" eb="2">
      <t>ベッピョウ</t>
    </rPh>
    <phoneticPr fontId="6"/>
  </si>
  <si>
    <t>別表２</t>
    <rPh sb="0" eb="2">
      <t>ベッピョウ</t>
    </rPh>
    <phoneticPr fontId="6"/>
  </si>
  <si>
    <t>取引内容</t>
    <rPh sb="0" eb="4">
      <t>トリヒキナイヨウ</t>
    </rPh>
    <phoneticPr fontId="6"/>
  </si>
  <si>
    <t>件数</t>
    <rPh sb="0" eb="2">
      <t>ケンスウ</t>
    </rPh>
    <phoneticPr fontId="6"/>
  </si>
  <si>
    <t>別表３</t>
    <rPh sb="0" eb="2">
      <t>ベッピョウ</t>
    </rPh>
    <phoneticPr fontId="6"/>
  </si>
  <si>
    <t>仕向地</t>
    <rPh sb="0" eb="3">
      <t>シムケチ</t>
    </rPh>
    <phoneticPr fontId="6"/>
  </si>
  <si>
    <t>該非判定通知書</t>
    <rPh sb="0" eb="4">
      <t>ガイヒハンテイ</t>
    </rPh>
    <rPh sb="4" eb="7">
      <t>ツウチショ</t>
    </rPh>
    <phoneticPr fontId="6"/>
  </si>
  <si>
    <t>輸出許可通知書</t>
    <rPh sb="0" eb="4">
      <t>ユシュツキョカ</t>
    </rPh>
    <rPh sb="4" eb="7">
      <t>ツウチショ</t>
    </rPh>
    <phoneticPr fontId="6"/>
  </si>
  <si>
    <t>計</t>
    <rPh sb="0" eb="1">
      <t>ケイ</t>
    </rPh>
    <phoneticPr fontId="6"/>
  </si>
  <si>
    <t>【社内限り】</t>
    <rPh sb="1" eb="3">
      <t>シャナイ</t>
    </rPh>
    <rPh sb="3" eb="4">
      <t>カギ</t>
    </rPh>
    <phoneticPr fontId="10"/>
  </si>
  <si>
    <t>組織名称・略称・英文呼称</t>
    <rPh sb="0" eb="2">
      <t>ソシキ</t>
    </rPh>
    <rPh sb="2" eb="4">
      <t>メイショウ</t>
    </rPh>
    <rPh sb="5" eb="7">
      <t>リャクショウ</t>
    </rPh>
    <rPh sb="8" eb="10">
      <t>エイブン</t>
    </rPh>
    <rPh sb="10" eb="12">
      <t>コショウ</t>
    </rPh>
    <phoneticPr fontId="10"/>
  </si>
  <si>
    <t>経営企画部</t>
    <rPh sb="0" eb="2">
      <t>ケイエイ</t>
    </rPh>
    <rPh sb="2" eb="4">
      <t>キカク</t>
    </rPh>
    <rPh sb="4" eb="5">
      <t>ブ</t>
    </rPh>
    <phoneticPr fontId="10"/>
  </si>
  <si>
    <t>組織名称</t>
    <rPh sb="0" eb="2">
      <t>ソシキ</t>
    </rPh>
    <rPh sb="2" eb="4">
      <t>メイショウ</t>
    </rPh>
    <phoneticPr fontId="10"/>
  </si>
  <si>
    <t>略称</t>
    <rPh sb="0" eb="2">
      <t>リャクショウ</t>
    </rPh>
    <phoneticPr fontId="10"/>
  </si>
  <si>
    <t>英文呼称</t>
    <rPh sb="0" eb="2">
      <t>エイブン</t>
    </rPh>
    <rPh sb="2" eb="4">
      <t>コショウ</t>
    </rPh>
    <phoneticPr fontId="10"/>
  </si>
  <si>
    <t>Value Co-creation事業本部</t>
    <rPh sb="17" eb="19">
      <t>ジギョウ</t>
    </rPh>
    <rPh sb="19" eb="21">
      <t>ホンブ</t>
    </rPh>
    <phoneticPr fontId="10"/>
  </si>
  <si>
    <t>Value Co-creation Business Headquarters</t>
    <phoneticPr fontId="10"/>
  </si>
  <si>
    <t xml:space="preserve">ビジネスリレーション第一部門
</t>
    <rPh sb="10" eb="12">
      <t>ダイイチ</t>
    </rPh>
    <rPh sb="12" eb="14">
      <t>ブモン</t>
    </rPh>
    <phoneticPr fontId="10"/>
  </si>
  <si>
    <t>Business Relation Section-1</t>
    <phoneticPr fontId="10"/>
  </si>
  <si>
    <t xml:space="preserve">ビジネスリレーション第二部門
</t>
    <rPh sb="10" eb="12">
      <t>ダイニ</t>
    </rPh>
    <rPh sb="12" eb="14">
      <t>ブモン</t>
    </rPh>
    <phoneticPr fontId="10"/>
  </si>
  <si>
    <t>Business Relation Section-2</t>
  </si>
  <si>
    <t xml:space="preserve">ビジネスリレーション第三部門
</t>
    <rPh sb="10" eb="12">
      <t>ダイサン</t>
    </rPh>
    <rPh sb="12" eb="14">
      <t>ブモン</t>
    </rPh>
    <phoneticPr fontId="10"/>
  </si>
  <si>
    <t>Business Relation Section-3</t>
  </si>
  <si>
    <t>北海道支店</t>
    <rPh sb="0" eb="3">
      <t>ホッカイドウ</t>
    </rPh>
    <rPh sb="3" eb="5">
      <t>シテン</t>
    </rPh>
    <phoneticPr fontId="10"/>
  </si>
  <si>
    <t>Hokkaido Branch Office</t>
    <phoneticPr fontId="10"/>
  </si>
  <si>
    <t>東北支店</t>
    <rPh sb="0" eb="2">
      <t>トウホク</t>
    </rPh>
    <rPh sb="2" eb="4">
      <t>シテン</t>
    </rPh>
    <phoneticPr fontId="10"/>
  </si>
  <si>
    <t>Tohoku Branch Office</t>
  </si>
  <si>
    <t>福島営業所</t>
    <rPh sb="0" eb="2">
      <t>フクシマ</t>
    </rPh>
    <rPh sb="2" eb="5">
      <t>エイギョウショ</t>
    </rPh>
    <phoneticPr fontId="10"/>
  </si>
  <si>
    <t>Fukushima Branch Office</t>
  </si>
  <si>
    <t>ＧＴＭ推進部門</t>
    <rPh sb="3" eb="5">
      <t>スイシン</t>
    </rPh>
    <rPh sb="5" eb="7">
      <t>ブモン</t>
    </rPh>
    <phoneticPr fontId="10"/>
  </si>
  <si>
    <t>Go-to-Market Section</t>
  </si>
  <si>
    <t xml:space="preserve">まちづくりビジネスユニット
</t>
    <phoneticPr fontId="10"/>
  </si>
  <si>
    <t>Community Development Business Unit</t>
  </si>
  <si>
    <t xml:space="preserve">カスタマーエンゲージメントビジネスユニット
</t>
    <phoneticPr fontId="10"/>
  </si>
  <si>
    <t>Customer Engagement Business Unit</t>
  </si>
  <si>
    <t>トータルソリューションビジネスユニット</t>
    <phoneticPr fontId="10"/>
  </si>
  <si>
    <t>Total Solution Business Unit</t>
  </si>
  <si>
    <t>ユーザオペレーションサポートビジネスユニット</t>
    <phoneticPr fontId="10"/>
  </si>
  <si>
    <t>User Operation Support Business Unit</t>
  </si>
  <si>
    <t>ＤＸイノベーションプロジェクト</t>
    <phoneticPr fontId="10"/>
  </si>
  <si>
    <t>Digital Transformation Innovation Project</t>
  </si>
  <si>
    <t>企画総務部門</t>
    <rPh sb="0" eb="2">
      <t>キカク</t>
    </rPh>
    <rPh sb="2" eb="4">
      <t>ソウム</t>
    </rPh>
    <rPh sb="4" eb="6">
      <t>ブモン</t>
    </rPh>
    <phoneticPr fontId="10"/>
  </si>
  <si>
    <t>Planning and General Affairs Section</t>
  </si>
  <si>
    <t>西日本事業本部</t>
    <rPh sb="0" eb="1">
      <t>ニシ</t>
    </rPh>
    <rPh sb="1" eb="3">
      <t>ニホン</t>
    </rPh>
    <rPh sb="3" eb="5">
      <t>ジギョウ</t>
    </rPh>
    <rPh sb="5" eb="7">
      <t>ホンブ</t>
    </rPh>
    <phoneticPr fontId="10"/>
  </si>
  <si>
    <t>西本部</t>
  </si>
  <si>
    <t>Business Headquarters-West</t>
  </si>
  <si>
    <t>営業部門</t>
    <rPh sb="0" eb="2">
      <t>エイギョウ</t>
    </rPh>
    <rPh sb="2" eb="4">
      <t>ブモン</t>
    </rPh>
    <phoneticPr fontId="10"/>
  </si>
  <si>
    <t>Sales Section</t>
  </si>
  <si>
    <t>東海支店</t>
    <rPh sb="0" eb="2">
      <t>トウカイ</t>
    </rPh>
    <rPh sb="2" eb="4">
      <t>シテン</t>
    </rPh>
    <phoneticPr fontId="10"/>
  </si>
  <si>
    <t>Tokai Branch Office</t>
  </si>
  <si>
    <t>九州支店</t>
    <rPh sb="0" eb="2">
      <t>キュウシュウ</t>
    </rPh>
    <rPh sb="2" eb="4">
      <t>シテン</t>
    </rPh>
    <phoneticPr fontId="10"/>
  </si>
  <si>
    <t>Kyushu Branch Office</t>
  </si>
  <si>
    <t>ソリューションビジネスユニット</t>
    <phoneticPr fontId="10"/>
  </si>
  <si>
    <t>Solution Business Unit</t>
  </si>
  <si>
    <t>ネットワークマネジメントビジネスユニット</t>
    <phoneticPr fontId="10"/>
  </si>
  <si>
    <t>Network Management Business Unit</t>
    <phoneticPr fontId="10"/>
  </si>
  <si>
    <t>ビジネスインキュベーションビジネスユニット</t>
    <phoneticPr fontId="10"/>
  </si>
  <si>
    <t>Business Incubation Business Unit</t>
    <phoneticPr fontId="10"/>
  </si>
  <si>
    <t>地域創生ビジネスプロジェクト</t>
    <rPh sb="0" eb="2">
      <t>チイキ</t>
    </rPh>
    <rPh sb="2" eb="4">
      <t>ソウセイ</t>
    </rPh>
    <phoneticPr fontId="10"/>
  </si>
  <si>
    <t>Regional Revitalization Business Project</t>
    <phoneticPr fontId="10"/>
  </si>
  <si>
    <t>企画総務部門</t>
    <rPh sb="2" eb="4">
      <t>ソウム</t>
    </rPh>
    <phoneticPr fontId="10"/>
  </si>
  <si>
    <t>グローバル事業本部</t>
    <phoneticPr fontId="10"/>
  </si>
  <si>
    <t>ＧＢ本</t>
  </si>
  <si>
    <t>Global Business Headquarters</t>
    <phoneticPr fontId="10"/>
  </si>
  <si>
    <t>グローバルアライアンス推進部門</t>
    <rPh sb="11" eb="13">
      <t>スイシン</t>
    </rPh>
    <rPh sb="13" eb="15">
      <t>ブモン</t>
    </rPh>
    <phoneticPr fontId="10"/>
  </si>
  <si>
    <t>Global Alliance Section</t>
    <phoneticPr fontId="10"/>
  </si>
  <si>
    <t>上海駐在員事務所</t>
    <rPh sb="0" eb="2">
      <t>シャンハイ</t>
    </rPh>
    <rPh sb="2" eb="5">
      <t>チュウザイイン</t>
    </rPh>
    <rPh sb="5" eb="7">
      <t>ジム</t>
    </rPh>
    <rPh sb="7" eb="8">
      <t>ショ</t>
    </rPh>
    <phoneticPr fontId="10"/>
  </si>
  <si>
    <t>Shanghai Representative Office</t>
  </si>
  <si>
    <t>シンガポール支店</t>
    <rPh sb="6" eb="8">
      <t>シテン</t>
    </rPh>
    <phoneticPr fontId="10"/>
  </si>
  <si>
    <t>Singapore Office</t>
    <phoneticPr fontId="10"/>
  </si>
  <si>
    <t>米国支店</t>
    <rPh sb="0" eb="2">
      <t>ベイコク</t>
    </rPh>
    <rPh sb="2" eb="4">
      <t>シテン</t>
    </rPh>
    <phoneticPr fontId="10"/>
  </si>
  <si>
    <t>US Office</t>
  </si>
  <si>
    <t>グローバルソリューションビジネスユニット</t>
    <phoneticPr fontId="10"/>
  </si>
  <si>
    <t>Global Solution Business Unit</t>
    <phoneticPr fontId="10"/>
  </si>
  <si>
    <t>プロダクトインキュベーションセンタ</t>
    <phoneticPr fontId="10"/>
  </si>
  <si>
    <t>Product Incubation Center</t>
    <phoneticPr fontId="10"/>
  </si>
  <si>
    <t>光プロダクツビジネスユニット</t>
    <phoneticPr fontId="10"/>
  </si>
  <si>
    <t>Optical Products Business Unit</t>
  </si>
  <si>
    <t>環境ビジネスユニット</t>
    <rPh sb="0" eb="2">
      <t>カンキョウ</t>
    </rPh>
    <phoneticPr fontId="10"/>
  </si>
  <si>
    <t>Environmental Business Unit</t>
  </si>
  <si>
    <t>アドバンスマテリアルビジネスユニット</t>
    <phoneticPr fontId="10"/>
  </si>
  <si>
    <t>Advanced Material Business Unit</t>
  </si>
  <si>
    <t>ＥＵＶ技術センタ</t>
    <rPh sb="3" eb="5">
      <t>ギジュツ</t>
    </rPh>
    <phoneticPr fontId="10"/>
  </si>
  <si>
    <t>Extreme Ultraviolet Mirror Technical Center</t>
    <phoneticPr fontId="10"/>
  </si>
  <si>
    <t>ＩＯＷＮ光学材料推進部門</t>
    <phoneticPr fontId="10"/>
  </si>
  <si>
    <t>IOWN Optical Materials Promotion Section</t>
    <phoneticPr fontId="10"/>
  </si>
  <si>
    <t>プロジェクト推進部門</t>
    <phoneticPr fontId="10"/>
  </si>
  <si>
    <t>Project Management Section</t>
    <phoneticPr fontId="10"/>
  </si>
  <si>
    <t>セキュリティ事業本部</t>
    <phoneticPr fontId="10"/>
  </si>
  <si>
    <t>セ事本</t>
  </si>
  <si>
    <t>Security Business Headquarters</t>
  </si>
  <si>
    <t>セキュリティサービス＆ソリューションビジネスユニット</t>
    <phoneticPr fontId="10"/>
  </si>
  <si>
    <t>Security Service and Solution Business Unit</t>
    <phoneticPr fontId="10"/>
  </si>
  <si>
    <t>ＩＰソリューションビジネスユニット</t>
    <phoneticPr fontId="10"/>
  </si>
  <si>
    <t>Network and Security Solution Business Unit</t>
    <phoneticPr fontId="10"/>
  </si>
  <si>
    <t>プロフェッショナルプロデュースプロジェクト</t>
    <phoneticPr fontId="10"/>
  </si>
  <si>
    <t>Professional Produce Project</t>
    <phoneticPr fontId="10"/>
  </si>
  <si>
    <t>クラウドＩｏＴ事業本部</t>
    <phoneticPr fontId="10"/>
  </si>
  <si>
    <t>ＣＩ本</t>
  </si>
  <si>
    <t>Cloud and IoT Business Headquarters</t>
  </si>
  <si>
    <t xml:space="preserve">先端ビジネス開発ビジネスユニット
</t>
    <phoneticPr fontId="10"/>
  </si>
  <si>
    <t>Advanced Business Development Business Unit</t>
    <phoneticPr fontId="10"/>
  </si>
  <si>
    <t>ＩｏＴソリューションビジネスユニット</t>
    <phoneticPr fontId="10"/>
  </si>
  <si>
    <t>IoT Solutions Business Unit</t>
    <phoneticPr fontId="10"/>
  </si>
  <si>
    <t>クラウドソリューションビジネスユニット</t>
    <phoneticPr fontId="10"/>
  </si>
  <si>
    <t>Cloud Solutions Business Unit</t>
  </si>
  <si>
    <t>ネットワークイノベーション事業本部</t>
    <rPh sb="13" eb="15">
      <t>ジギョウ</t>
    </rPh>
    <rPh sb="15" eb="17">
      <t>ホンブ</t>
    </rPh>
    <phoneticPr fontId="10"/>
  </si>
  <si>
    <t>ＮＩ本</t>
    <phoneticPr fontId="10"/>
  </si>
  <si>
    <t>Network Innovation Business Headquarters</t>
    <phoneticPr fontId="10"/>
  </si>
  <si>
    <t>ネットワークビジネスデベロップメントビジネスユニット</t>
    <phoneticPr fontId="10"/>
  </si>
  <si>
    <t>Network Business Development Business Unit</t>
    <phoneticPr fontId="10"/>
  </si>
  <si>
    <t>ＩＯＷＮビジネスデベロップメントビジネスユニット</t>
    <phoneticPr fontId="10"/>
  </si>
  <si>
    <t>IOWN Business Development Business Unit</t>
    <phoneticPr fontId="10"/>
  </si>
  <si>
    <t>ネットワークアドバンスメントビジネスユニット</t>
    <phoneticPr fontId="10"/>
  </si>
  <si>
    <t>Network Advancement Business Unit</t>
    <phoneticPr fontId="10"/>
  </si>
  <si>
    <t>ネットワークサービスインテグレーションビジネスユニット</t>
    <phoneticPr fontId="10"/>
  </si>
  <si>
    <t>Network Service Integration Business Unit</t>
    <phoneticPr fontId="10"/>
  </si>
  <si>
    <t>アクセス＆トランスポートネットワークビジネスユニット</t>
    <phoneticPr fontId="20"/>
  </si>
  <si>
    <t>Access and Transport Network Business Unit</t>
    <phoneticPr fontId="10"/>
  </si>
  <si>
    <t>ＡＩロボティクス事業本部</t>
    <phoneticPr fontId="10"/>
  </si>
  <si>
    <t>ＡＩ本</t>
    <rPh sb="2" eb="3">
      <t>ホン</t>
    </rPh>
    <phoneticPr fontId="10"/>
  </si>
  <si>
    <t>AI and Robotics Business Headquarters</t>
    <phoneticPr fontId="10"/>
  </si>
  <si>
    <t>ビジネスストラテジー部門</t>
    <phoneticPr fontId="10"/>
  </si>
  <si>
    <t>Business Strategy Section</t>
    <phoneticPr fontId="10"/>
  </si>
  <si>
    <t>ロボティクスソリューションビジネスユニット</t>
    <phoneticPr fontId="10"/>
  </si>
  <si>
    <t>Robotics Solutions Business Unit</t>
    <phoneticPr fontId="10"/>
  </si>
  <si>
    <t>ＩＡイノベーションビジネスユニット</t>
    <phoneticPr fontId="10"/>
  </si>
  <si>
    <t>Intelligent Automation Innovation Business Unit</t>
    <phoneticPr fontId="10"/>
  </si>
  <si>
    <t>アドバンスデータアナリシスビジネスユニット</t>
    <phoneticPr fontId="10"/>
  </si>
  <si>
    <t>Advanced Data Analysis Business Unit</t>
    <phoneticPr fontId="10"/>
  </si>
  <si>
    <t>ディスラプティブイノベーションビジネスユニット</t>
    <phoneticPr fontId="10"/>
  </si>
  <si>
    <t>Disruptive Innovation Business Unit</t>
    <phoneticPr fontId="10"/>
  </si>
  <si>
    <t>Planning and General Affairs Section</t>
    <phoneticPr fontId="10"/>
  </si>
  <si>
    <t>ＮＷセキュリティマネジメント事業本部</t>
    <rPh sb="14" eb="16">
      <t>ジギョウ</t>
    </rPh>
    <rPh sb="16" eb="18">
      <t>ホンブ</t>
    </rPh>
    <phoneticPr fontId="10"/>
  </si>
  <si>
    <t>ＮＳ本</t>
    <rPh sb="2" eb="3">
      <t>ホン</t>
    </rPh>
    <phoneticPr fontId="10"/>
  </si>
  <si>
    <t>Network and Security Management Business Headquarters</t>
    <phoneticPr fontId="10"/>
  </si>
  <si>
    <t>ＩＣＴ-２４サービスオペレーションビジネスユニット</t>
    <phoneticPr fontId="10"/>
  </si>
  <si>
    <t>ICT-24 Service Operation Business Unit</t>
    <phoneticPr fontId="10"/>
  </si>
  <si>
    <t>システムマネジメントビジネスユニット</t>
    <phoneticPr fontId="10"/>
  </si>
  <si>
    <t>System Management Business Unit</t>
    <phoneticPr fontId="10"/>
  </si>
  <si>
    <t>テクニカルイノベーションビジネスユニット</t>
    <phoneticPr fontId="20"/>
  </si>
  <si>
    <t>Technical Innovation Business Unit</t>
    <phoneticPr fontId="10"/>
  </si>
  <si>
    <t>ＩＰＥＳビジネスセンタ</t>
    <phoneticPr fontId="10"/>
  </si>
  <si>
    <t>ＩＰＣ</t>
    <phoneticPr fontId="10"/>
  </si>
  <si>
    <t>IPES Business Center</t>
    <phoneticPr fontId="10"/>
  </si>
  <si>
    <t>ＩＰ調査分析ビジネスユニット</t>
    <phoneticPr fontId="10"/>
  </si>
  <si>
    <t>IP Investigation and Analysis Business Unit</t>
    <phoneticPr fontId="10"/>
  </si>
  <si>
    <t>ＩＰマネジメントビジネスユニット</t>
    <phoneticPr fontId="10"/>
  </si>
  <si>
    <t>IP Management Business Unit</t>
    <phoneticPr fontId="10"/>
  </si>
  <si>
    <t>リーガルＤＸビジネスユニット</t>
    <phoneticPr fontId="10"/>
  </si>
  <si>
    <t>Legal Digital Transformation Business Unit</t>
    <phoneticPr fontId="10"/>
  </si>
  <si>
    <t>ネットワーク基盤技術センタ</t>
    <rPh sb="6" eb="8">
      <t>キバン</t>
    </rPh>
    <rPh sb="8" eb="10">
      <t>ギジュツ</t>
    </rPh>
    <phoneticPr fontId="10"/>
  </si>
  <si>
    <t>ＮＰＣ</t>
    <phoneticPr fontId="10"/>
  </si>
  <si>
    <t>Network Platform Technology Center</t>
    <phoneticPr fontId="10"/>
  </si>
  <si>
    <t>リンク基盤ビジネスユニット</t>
    <phoneticPr fontId="10"/>
  </si>
  <si>
    <t>Link Platform Business Unit</t>
    <phoneticPr fontId="10"/>
  </si>
  <si>
    <t>企画総務部門</t>
    <phoneticPr fontId="10"/>
  </si>
  <si>
    <t>ラピッド開発センタ</t>
    <phoneticPr fontId="10"/>
  </si>
  <si>
    <t>ＲＤＣ</t>
    <phoneticPr fontId="10"/>
  </si>
  <si>
    <t>Rapid Development Center</t>
    <phoneticPr fontId="10"/>
  </si>
  <si>
    <t>技術マネジメントプロジェクト</t>
    <phoneticPr fontId="10"/>
  </si>
  <si>
    <t>Technology Management Project</t>
    <phoneticPr fontId="10"/>
  </si>
  <si>
    <t>データ流通サービス技術プロジェクト</t>
    <rPh sb="3" eb="5">
      <t>リュウツウ</t>
    </rPh>
    <rPh sb="9" eb="11">
      <t>ギジュツ</t>
    </rPh>
    <phoneticPr fontId="20"/>
  </si>
  <si>
    <t>Data Sharing Service Technology Project</t>
    <phoneticPr fontId="10"/>
  </si>
  <si>
    <t>ＩＣＴリソース管理技術プロジェクト</t>
    <rPh sb="7" eb="9">
      <t>カンリ</t>
    </rPh>
    <rPh sb="9" eb="11">
      <t>ギジュツ</t>
    </rPh>
    <phoneticPr fontId="10"/>
  </si>
  <si>
    <t>ICT Resource Management Technology Project</t>
    <phoneticPr fontId="10"/>
  </si>
  <si>
    <t>ワイヤレスアクセス技術プロジェクト</t>
    <rPh sb="9" eb="11">
      <t>ギジュツ</t>
    </rPh>
    <phoneticPr fontId="10"/>
  </si>
  <si>
    <t>Wireless Access Technology Project</t>
    <phoneticPr fontId="10"/>
  </si>
  <si>
    <t>２０２０推進室</t>
    <rPh sb="4" eb="7">
      <t>スイシンシツ</t>
    </rPh>
    <phoneticPr fontId="10"/>
  </si>
  <si>
    <t>２０推</t>
    <rPh sb="2" eb="3">
      <t>スイ</t>
    </rPh>
    <phoneticPr fontId="10"/>
  </si>
  <si>
    <t>2020 Business Promotion Office</t>
    <phoneticPr fontId="10"/>
  </si>
  <si>
    <t>ＩＯＷＮ推進室</t>
    <phoneticPr fontId="10"/>
  </si>
  <si>
    <t>ＩＯ推</t>
    <rPh sb="2" eb="3">
      <t>スイ</t>
    </rPh>
    <phoneticPr fontId="10"/>
  </si>
  <si>
    <t>IOWN Business Promotion Office</t>
    <phoneticPr fontId="10"/>
  </si>
  <si>
    <t>ビジネス戦略部門</t>
    <rPh sb="4" eb="8">
      <t>センリャクブモン</t>
    </rPh>
    <phoneticPr fontId="10"/>
  </si>
  <si>
    <t>グローバル戦略部門</t>
    <rPh sb="5" eb="9">
      <t>センリャクブモン</t>
    </rPh>
    <phoneticPr fontId="10"/>
  </si>
  <si>
    <t>営業推進部</t>
    <phoneticPr fontId="10"/>
  </si>
  <si>
    <t>営推部</t>
    <rPh sb="0" eb="3">
      <t>エイスイブ</t>
    </rPh>
    <phoneticPr fontId="10"/>
  </si>
  <si>
    <t>Sales Promotion Department</t>
    <phoneticPr fontId="10"/>
  </si>
  <si>
    <t>チャネル営業推進部門</t>
    <rPh sb="4" eb="6">
      <t>エイギョウ</t>
    </rPh>
    <rPh sb="6" eb="8">
      <t>スイシン</t>
    </rPh>
    <rPh sb="8" eb="10">
      <t>ブモン</t>
    </rPh>
    <phoneticPr fontId="20"/>
  </si>
  <si>
    <t>Channel Sales Promotion Section</t>
    <phoneticPr fontId="10"/>
  </si>
  <si>
    <t>マーケティング部門</t>
    <rPh sb="7" eb="9">
      <t>ブモン</t>
    </rPh>
    <phoneticPr fontId="20"/>
  </si>
  <si>
    <t>Marketing Section</t>
  </si>
  <si>
    <t>営業推進部門</t>
    <rPh sb="0" eb="2">
      <t>エイギョウ</t>
    </rPh>
    <rPh sb="2" eb="4">
      <t>スイシン</t>
    </rPh>
    <rPh sb="4" eb="6">
      <t>ブモン</t>
    </rPh>
    <phoneticPr fontId="10"/>
  </si>
  <si>
    <t>Sales Promotion Section</t>
  </si>
  <si>
    <t>企画総務部門</t>
    <rPh sb="2" eb="4">
      <t>ソウム</t>
    </rPh>
    <rPh sb="4" eb="6">
      <t>ブモン</t>
    </rPh>
    <phoneticPr fontId="10"/>
  </si>
  <si>
    <t>情報セキュリティ推進部</t>
    <rPh sb="0" eb="2">
      <t>ジョウホウ</t>
    </rPh>
    <rPh sb="8" eb="11">
      <t>スイシンブ</t>
    </rPh>
    <phoneticPr fontId="10"/>
  </si>
  <si>
    <t>情セ部</t>
  </si>
  <si>
    <t>Information Security Department</t>
  </si>
  <si>
    <t>デジタルトランスフォーメーション推進部</t>
    <phoneticPr fontId="10"/>
  </si>
  <si>
    <t>ＤＸ部</t>
    <phoneticPr fontId="10"/>
  </si>
  <si>
    <t>Digital Transformation Promotion Department</t>
    <phoneticPr fontId="10"/>
  </si>
  <si>
    <t>基幹システム部門</t>
    <phoneticPr fontId="10"/>
  </si>
  <si>
    <t>Enterprise System Section</t>
    <phoneticPr fontId="10"/>
  </si>
  <si>
    <t>業務アプリケーション部門</t>
    <rPh sb="0" eb="2">
      <t>ギョウム</t>
    </rPh>
    <rPh sb="10" eb="12">
      <t>ブモン</t>
    </rPh>
    <phoneticPr fontId="20"/>
  </si>
  <si>
    <t>Business Application Section</t>
    <phoneticPr fontId="10"/>
  </si>
  <si>
    <t>マネジメントシステム部門</t>
    <phoneticPr fontId="10"/>
  </si>
  <si>
    <t>Management System Section</t>
    <phoneticPr fontId="10"/>
  </si>
  <si>
    <t>環境対策推進室</t>
  </si>
  <si>
    <t>Environmental Protection Office</t>
    <phoneticPr fontId="10"/>
  </si>
  <si>
    <t>経企部</t>
  </si>
  <si>
    <t>Business Strategy Management Department</t>
    <phoneticPr fontId="10"/>
  </si>
  <si>
    <t>企画部門</t>
    <rPh sb="0" eb="2">
      <t>キカク</t>
    </rPh>
    <rPh sb="2" eb="4">
      <t>ブモン</t>
    </rPh>
    <phoneticPr fontId="20"/>
  </si>
  <si>
    <t>Planning Section</t>
  </si>
  <si>
    <t>経営推進部門</t>
    <rPh sb="0" eb="2">
      <t>ケイエイ</t>
    </rPh>
    <rPh sb="2" eb="4">
      <t>スイシン</t>
    </rPh>
    <phoneticPr fontId="20"/>
  </si>
  <si>
    <t>Business Management Section</t>
  </si>
  <si>
    <t>財務部門</t>
    <rPh sb="0" eb="4">
      <t>ザイムブモン</t>
    </rPh>
    <phoneticPr fontId="10"/>
  </si>
  <si>
    <t>Accounting and Finance Section</t>
    <phoneticPr fontId="10"/>
  </si>
  <si>
    <t>経営戦略部門</t>
    <rPh sb="0" eb="2">
      <t>ケイエイ</t>
    </rPh>
    <rPh sb="2" eb="4">
      <t>センリャク</t>
    </rPh>
    <rPh sb="4" eb="6">
      <t>ブモン</t>
    </rPh>
    <phoneticPr fontId="10"/>
  </si>
  <si>
    <t>関連企業推進部門</t>
  </si>
  <si>
    <t>Affiliated Companies Management Section</t>
  </si>
  <si>
    <t>コーポレート・コミュニケーション部門</t>
    <rPh sb="16" eb="17">
      <t>ブ</t>
    </rPh>
    <rPh sb="17" eb="18">
      <t>モン</t>
    </rPh>
    <phoneticPr fontId="20"/>
  </si>
  <si>
    <t>経ＣＣ</t>
  </si>
  <si>
    <t>Corporate Communications Section</t>
  </si>
  <si>
    <t>ＣＳ推進部門</t>
    <rPh sb="4" eb="6">
      <t>ブモン</t>
    </rPh>
    <phoneticPr fontId="20"/>
  </si>
  <si>
    <t>Customer Satisfaction Section</t>
  </si>
  <si>
    <t>技術輸出管理室</t>
    <phoneticPr fontId="10"/>
  </si>
  <si>
    <t>Technology Export Administration Office</t>
    <phoneticPr fontId="10"/>
  </si>
  <si>
    <t>知的財産推進室</t>
    <rPh sb="0" eb="4">
      <t>チテキザイサン</t>
    </rPh>
    <rPh sb="4" eb="7">
      <t>スイシンシツ</t>
    </rPh>
    <phoneticPr fontId="10"/>
  </si>
  <si>
    <t>Intellectual Property Office</t>
    <phoneticPr fontId="10"/>
  </si>
  <si>
    <t>総務部</t>
    <rPh sb="0" eb="2">
      <t>ソウム</t>
    </rPh>
    <rPh sb="2" eb="3">
      <t>ブ</t>
    </rPh>
    <phoneticPr fontId="10"/>
  </si>
  <si>
    <t>総務部</t>
  </si>
  <si>
    <t>General Affairs Department</t>
    <phoneticPr fontId="10"/>
  </si>
  <si>
    <t>総務部門</t>
    <rPh sb="0" eb="2">
      <t>ソウム</t>
    </rPh>
    <rPh sb="2" eb="4">
      <t>ブモン</t>
    </rPh>
    <phoneticPr fontId="20"/>
  </si>
  <si>
    <t>General Affairs Section</t>
    <phoneticPr fontId="10"/>
  </si>
  <si>
    <t>法務部門</t>
  </si>
  <si>
    <t>Legal Affairs Section</t>
    <phoneticPr fontId="10"/>
  </si>
  <si>
    <t>人権啓発室</t>
  </si>
  <si>
    <t>Human Rights Awareness Office</t>
  </si>
  <si>
    <t>企業倫理推進室</t>
  </si>
  <si>
    <t>Business Ethics Office</t>
    <phoneticPr fontId="10"/>
  </si>
  <si>
    <t>人事部</t>
    <phoneticPr fontId="10"/>
  </si>
  <si>
    <t>Human Resources Department</t>
  </si>
  <si>
    <t>タレントマネジメント推進室</t>
    <rPh sb="10" eb="12">
      <t>スイシン</t>
    </rPh>
    <rPh sb="12" eb="13">
      <t>シツ</t>
    </rPh>
    <phoneticPr fontId="10"/>
  </si>
  <si>
    <t>Talent Management Office</t>
    <phoneticPr fontId="10"/>
  </si>
  <si>
    <t>考査部</t>
    <rPh sb="0" eb="2">
      <t>コウサ</t>
    </rPh>
    <rPh sb="2" eb="3">
      <t>ブ</t>
    </rPh>
    <phoneticPr fontId="10"/>
  </si>
  <si>
    <t>考査部</t>
  </si>
  <si>
    <t>Internal Audit Department</t>
  </si>
  <si>
    <t>監査役室</t>
    <rPh sb="0" eb="3">
      <t>カンサヤク</t>
    </rPh>
    <rPh sb="3" eb="4">
      <t>シツ</t>
    </rPh>
    <phoneticPr fontId="10"/>
  </si>
  <si>
    <t>監査室</t>
  </si>
  <si>
    <t>Auditors Office</t>
    <phoneticPr fontId="10"/>
  </si>
  <si>
    <t>カラムの指定⇒</t>
    <rPh sb="4" eb="6">
      <t>シテイ</t>
    </rPh>
    <phoneticPr fontId="24"/>
  </si>
  <si>
    <t>件名</t>
    <rPh sb="0" eb="2">
      <t>ケンメイ</t>
    </rPh>
    <phoneticPr fontId="24"/>
  </si>
  <si>
    <t>仕向地</t>
    <rPh sb="0" eb="3">
      <t>シムケチ</t>
    </rPh>
    <phoneticPr fontId="24"/>
  </si>
  <si>
    <t>顧客・契約先</t>
    <rPh sb="0" eb="2">
      <t>コキャク</t>
    </rPh>
    <rPh sb="3" eb="6">
      <t>ケイヤクサキ</t>
    </rPh>
    <phoneticPr fontId="24"/>
  </si>
  <si>
    <t>最終需要者</t>
    <rPh sb="0" eb="2">
      <t>サイシュウ</t>
    </rPh>
    <rPh sb="2" eb="4">
      <t>ジュヨウ</t>
    </rPh>
    <rPh sb="4" eb="5">
      <t>シャ</t>
    </rPh>
    <phoneticPr fontId="24"/>
  </si>
  <si>
    <t>申請者所属</t>
    <phoneticPr fontId="24"/>
  </si>
  <si>
    <t>金額_円</t>
    <rPh sb="0" eb="2">
      <t>キンガク</t>
    </rPh>
    <rPh sb="3" eb="4">
      <t>エン</t>
    </rPh>
    <phoneticPr fontId="24"/>
  </si>
  <si>
    <t>特一包括</t>
    <rPh sb="0" eb="2">
      <t>トクイチ</t>
    </rPh>
    <rPh sb="2" eb="4">
      <t>ホウカツ</t>
    </rPh>
    <phoneticPr fontId="6"/>
  </si>
  <si>
    <t>品名</t>
    <rPh sb="0" eb="2">
      <t>ヒンメイ</t>
    </rPh>
    <phoneticPr fontId="24"/>
  </si>
  <si>
    <t>顧客</t>
    <rPh sb="0" eb="2">
      <t>コキャク</t>
    </rPh>
    <phoneticPr fontId="24"/>
  </si>
  <si>
    <t>需要者</t>
    <rPh sb="0" eb="3">
      <t>ジュヨウシャ</t>
    </rPh>
    <phoneticPr fontId="24"/>
  </si>
  <si>
    <t>本部</t>
    <rPh sb="0" eb="2">
      <t>ホンブ</t>
    </rPh>
    <phoneticPr fontId="24"/>
  </si>
  <si>
    <t>金額（千円）</t>
    <rPh sb="0" eb="2">
      <t>キンガク</t>
    </rPh>
    <rPh sb="3" eb="5">
      <t>センエン</t>
    </rPh>
    <phoneticPr fontId="24"/>
  </si>
  <si>
    <t>（BU）</t>
    <phoneticPr fontId="24"/>
  </si>
  <si>
    <t>（金額：円）</t>
    <rPh sb="1" eb="3">
      <t>キンガク</t>
    </rPh>
    <rPh sb="4" eb="5">
      <t>エン</t>
    </rPh>
    <phoneticPr fontId="24"/>
  </si>
  <si>
    <t>少額特例</t>
    <rPh sb="0" eb="2">
      <t>ショウガク</t>
    </rPh>
    <rPh sb="2" eb="4">
      <t>トクレイ</t>
    </rPh>
    <phoneticPr fontId="6"/>
  </si>
  <si>
    <t>公知特例</t>
    <rPh sb="0" eb="2">
      <t>コウチ</t>
    </rPh>
    <rPh sb="2" eb="4">
      <t>トクレイ</t>
    </rPh>
    <phoneticPr fontId="24"/>
  </si>
  <si>
    <t>申請相談</t>
    <rPh sb="0" eb="2">
      <t>シンセイ</t>
    </rPh>
    <rPh sb="2" eb="4">
      <t>ソウダン</t>
    </rPh>
    <phoneticPr fontId="6"/>
  </si>
  <si>
    <t>略称シート参照番号</t>
    <rPh sb="0" eb="2">
      <t>リャクショウ</t>
    </rPh>
    <rPh sb="5" eb="7">
      <t>サンショウ</t>
    </rPh>
    <rPh sb="7" eb="9">
      <t>バンゴウ</t>
    </rPh>
    <phoneticPr fontId="6"/>
  </si>
  <si>
    <t>略称シート列番号</t>
    <rPh sb="0" eb="2">
      <t>リャクショウ</t>
    </rPh>
    <rPh sb="5" eb="6">
      <t>サンレツ</t>
    </rPh>
    <rPh sb="6" eb="8">
      <t>バンゴウ</t>
    </rPh>
    <phoneticPr fontId="6"/>
  </si>
  <si>
    <t>列ANから</t>
    <rPh sb="0" eb="1">
      <t>レツ</t>
    </rPh>
    <phoneticPr fontId="6"/>
  </si>
  <si>
    <t>ＩＰＱ</t>
    <phoneticPr fontId="6"/>
  </si>
  <si>
    <t>ＩＰＲ</t>
    <phoneticPr fontId="6"/>
  </si>
  <si>
    <r>
      <t>ＶＣ</t>
    </r>
    <r>
      <rPr>
        <b/>
        <sz val="11"/>
        <rFont val="ＭＳ ゴシック"/>
        <family val="3"/>
        <charset val="128"/>
      </rPr>
      <t>本</t>
    </r>
    <phoneticPr fontId="6"/>
  </si>
  <si>
    <r>
      <t>西本</t>
    </r>
    <r>
      <rPr>
        <b/>
        <sz val="11"/>
        <rFont val="ＭＳ ゴシック"/>
        <family val="3"/>
        <charset val="128"/>
      </rPr>
      <t>部</t>
    </r>
    <phoneticPr fontId="6"/>
  </si>
  <si>
    <r>
      <t>ＧＢ</t>
    </r>
    <r>
      <rPr>
        <b/>
        <sz val="11"/>
        <rFont val="ＭＳ ゴシック"/>
        <family val="3"/>
        <charset val="128"/>
      </rPr>
      <t>本</t>
    </r>
    <phoneticPr fontId="6"/>
  </si>
  <si>
    <r>
      <t>セ事</t>
    </r>
    <r>
      <rPr>
        <b/>
        <sz val="11"/>
        <rFont val="ＭＳ ゴシック"/>
        <family val="3"/>
        <charset val="128"/>
      </rPr>
      <t>本</t>
    </r>
    <phoneticPr fontId="6"/>
  </si>
  <si>
    <r>
      <t>ＣＩ</t>
    </r>
    <r>
      <rPr>
        <b/>
        <sz val="11"/>
        <rFont val="ＭＳ ゴシック"/>
        <family val="3"/>
        <charset val="128"/>
      </rPr>
      <t>本</t>
    </r>
    <phoneticPr fontId="6"/>
  </si>
  <si>
    <r>
      <t>ＮＩ</t>
    </r>
    <r>
      <rPr>
        <b/>
        <sz val="11"/>
        <rFont val="ＭＳ ゴシック"/>
        <family val="3"/>
        <charset val="128"/>
      </rPr>
      <t>本</t>
    </r>
    <phoneticPr fontId="10"/>
  </si>
  <si>
    <r>
      <t>ＡＩ</t>
    </r>
    <r>
      <rPr>
        <b/>
        <sz val="11"/>
        <rFont val="ＭＳ ゴシック"/>
        <family val="3"/>
        <charset val="128"/>
      </rPr>
      <t>本</t>
    </r>
    <rPh sb="2" eb="3">
      <t>ホン</t>
    </rPh>
    <phoneticPr fontId="10"/>
  </si>
  <si>
    <r>
      <t>ＮＳ</t>
    </r>
    <r>
      <rPr>
        <b/>
        <sz val="11"/>
        <rFont val="ＭＳ ゴシック"/>
        <family val="3"/>
        <charset val="128"/>
      </rPr>
      <t>本</t>
    </r>
    <rPh sb="2" eb="3">
      <t>ホン</t>
    </rPh>
    <phoneticPr fontId="10"/>
  </si>
  <si>
    <r>
      <t>ＩＰ</t>
    </r>
    <r>
      <rPr>
        <b/>
        <sz val="11"/>
        <rFont val="ＭＳ ゴシック"/>
        <family val="3"/>
        <charset val="128"/>
      </rPr>
      <t>Ｃ</t>
    </r>
    <phoneticPr fontId="10"/>
  </si>
  <si>
    <r>
      <t>ＮＰ</t>
    </r>
    <r>
      <rPr>
        <b/>
        <sz val="11"/>
        <rFont val="ＭＳ ゴシック"/>
        <family val="3"/>
        <charset val="128"/>
      </rPr>
      <t>Ｃ</t>
    </r>
    <phoneticPr fontId="10"/>
  </si>
  <si>
    <r>
      <t>ＲＤ</t>
    </r>
    <r>
      <rPr>
        <b/>
        <sz val="11"/>
        <rFont val="ＭＳ ゴシック"/>
        <family val="3"/>
        <charset val="128"/>
      </rPr>
      <t>Ｃ</t>
    </r>
    <phoneticPr fontId="10"/>
  </si>
  <si>
    <r>
      <t>２０</t>
    </r>
    <r>
      <rPr>
        <b/>
        <sz val="11"/>
        <rFont val="ＭＳ ゴシック"/>
        <family val="3"/>
        <charset val="128"/>
      </rPr>
      <t>推</t>
    </r>
    <rPh sb="2" eb="3">
      <t>スイ</t>
    </rPh>
    <phoneticPr fontId="10"/>
  </si>
  <si>
    <r>
      <t>ＩＯ</t>
    </r>
    <r>
      <rPr>
        <b/>
        <sz val="11"/>
        <rFont val="ＭＳ ゴシック"/>
        <family val="3"/>
        <charset val="128"/>
      </rPr>
      <t>推</t>
    </r>
    <rPh sb="2" eb="3">
      <t>スイ</t>
    </rPh>
    <phoneticPr fontId="10"/>
  </si>
  <si>
    <r>
      <t>営推</t>
    </r>
    <r>
      <rPr>
        <b/>
        <sz val="11"/>
        <rFont val="ＭＳ ゴシック"/>
        <family val="3"/>
        <charset val="128"/>
      </rPr>
      <t>部</t>
    </r>
    <rPh sb="0" eb="3">
      <t>エイスイブ</t>
    </rPh>
    <phoneticPr fontId="10"/>
  </si>
  <si>
    <r>
      <t>情セ</t>
    </r>
    <r>
      <rPr>
        <b/>
        <sz val="11"/>
        <rFont val="ＭＳ ゴシック"/>
        <family val="3"/>
        <charset val="128"/>
      </rPr>
      <t>部</t>
    </r>
    <phoneticPr fontId="6"/>
  </si>
  <si>
    <r>
      <t>ＤＸ</t>
    </r>
    <r>
      <rPr>
        <b/>
        <sz val="11"/>
        <rFont val="ＭＳ ゴシック"/>
        <family val="3"/>
        <charset val="128"/>
      </rPr>
      <t>部</t>
    </r>
    <phoneticPr fontId="10"/>
  </si>
  <si>
    <r>
      <t>経企</t>
    </r>
    <r>
      <rPr>
        <b/>
        <sz val="11"/>
        <rFont val="ＭＳ ゴシック"/>
        <family val="3"/>
        <charset val="128"/>
      </rPr>
      <t>部</t>
    </r>
    <phoneticPr fontId="6"/>
  </si>
  <si>
    <r>
      <rPr>
        <b/>
        <sz val="11"/>
        <rFont val="ＭＳ ゴシック"/>
        <family val="3"/>
        <charset val="128"/>
      </rPr>
      <t>経Ｃ</t>
    </r>
    <r>
      <rPr>
        <u/>
        <sz val="11"/>
        <rFont val="ＭＳ ゴシック"/>
        <family val="3"/>
        <charset val="128"/>
      </rPr>
      <t>Ｃ</t>
    </r>
    <phoneticPr fontId="6"/>
  </si>
  <si>
    <r>
      <t>総務</t>
    </r>
    <r>
      <rPr>
        <b/>
        <sz val="11"/>
        <rFont val="ＭＳ ゴシック"/>
        <family val="3"/>
        <charset val="128"/>
      </rPr>
      <t>部</t>
    </r>
    <phoneticPr fontId="6"/>
  </si>
  <si>
    <r>
      <t>人事</t>
    </r>
    <r>
      <rPr>
        <b/>
        <sz val="11"/>
        <rFont val="ＭＳ ゴシック"/>
        <family val="3"/>
        <charset val="128"/>
      </rPr>
      <t>部</t>
    </r>
    <phoneticPr fontId="6"/>
  </si>
  <si>
    <r>
      <t>考査</t>
    </r>
    <r>
      <rPr>
        <b/>
        <sz val="11"/>
        <rFont val="ＭＳ ゴシック"/>
        <family val="3"/>
        <charset val="128"/>
      </rPr>
      <t>部</t>
    </r>
    <phoneticPr fontId="6"/>
  </si>
  <si>
    <r>
      <t>監査</t>
    </r>
    <r>
      <rPr>
        <b/>
        <sz val="11"/>
        <rFont val="ＭＳ ゴシック"/>
        <family val="3"/>
        <charset val="128"/>
      </rPr>
      <t>室</t>
    </r>
    <phoneticPr fontId="6"/>
  </si>
  <si>
    <t>ＩＰＣ</t>
    <phoneticPr fontId="6"/>
  </si>
  <si>
    <t>本部組織</t>
    <rPh sb="0" eb="2">
      <t>ホンブ</t>
    </rPh>
    <rPh sb="2" eb="4">
      <t>ソシキ</t>
    </rPh>
    <phoneticPr fontId="6"/>
  </si>
  <si>
    <t>別名</t>
    <rPh sb="0" eb="2">
      <t>ベツメイ</t>
    </rPh>
    <phoneticPr fontId="6"/>
  </si>
  <si>
    <t>回数</t>
    <rPh sb="0" eb="2">
      <t>カイスウ</t>
    </rPh>
    <phoneticPr fontId="6"/>
  </si>
  <si>
    <t>集計名</t>
    <rPh sb="0" eb="2">
      <t>シュウケイ</t>
    </rPh>
    <rPh sb="2" eb="3">
      <t>メイ</t>
    </rPh>
    <phoneticPr fontId="6"/>
  </si>
  <si>
    <t>別名→</t>
    <rPh sb="0" eb="2">
      <t>ベツメイ</t>
    </rPh>
    <phoneticPr fontId="6"/>
  </si>
  <si>
    <t>集計期間</t>
    <rPh sb="0" eb="2">
      <t>シュウケイ</t>
    </rPh>
    <rPh sb="2" eb="4">
      <t>キカン</t>
    </rPh>
    <phoneticPr fontId="6"/>
  </si>
  <si>
    <t>年間登録</t>
    <rPh sb="0" eb="4">
      <t>ネンカントウロク</t>
    </rPh>
    <phoneticPr fontId="6"/>
  </si>
  <si>
    <t>組織</t>
    <rPh sb="0" eb="2">
      <t>ソシキ</t>
    </rPh>
    <phoneticPr fontId="6"/>
  </si>
  <si>
    <t>▼集計名《組織》初期化</t>
    <rPh sb="1" eb="3">
      <t>シュウケイ</t>
    </rPh>
    <rPh sb="3" eb="4">
      <t>メイ</t>
    </rPh>
    <rPh sb="5" eb="7">
      <t>ソシキ</t>
    </rPh>
    <rPh sb="8" eb="11">
      <t>ショキカ</t>
    </rPh>
    <phoneticPr fontId="6"/>
  </si>
  <si>
    <t>名前の定義</t>
    <rPh sb="0" eb="2">
      <t>ナマエ</t>
    </rPh>
    <rPh sb="3" eb="5">
      <t>テイギ</t>
    </rPh>
    <phoneticPr fontId="6"/>
  </si>
  <si>
    <t>承認記録</t>
    <rPh sb="0" eb="2">
      <t>ショウニン</t>
    </rPh>
    <rPh sb="2" eb="4">
      <t>キロク</t>
    </rPh>
    <phoneticPr fontId="6"/>
  </si>
  <si>
    <t>取引区分</t>
    <rPh sb="0" eb="2">
      <t>トリヒキ</t>
    </rPh>
    <rPh sb="2" eb="4">
      <t>クブン</t>
    </rPh>
    <phoneticPr fontId="6"/>
  </si>
  <si>
    <t>個別審査</t>
    <rPh sb="0" eb="2">
      <t>コベツ</t>
    </rPh>
    <rPh sb="2" eb="4">
      <t>シンサ</t>
    </rPh>
    <phoneticPr fontId="6"/>
  </si>
  <si>
    <t>組織集計</t>
    <rPh sb="0" eb="2">
      <t>ソシキ</t>
    </rPh>
    <rPh sb="2" eb="4">
      <t>シュウケイ</t>
    </rPh>
    <phoneticPr fontId="6"/>
  </si>
  <si>
    <t>集計状況</t>
    <rPh sb="0" eb="2">
      <t>シュウケイ</t>
    </rPh>
    <rPh sb="2" eb="4">
      <t>ジョウキョウ</t>
    </rPh>
    <phoneticPr fontId="6"/>
  </si>
  <si>
    <t>集計名例外解決</t>
    <rPh sb="0" eb="2">
      <t>シュウケイ</t>
    </rPh>
    <rPh sb="2" eb="3">
      <t>メイ</t>
    </rPh>
    <rPh sb="3" eb="5">
      <t>レイガイ</t>
    </rPh>
    <rPh sb="5" eb="7">
      <t>カイケツ</t>
    </rPh>
    <phoneticPr fontId="6"/>
  </si>
  <si>
    <t>▼集計実施</t>
    <rPh sb="1" eb="3">
      <t>シュウケイ</t>
    </rPh>
    <rPh sb="3" eb="5">
      <t>ジッシ</t>
    </rPh>
    <phoneticPr fontId="6"/>
  </si>
  <si>
    <t>期間の審査件数</t>
    <rPh sb="0" eb="2">
      <t>キカン</t>
    </rPh>
    <rPh sb="3" eb="5">
      <t>シンサ</t>
    </rPh>
    <rPh sb="5" eb="7">
      <t>ケンスウ</t>
    </rPh>
    <phoneticPr fontId="6"/>
  </si>
  <si>
    <t>包括許可適用件数</t>
    <rPh sb="0" eb="2">
      <t>ホウカツ</t>
    </rPh>
    <rPh sb="2" eb="4">
      <t>キョカ</t>
    </rPh>
    <rPh sb="4" eb="6">
      <t>テキヨウ</t>
    </rPh>
    <rPh sb="6" eb="8">
      <t>ケンスウ</t>
    </rPh>
    <phoneticPr fontId="6"/>
  </si>
  <si>
    <t>少額特例適用件数</t>
    <rPh sb="0" eb="2">
      <t>ショウガク</t>
    </rPh>
    <rPh sb="2" eb="4">
      <t>トクレイ</t>
    </rPh>
    <rPh sb="4" eb="6">
      <t>テキヨウ</t>
    </rPh>
    <rPh sb="6" eb="8">
      <t>ケンスウ</t>
    </rPh>
    <phoneticPr fontId="6"/>
  </si>
  <si>
    <t>公知特例適用件数</t>
    <rPh sb="0" eb="2">
      <t>コウチ</t>
    </rPh>
    <rPh sb="2" eb="4">
      <t>トクレイ</t>
    </rPh>
    <rPh sb="4" eb="6">
      <t>テキヨウ</t>
    </rPh>
    <rPh sb="6" eb="8">
      <t>ケンスウ</t>
    </rPh>
    <phoneticPr fontId="6"/>
  </si>
  <si>
    <t>該当国内取引件数</t>
    <rPh sb="0" eb="2">
      <t>ガイトウ</t>
    </rPh>
    <rPh sb="2" eb="4">
      <t>コクナイ</t>
    </rPh>
    <rPh sb="4" eb="6">
      <t>トリヒキ</t>
    </rPh>
    <rPh sb="6" eb="8">
      <t>ケンスウ</t>
    </rPh>
    <phoneticPr fontId="6"/>
  </si>
  <si>
    <t>取引区分集計</t>
    <rPh sb="0" eb="2">
      <t>トリヒキ</t>
    </rPh>
    <rPh sb="2" eb="4">
      <t>クブン</t>
    </rPh>
    <rPh sb="4" eb="6">
      <t>シュウケイ</t>
    </rPh>
    <phoneticPr fontId="6"/>
  </si>
  <si>
    <t>仕向地集計</t>
    <rPh sb="0" eb="3">
      <t>シムケチ</t>
    </rPh>
    <rPh sb="3" eb="5">
      <t>シュウケイ</t>
    </rPh>
    <phoneticPr fontId="6"/>
  </si>
  <si>
    <t>仕向地集計（トップ）</t>
    <rPh sb="0" eb="3">
      <t>シムケチ</t>
    </rPh>
    <phoneticPr fontId="6"/>
  </si>
  <si>
    <t>仕向地集計（トップ）</t>
    <rPh sb="0" eb="3">
      <t>シムケチ</t>
    </rPh>
    <rPh sb="3" eb="5">
      <t>シュウケイ</t>
    </rPh>
    <phoneticPr fontId="6"/>
  </si>
  <si>
    <t>順位</t>
    <rPh sb="0" eb="2">
      <t>ジュンイ</t>
    </rPh>
    <phoneticPr fontId="6"/>
  </si>
  <si>
    <t>該当取引</t>
    <rPh sb="0" eb="2">
      <t>ガイトウ</t>
    </rPh>
    <rPh sb="2" eb="4">
      <t>トリヒキ</t>
    </rPh>
    <phoneticPr fontId="6"/>
  </si>
  <si>
    <t>公知特例</t>
    <rPh sb="0" eb="2">
      <t>コウチ</t>
    </rPh>
    <rPh sb="2" eb="4">
      <t>トクレイ</t>
    </rPh>
    <phoneticPr fontId="6"/>
  </si>
  <si>
    <t>該当国内</t>
    <rPh sb="0" eb="2">
      <t>ガイトウ</t>
    </rPh>
    <rPh sb="2" eb="4">
      <t>コクナイ</t>
    </rPh>
    <phoneticPr fontId="6"/>
  </si>
  <si>
    <t>金額</t>
    <rPh sb="0" eb="2">
      <t>キンガク</t>
    </rPh>
    <phoneticPr fontId="6"/>
  </si>
  <si>
    <t>組織集計（非ゼロ）</t>
    <rPh sb="0" eb="2">
      <t>ソシキ</t>
    </rPh>
    <rPh sb="2" eb="4">
      <t>シュウケイ</t>
    </rPh>
    <rPh sb="5" eb="6">
      <t>ヒ</t>
    </rPh>
    <phoneticPr fontId="6"/>
  </si>
  <si>
    <t>非ゼロ</t>
    <rPh sb="0" eb="1">
      <t>ヒ</t>
    </rPh>
    <phoneticPr fontId="6"/>
  </si>
  <si>
    <t>ＶＣ本</t>
    <phoneticPr fontId="6"/>
  </si>
  <si>
    <t>Range_組織辞書</t>
    <rPh sb="6" eb="8">
      <t>ソシキ</t>
    </rPh>
    <rPh sb="8" eb="10">
      <t>ジショ</t>
    </rPh>
    <phoneticPr fontId="6"/>
  </si>
  <si>
    <t>ＶＣ本</t>
  </si>
  <si>
    <t>ＶＲ三</t>
  </si>
  <si>
    <t>西ＢＩ</t>
  </si>
  <si>
    <t>西地創</t>
  </si>
  <si>
    <t>Ｇ星国</t>
  </si>
  <si>
    <t>セ事サ</t>
  </si>
  <si>
    <t>セ事プ</t>
  </si>
  <si>
    <t>セ事企</t>
  </si>
  <si>
    <t>ＣＩＢ</t>
  </si>
  <si>
    <t>ＮＩ本</t>
  </si>
  <si>
    <t>ＮＩビ</t>
  </si>
  <si>
    <t>ＮＩＩ</t>
  </si>
  <si>
    <t>ＮＩサ</t>
  </si>
  <si>
    <t>ＮＩア</t>
  </si>
  <si>
    <t>ＮＩ企</t>
  </si>
  <si>
    <t>ＡＩ本</t>
  </si>
  <si>
    <t>ＡＩＳ</t>
  </si>
  <si>
    <t>ＡＩＩ</t>
  </si>
  <si>
    <t>ＡＩＡ</t>
  </si>
  <si>
    <t>ＡＩ企</t>
  </si>
  <si>
    <t>ＮＳ本</t>
  </si>
  <si>
    <t>ＮＳＳ</t>
  </si>
  <si>
    <t>ＮＳ企</t>
  </si>
  <si>
    <t>ＩＰＣ</t>
  </si>
  <si>
    <t>ＩＰＭ</t>
  </si>
  <si>
    <t>ＩＰＬ</t>
  </si>
  <si>
    <t>ＩＰ企</t>
  </si>
  <si>
    <t>ＮＰＣ</t>
  </si>
  <si>
    <t>ＮＰＬ</t>
  </si>
  <si>
    <t>ＮＰ企</t>
  </si>
  <si>
    <t>ＲＤＣ</t>
  </si>
  <si>
    <t>ＲＤＭ</t>
  </si>
  <si>
    <t>ＲＤＤ</t>
  </si>
  <si>
    <t>ＲＤＲ</t>
  </si>
  <si>
    <t>ＲＤＷ</t>
  </si>
  <si>
    <t>ＲＤ企</t>
  </si>
  <si>
    <t>２０推</t>
  </si>
  <si>
    <t>ＩＯ推</t>
  </si>
  <si>
    <t>ＩＯビ</t>
  </si>
  <si>
    <t>ＩＯＧ</t>
  </si>
  <si>
    <t>ＩＯ企</t>
  </si>
  <si>
    <t>営推部</t>
  </si>
  <si>
    <t>営推チ</t>
  </si>
  <si>
    <t>ＤＸ部</t>
  </si>
  <si>
    <t>Ｄ基幹</t>
  </si>
  <si>
    <t>ＤＡＰ</t>
  </si>
  <si>
    <t>ＤＭＳ</t>
  </si>
  <si>
    <t>Ｄ環境</t>
  </si>
  <si>
    <t>経財務</t>
  </si>
  <si>
    <t>経輸出</t>
  </si>
  <si>
    <t>経知財</t>
  </si>
  <si>
    <t>人ＴＭ</t>
  </si>
  <si>
    <t>アイルランド</t>
  </si>
  <si>
    <t>アメリカ合衆国</t>
  </si>
  <si>
    <t>アメリカ</t>
  </si>
  <si>
    <t>合衆国</t>
  </si>
  <si>
    <t>アルゼンチン</t>
  </si>
  <si>
    <t>イタリヤ</t>
  </si>
  <si>
    <t>英国</t>
  </si>
  <si>
    <t>オーストラリヤ</t>
  </si>
  <si>
    <t>オーストリア</t>
  </si>
  <si>
    <t>オーストリヤ</t>
  </si>
  <si>
    <t>蘭国</t>
  </si>
  <si>
    <t>欄国</t>
  </si>
  <si>
    <t>ネーデルランド</t>
  </si>
  <si>
    <t>ギリシャ</t>
  </si>
  <si>
    <t>スウェーデン</t>
  </si>
  <si>
    <t>スエーデン</t>
  </si>
  <si>
    <t>スゥエーデン</t>
  </si>
  <si>
    <t>スウエーデン</t>
  </si>
  <si>
    <t>大韓民国</t>
  </si>
  <si>
    <t>デンマーク</t>
  </si>
  <si>
    <t>ニュージーランド</t>
  </si>
  <si>
    <t>ノルウエー</t>
  </si>
  <si>
    <t>ノルウエイ</t>
  </si>
  <si>
    <t>ノルウェイ</t>
  </si>
  <si>
    <t>ハンガリヤ</t>
  </si>
  <si>
    <t>フインランド</t>
  </si>
  <si>
    <t>ブルガリア</t>
  </si>
  <si>
    <t>ブルガリヤ</t>
  </si>
  <si>
    <t>ベルギー</t>
  </si>
  <si>
    <t>ポルトガル</t>
  </si>
  <si>
    <t>ルクセンブルク</t>
  </si>
  <si>
    <t>ルクセンブルグ</t>
  </si>
  <si>
    <t>ウクライナ</t>
  </si>
  <si>
    <t>エストニア</t>
  </si>
  <si>
    <t>エストニヤ</t>
  </si>
  <si>
    <t>カザフスタン</t>
  </si>
  <si>
    <t>キプロス</t>
  </si>
  <si>
    <t>スロバキア</t>
  </si>
  <si>
    <t>スロバキヤ</t>
  </si>
  <si>
    <t>スロベニア</t>
  </si>
  <si>
    <t>スロベニヤ</t>
  </si>
  <si>
    <t>トルコ</t>
  </si>
  <si>
    <t>ベラルーシ</t>
  </si>
  <si>
    <t>マルタ</t>
  </si>
  <si>
    <t>南アフリカ</t>
  </si>
  <si>
    <t>ラトビヤ</t>
  </si>
  <si>
    <t>リトアニア</t>
  </si>
  <si>
    <t>リトアニヤ</t>
  </si>
  <si>
    <t>ルーマニア</t>
  </si>
  <si>
    <t>ルーマニヤ</t>
  </si>
  <si>
    <t>アイスランド</t>
  </si>
  <si>
    <t>アゼルバイジャン</t>
  </si>
  <si>
    <t>アフガニスタン</t>
  </si>
  <si>
    <t>アラブ首長国連邦</t>
  </si>
  <si>
    <t>アラブ首長国</t>
  </si>
  <si>
    <t>アラブ首長国連合</t>
  </si>
  <si>
    <t>アラブ</t>
  </si>
  <si>
    <t>UAE</t>
  </si>
  <si>
    <t>U.A.E.</t>
  </si>
  <si>
    <t>アルジェリア</t>
  </si>
  <si>
    <t>アルジェリヤ</t>
  </si>
  <si>
    <t>アルバニア</t>
  </si>
  <si>
    <t>アルバニヤ</t>
  </si>
  <si>
    <t>アルメニア</t>
  </si>
  <si>
    <t>アルメニヤ</t>
  </si>
  <si>
    <t>アンゴラ</t>
  </si>
  <si>
    <t>アンティグア・バーブーダ</t>
  </si>
  <si>
    <t>アンドラ</t>
  </si>
  <si>
    <t>イエメン</t>
  </si>
  <si>
    <t>イラク</t>
  </si>
  <si>
    <t>イラン</t>
  </si>
  <si>
    <t>インドネシア</t>
  </si>
  <si>
    <t>インドネシヤ</t>
  </si>
  <si>
    <t>ウガンダ</t>
  </si>
  <si>
    <t>ウズベキスタン</t>
  </si>
  <si>
    <t>ウルグアイ</t>
  </si>
  <si>
    <t>エクアドル</t>
  </si>
  <si>
    <t>エチオピア</t>
  </si>
  <si>
    <t>エチオピヤ</t>
  </si>
  <si>
    <t>エリトリア</t>
  </si>
  <si>
    <t>エリトリヤ</t>
  </si>
  <si>
    <t>エルサルバドル</t>
  </si>
  <si>
    <t>オマーン</t>
  </si>
  <si>
    <t>ガーナ</t>
  </si>
  <si>
    <t>カーボヴェルデ</t>
  </si>
  <si>
    <t>ガイアナ</t>
  </si>
  <si>
    <t>カタール</t>
  </si>
  <si>
    <t>ガボン</t>
  </si>
  <si>
    <t>カメルーン</t>
  </si>
  <si>
    <t>ガンビア</t>
  </si>
  <si>
    <t>ガンビヤ</t>
  </si>
  <si>
    <t>カンボジア</t>
  </si>
  <si>
    <t>カンボジヤ</t>
  </si>
  <si>
    <t>北朝鮮</t>
  </si>
  <si>
    <t>朝鮮民主主義人民共和国</t>
  </si>
  <si>
    <t>ギニア</t>
  </si>
  <si>
    <t>ギニヤ</t>
  </si>
  <si>
    <t>ギニアビサウ</t>
  </si>
  <si>
    <t>ギニヤビサウ</t>
  </si>
  <si>
    <t>キューバ</t>
  </si>
  <si>
    <t>キリバス</t>
  </si>
  <si>
    <t>キルギス</t>
  </si>
  <si>
    <t>グアテマラ</t>
  </si>
  <si>
    <t>クウェート</t>
  </si>
  <si>
    <t>クエート</t>
  </si>
  <si>
    <t>クック諸島</t>
  </si>
  <si>
    <t>クック</t>
  </si>
  <si>
    <t>グレナダ</t>
  </si>
  <si>
    <t>クロアチア</t>
  </si>
  <si>
    <t>クロアチヤ</t>
  </si>
  <si>
    <t>ケニア</t>
  </si>
  <si>
    <t>ケニヤ</t>
  </si>
  <si>
    <t>コートジボワール</t>
  </si>
  <si>
    <t>コートディヴォワール</t>
  </si>
  <si>
    <t>コートジボワール共和国</t>
  </si>
  <si>
    <t>コートディヴォワール共和国</t>
  </si>
  <si>
    <t>象牙海岸共和国</t>
  </si>
  <si>
    <t>コスタリカ</t>
  </si>
  <si>
    <t>コソボ</t>
  </si>
  <si>
    <t>コモロ</t>
  </si>
  <si>
    <t>コロンビア</t>
  </si>
  <si>
    <t>コロンビヤ</t>
  </si>
  <si>
    <t>コンゴ共和国</t>
  </si>
  <si>
    <t>コンゴ</t>
  </si>
  <si>
    <t>コンゴ民主共和国</t>
  </si>
  <si>
    <t>コンゴ民主</t>
  </si>
  <si>
    <t>サウジアラビア</t>
  </si>
  <si>
    <t>サウジ</t>
  </si>
  <si>
    <t>アラビア</t>
  </si>
  <si>
    <t>サウジアラビヤ</t>
  </si>
  <si>
    <t>アラビヤ</t>
  </si>
  <si>
    <t>サモア</t>
  </si>
  <si>
    <t>サントメ・プリンシペ</t>
  </si>
  <si>
    <t>ザンビア</t>
  </si>
  <si>
    <t>ザンビヤ</t>
  </si>
  <si>
    <t>サンマリノ</t>
  </si>
  <si>
    <t>シエラレオネ</t>
  </si>
  <si>
    <t>ジブチ</t>
  </si>
  <si>
    <t>ジャマイカ</t>
  </si>
  <si>
    <t>ジョージア</t>
  </si>
  <si>
    <t>グルジア</t>
  </si>
  <si>
    <t>ジョージヤ</t>
  </si>
  <si>
    <t>グルジヤ</t>
  </si>
  <si>
    <t>シリア</t>
  </si>
  <si>
    <t>シリヤ</t>
  </si>
  <si>
    <t>ジンバブエ</t>
  </si>
  <si>
    <t>スーダン</t>
  </si>
  <si>
    <t>スリナム</t>
  </si>
  <si>
    <t>スリランカ</t>
  </si>
  <si>
    <t>スワジランド</t>
  </si>
  <si>
    <t>エスワティニ王国</t>
  </si>
  <si>
    <t>エスワティニ</t>
  </si>
  <si>
    <t>スワジランド王国</t>
  </si>
  <si>
    <t>セーシェル</t>
  </si>
  <si>
    <t>セイシェル</t>
  </si>
  <si>
    <t>セィシェル</t>
  </si>
  <si>
    <t>セイシェル諸島</t>
  </si>
  <si>
    <t>赤道ギニア</t>
  </si>
  <si>
    <t>セネガル</t>
  </si>
  <si>
    <t>セルビア</t>
  </si>
  <si>
    <t>セルビヤ</t>
  </si>
  <si>
    <t>セントクリストファー・ネーヴィス</t>
  </si>
  <si>
    <t>セントビンセント及びグレナディーン諸島</t>
  </si>
  <si>
    <t>セントルシア</t>
  </si>
  <si>
    <t>ソマリア</t>
  </si>
  <si>
    <t>ソマリヤ</t>
  </si>
  <si>
    <t>ソロモン諸島</t>
  </si>
  <si>
    <t>ソロモン</t>
  </si>
  <si>
    <t>中華民国</t>
  </si>
  <si>
    <t>タジキスタン</t>
  </si>
  <si>
    <t>タンザニア</t>
  </si>
  <si>
    <t>タンザニヤ</t>
  </si>
  <si>
    <t>チャド</t>
  </si>
  <si>
    <t>中央アフリカ</t>
  </si>
  <si>
    <t>チュニジア</t>
  </si>
  <si>
    <t>チュニジヤ</t>
  </si>
  <si>
    <t>ツバル</t>
  </si>
  <si>
    <t>トーゴ</t>
  </si>
  <si>
    <t>ドミニカ</t>
  </si>
  <si>
    <t>ドミニカ共和国</t>
  </si>
  <si>
    <t>トリニダード・トバゴ</t>
  </si>
  <si>
    <t>トルクメニスタン</t>
  </si>
  <si>
    <t>トンガ</t>
  </si>
  <si>
    <t>ナイジェリア</t>
  </si>
  <si>
    <t>ナイジェリヤ</t>
  </si>
  <si>
    <t>ナウル</t>
  </si>
  <si>
    <t>ナミビア</t>
  </si>
  <si>
    <t>ナミビヤ</t>
  </si>
  <si>
    <t>ニウエ</t>
  </si>
  <si>
    <t>ニカラグア</t>
  </si>
  <si>
    <t>ニカラグァ</t>
  </si>
  <si>
    <t>ニジェール</t>
  </si>
  <si>
    <t>ニジェイル</t>
  </si>
  <si>
    <t>ニジェィル</t>
  </si>
  <si>
    <t>ニジエイル</t>
  </si>
  <si>
    <t>ネパール</t>
  </si>
  <si>
    <t>バーレーン</t>
  </si>
  <si>
    <t>ハイチ</t>
  </si>
  <si>
    <t>パキスタン</t>
  </si>
  <si>
    <t>バチカン</t>
  </si>
  <si>
    <t>パナマ</t>
  </si>
  <si>
    <t>バヌアツ</t>
  </si>
  <si>
    <t>バハマ</t>
  </si>
  <si>
    <t>パプアニューギニア</t>
  </si>
  <si>
    <t>パプアニューギニヤ</t>
  </si>
  <si>
    <t>パラオ</t>
  </si>
  <si>
    <t>パラグアイ</t>
  </si>
  <si>
    <t>バルバドス</t>
  </si>
  <si>
    <t>バングラデシュ</t>
  </si>
  <si>
    <t>バングラディシュ</t>
  </si>
  <si>
    <t>バングラディッシュ</t>
  </si>
  <si>
    <t>東ティモール</t>
  </si>
  <si>
    <t>東チモール</t>
  </si>
  <si>
    <t>ティモール</t>
  </si>
  <si>
    <t>チモール</t>
  </si>
  <si>
    <t>フィジー</t>
  </si>
  <si>
    <t>フィリピン</t>
  </si>
  <si>
    <t>ブータン</t>
  </si>
  <si>
    <t>ブルキナファソ</t>
  </si>
  <si>
    <t>ブルネイ</t>
  </si>
  <si>
    <t>ブルネィ</t>
  </si>
  <si>
    <t>ブルンジ</t>
  </si>
  <si>
    <t>ヴェトナム</t>
  </si>
  <si>
    <t>ヴエトナム</t>
  </si>
  <si>
    <t>ベナン</t>
  </si>
  <si>
    <t>ベネズエラ</t>
  </si>
  <si>
    <t>ベリーズ</t>
  </si>
  <si>
    <t>ペルー</t>
  </si>
  <si>
    <t>ボスニア・ヘルツェゴビナ</t>
  </si>
  <si>
    <t>ボスニア</t>
  </si>
  <si>
    <t>ヘルツェゴビナ</t>
  </si>
  <si>
    <t>ヘルチェゴビナ</t>
  </si>
  <si>
    <t>ボスニヤ</t>
  </si>
  <si>
    <t>ヘルツェゴヴィナ</t>
  </si>
  <si>
    <t>ボツワナ</t>
  </si>
  <si>
    <t>ボリビア</t>
  </si>
  <si>
    <t>ボリビヤ</t>
  </si>
  <si>
    <t>ホンジュラス</t>
  </si>
  <si>
    <t>マーシャル諸島</t>
  </si>
  <si>
    <t>マーシャル</t>
  </si>
  <si>
    <t>マカオ</t>
  </si>
  <si>
    <t>マケドニア旧ユーゴスラビア共和国</t>
  </si>
  <si>
    <t>マケドニア</t>
  </si>
  <si>
    <t>ユーゴスラビア</t>
  </si>
  <si>
    <t>ユーゴスラビヤ</t>
  </si>
  <si>
    <t>マダガスカル</t>
  </si>
  <si>
    <t>マラウイ</t>
  </si>
  <si>
    <t>マラウィ</t>
  </si>
  <si>
    <t>マリ</t>
  </si>
  <si>
    <t>マレーシヤ</t>
  </si>
  <si>
    <t>ミクロネシア</t>
  </si>
  <si>
    <t>ミクロネシヤ</t>
  </si>
  <si>
    <t>南スーダン</t>
  </si>
  <si>
    <t>ビルマ</t>
  </si>
  <si>
    <t>モーリシャス</t>
  </si>
  <si>
    <t>モーリタニア</t>
  </si>
  <si>
    <t>モザンビーク</t>
  </si>
  <si>
    <t>モナコ</t>
  </si>
  <si>
    <t>モルディブ</t>
  </si>
  <si>
    <t>モルドバ</t>
  </si>
  <si>
    <t>モロッコ</t>
  </si>
  <si>
    <t>モンゴル</t>
  </si>
  <si>
    <t>モンテネグロ</t>
  </si>
  <si>
    <t>ヨルダン</t>
  </si>
  <si>
    <t>ラオス</t>
  </si>
  <si>
    <t>リビア</t>
  </si>
  <si>
    <t>リビヤ</t>
  </si>
  <si>
    <t>リヒテンシュタイン</t>
  </si>
  <si>
    <t>リベリア</t>
  </si>
  <si>
    <t>リベリヤ</t>
  </si>
  <si>
    <t>ルワンダ</t>
  </si>
  <si>
    <t>レソト</t>
  </si>
  <si>
    <t>レバノン</t>
  </si>
  <si>
    <t>ロシヤ</t>
  </si>
  <si>
    <t>組織集計＿非ゼロ</t>
    <rPh sb="0" eb="2">
      <t>ソシキ</t>
    </rPh>
    <rPh sb="2" eb="4">
      <t>シュウケイ</t>
    </rPh>
    <rPh sb="5" eb="6">
      <t>ヒ</t>
    </rPh>
    <phoneticPr fontId="6"/>
  </si>
  <si>
    <t>あ務部</t>
  </si>
  <si>
    <t>あ務部</t>
    <phoneticPr fontId="6"/>
  </si>
  <si>
    <t>あ総務</t>
  </si>
  <si>
    <t>あ総務</t>
    <phoneticPr fontId="6"/>
  </si>
  <si>
    <t>あ法務</t>
  </si>
  <si>
    <t>あ法務</t>
    <phoneticPr fontId="6"/>
  </si>
  <si>
    <t>あ啓発</t>
  </si>
  <si>
    <t>あ啓発</t>
    <phoneticPr fontId="6"/>
  </si>
  <si>
    <t>あ倫理</t>
  </si>
  <si>
    <t>あ倫理</t>
    <phoneticPr fontId="6"/>
  </si>
  <si>
    <t>取引集計</t>
    <rPh sb="0" eb="2">
      <t>トリヒキ</t>
    </rPh>
    <rPh sb="2" eb="4">
      <t>シュウケイ</t>
    </rPh>
    <phoneticPr fontId="6"/>
  </si>
  <si>
    <t>取引集計＿非ゼロ</t>
    <rPh sb="0" eb="2">
      <t>トリヒキ</t>
    </rPh>
    <rPh sb="2" eb="4">
      <t>シュウケイ</t>
    </rPh>
    <rPh sb="5" eb="6">
      <t>ヒ</t>
    </rPh>
    <phoneticPr fontId="6"/>
  </si>
</sst>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6" formatCode="&quot;¥&quot;#,##0;[Red]&quot;¥&quot;\-#,##0"/>
    <numFmt numFmtId="176" formatCode="0\ &quot;件&quot;"/>
    <numFmt numFmtId="177" formatCode="[$¥-411]#,##0;[$¥-411]#,##0"/>
    <numFmt numFmtId="178" formatCode="&quot;開始：&quot;yyyy/mm/dd"/>
    <numFmt numFmtId="179" formatCode="&quot;終了：&quot;yyyy/mm/dd"/>
    <numFmt numFmtId="180" formatCode="0_ &quot;件&quot;"/>
  </numFmts>
  <fonts count="36">
    <font>
      <sz val="11"/>
      <color theme="1"/>
      <name val="游ゴシック"/>
      <family val="2"/>
      <charset val="128"/>
      <scheme val="minor"/>
    </font>
    <font>
      <sz val="11"/>
      <color theme="1"/>
      <name val="游ゴシック"/>
      <family val="2"/>
      <charset val="128"/>
      <scheme val="minor"/>
    </font>
    <font>
      <b/>
      <sz val="13"/>
      <color theme="3"/>
      <name val="游ゴシック"/>
      <family val="2"/>
      <charset val="128"/>
      <scheme val="minor"/>
    </font>
    <font>
      <sz val="11"/>
      <color rgb="FFFF0000"/>
      <name val="游ゴシック"/>
      <family val="2"/>
      <charset val="128"/>
      <scheme val="minor"/>
    </font>
    <font>
      <sz val="11"/>
      <color theme="0"/>
      <name val="游ゴシック"/>
      <family val="2"/>
      <charset val="128"/>
      <scheme val="minor"/>
    </font>
    <font>
      <b/>
      <sz val="11"/>
      <color theme="0"/>
      <name val="游ゴシック"/>
      <family val="3"/>
      <charset val="128"/>
      <scheme val="minor"/>
    </font>
    <font>
      <sz val="6"/>
      <name val="游ゴシック"/>
      <family val="2"/>
      <charset val="128"/>
      <scheme val="minor"/>
    </font>
    <font>
      <b/>
      <sz val="11"/>
      <color rgb="FFFF0000"/>
      <name val="游ゴシック"/>
      <family val="3"/>
      <charset val="128"/>
      <scheme val="minor"/>
    </font>
    <font>
      <sz val="11"/>
      <color theme="1"/>
      <name val="游ゴシック"/>
      <family val="3"/>
      <charset val="128"/>
      <scheme val="minor"/>
    </font>
    <font>
      <sz val="11"/>
      <name val="ＭＳ ゴシック"/>
      <family val="3"/>
      <charset val="128"/>
    </font>
    <font>
      <sz val="6"/>
      <name val="ＭＳ Ｐゴシック"/>
      <family val="3"/>
      <charset val="128"/>
    </font>
    <font>
      <b/>
      <sz val="9"/>
      <color indexed="81"/>
      <name val="MS P ゴシック"/>
      <family val="2"/>
    </font>
    <font>
      <sz val="9"/>
      <color indexed="81"/>
      <name val="MS P ゴシック"/>
      <family val="2"/>
    </font>
    <font>
      <sz val="9"/>
      <color indexed="81"/>
      <name val="ＭＳ Ｐゴシック"/>
      <family val="3"/>
      <charset val="128"/>
    </font>
    <font>
      <sz val="10"/>
      <color theme="1"/>
      <name val="メイリオ"/>
      <family val="3"/>
      <charset val="128"/>
    </font>
    <font>
      <sz val="6"/>
      <name val="游ゴシック"/>
      <family val="3"/>
      <charset val="128"/>
      <scheme val="minor"/>
    </font>
    <font>
      <sz val="11"/>
      <color theme="1"/>
      <name val="メイリオ"/>
      <family val="3"/>
      <charset val="128"/>
    </font>
    <font>
      <b/>
      <sz val="11"/>
      <name val="ＭＳ ゴシック"/>
      <family val="3"/>
      <charset val="128"/>
    </font>
    <font>
      <sz val="12"/>
      <name val="ＭＳ ゴシック"/>
      <family val="3"/>
      <charset val="128"/>
    </font>
    <font>
      <b/>
      <sz val="14"/>
      <name val="ＭＳ ゴシック"/>
      <family val="3"/>
      <charset val="128"/>
    </font>
    <font>
      <sz val="11"/>
      <color indexed="8"/>
      <name val="ＭＳ Ｐゴシック"/>
      <family val="3"/>
      <charset val="128"/>
    </font>
    <font>
      <sz val="16"/>
      <color indexed="81"/>
      <name val="ＭＳ Ｐゴシック"/>
      <family val="3"/>
      <charset val="128"/>
    </font>
    <font>
      <sz val="11"/>
      <color theme="1"/>
      <name val="メイリオ"/>
      <family val="2"/>
      <charset val="128"/>
    </font>
    <font>
      <sz val="11"/>
      <color rgb="FFFFFFCC"/>
      <name val="メイリオ"/>
      <family val="2"/>
      <charset val="128"/>
    </font>
    <font>
      <sz val="6"/>
      <name val="メイリオ"/>
      <family val="2"/>
      <charset val="128"/>
    </font>
    <font>
      <sz val="11"/>
      <color rgb="FFFFFFCC"/>
      <name val="メイリオ"/>
      <family val="3"/>
      <charset val="128"/>
    </font>
    <font>
      <sz val="8"/>
      <color rgb="FFFFFFCC"/>
      <name val="メイリオ"/>
      <family val="3"/>
      <charset val="128"/>
    </font>
    <font>
      <sz val="11"/>
      <color rgb="FFFF0000"/>
      <name val="メイリオ"/>
      <family val="2"/>
      <charset val="128"/>
    </font>
    <font>
      <u/>
      <sz val="11"/>
      <name val="ＭＳ ゴシック"/>
      <family val="3"/>
      <charset val="128"/>
    </font>
    <font>
      <sz val="11"/>
      <color theme="1"/>
      <name val="BIZ UDゴシック"/>
      <family val="3"/>
      <charset val="128"/>
    </font>
    <font>
      <sz val="12"/>
      <color theme="1"/>
      <name val="BIZ UDゴシック"/>
      <family val="3"/>
      <charset val="128"/>
    </font>
    <font>
      <sz val="11"/>
      <color theme="0"/>
      <name val="BIZ UDゴシック"/>
      <family val="3"/>
      <charset val="128"/>
    </font>
    <font>
      <sz val="11"/>
      <color rgb="FF000000"/>
      <name val="游ゴシック"/>
      <family val="3"/>
      <charset val="128"/>
    </font>
    <font>
      <sz val="10"/>
      <color rgb="FF000000"/>
      <name val="Arial"/>
      <family val="2"/>
    </font>
    <font>
      <sz val="11"/>
      <color rgb="FF000000"/>
      <name val="メイリオ"/>
      <family val="3"/>
      <charset val="128"/>
    </font>
    <font>
      <sz val="11"/>
      <name val="メイリオ"/>
      <family val="3"/>
      <charset val="128"/>
    </font>
  </fonts>
  <fills count="18">
    <fill>
      <patternFill patternType="none"/>
    </fill>
    <fill>
      <patternFill patternType="gray125"/>
    </fill>
    <fill>
      <patternFill patternType="solid">
        <fgColor rgb="FF7030A0"/>
        <bgColor indexed="64"/>
      </patternFill>
    </fill>
    <fill>
      <patternFill patternType="solid">
        <fgColor theme="7" tint="0.59999389629810485"/>
        <bgColor indexed="64"/>
      </patternFill>
    </fill>
    <fill>
      <patternFill patternType="solid">
        <fgColor theme="2" tint="-0.249977111117893"/>
        <bgColor indexed="64"/>
      </patternFill>
    </fill>
    <fill>
      <patternFill patternType="solid">
        <fgColor theme="2"/>
        <bgColor indexed="64"/>
      </patternFill>
    </fill>
    <fill>
      <patternFill patternType="solid">
        <fgColor theme="0"/>
        <bgColor indexed="64"/>
      </patternFill>
    </fill>
    <fill>
      <patternFill patternType="solid">
        <fgColor rgb="FFCCFF99"/>
        <bgColor indexed="64"/>
      </patternFill>
    </fill>
    <fill>
      <patternFill patternType="solid">
        <fgColor rgb="FFFFFF99"/>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FFFFCC"/>
        <bgColor indexed="64"/>
      </patternFill>
    </fill>
    <fill>
      <patternFill patternType="solid">
        <fgColor theme="4" tint="0.79998168889431442"/>
        <bgColor indexed="64"/>
      </patternFill>
    </fill>
    <fill>
      <patternFill patternType="solid">
        <fgColor theme="1"/>
        <bgColor indexed="64"/>
      </patternFill>
    </fill>
    <fill>
      <patternFill patternType="solid">
        <fgColor rgb="FF99CCFF"/>
        <bgColor indexed="64"/>
      </patternFill>
    </fill>
    <fill>
      <patternFill patternType="solid">
        <fgColor theme="7"/>
        <bgColor indexed="64"/>
      </patternFill>
    </fill>
    <fill>
      <patternFill patternType="solid">
        <fgColor theme="0" tint="-0.14999847407452621"/>
        <bgColor indexed="64"/>
      </patternFill>
    </fill>
  </fills>
  <borders count="70">
    <border>
      <left/>
      <right/>
      <top/>
      <bottom/>
      <diagonal/>
    </border>
    <border>
      <left style="thin">
        <color theme="0"/>
      </left>
      <right style="thin">
        <color theme="0"/>
      </right>
      <top style="thin">
        <color theme="0"/>
      </top>
      <bottom style="thin">
        <color theme="0"/>
      </bottom>
      <diagonal/>
    </border>
    <border>
      <left style="thin">
        <color indexed="64"/>
      </left>
      <right style="thin">
        <color indexed="64"/>
      </right>
      <top style="thin">
        <color indexed="64"/>
      </top>
      <bottom style="thin">
        <color indexed="64"/>
      </bottom>
      <diagonal/>
    </border>
    <border>
      <left/>
      <right style="thin">
        <color theme="0"/>
      </right>
      <top style="thin">
        <color theme="0"/>
      </top>
      <bottom style="thin">
        <color theme="0"/>
      </bottom>
      <diagonal/>
    </border>
    <border>
      <left style="thin">
        <color indexed="64"/>
      </left>
      <right/>
      <top style="thin">
        <color indexed="64"/>
      </top>
      <bottom style="thin">
        <color indexed="64"/>
      </bottom>
      <diagonal/>
    </border>
    <border>
      <left style="thin">
        <color theme="0"/>
      </left>
      <right style="thin">
        <color theme="0"/>
      </right>
      <top/>
      <bottom style="thin">
        <color theme="0"/>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theme="0"/>
      </left>
      <right/>
      <top style="thick">
        <color rgb="FF002060"/>
      </top>
      <bottom/>
      <diagonal/>
    </border>
    <border>
      <left style="thin">
        <color theme="0"/>
      </left>
      <right style="thin">
        <color theme="0"/>
      </right>
      <top style="thin">
        <color theme="0"/>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diagonal/>
    </border>
    <border>
      <left style="thick">
        <color rgb="FF0070C0"/>
      </left>
      <right/>
      <top style="thick">
        <color rgb="FF0070C0"/>
      </top>
      <bottom/>
      <diagonal/>
    </border>
    <border>
      <left/>
      <right/>
      <top style="thick">
        <color rgb="FF0070C0"/>
      </top>
      <bottom/>
      <diagonal/>
    </border>
    <border>
      <left/>
      <right style="thick">
        <color rgb="FF0070C0"/>
      </right>
      <top style="thick">
        <color rgb="FF0070C0"/>
      </top>
      <bottom/>
      <diagonal/>
    </border>
    <border>
      <left style="thick">
        <color rgb="FF0070C0"/>
      </left>
      <right/>
      <top/>
      <bottom/>
      <diagonal/>
    </border>
    <border>
      <left style="thin">
        <color indexed="64"/>
      </left>
      <right style="thick">
        <color rgb="FF0070C0"/>
      </right>
      <top style="thin">
        <color indexed="64"/>
      </top>
      <bottom style="thin">
        <color indexed="64"/>
      </bottom>
      <diagonal/>
    </border>
    <border>
      <left/>
      <right style="thin">
        <color indexed="64"/>
      </right>
      <top/>
      <bottom/>
      <diagonal/>
    </border>
    <border>
      <left/>
      <right style="thick">
        <color rgb="FF0070C0"/>
      </right>
      <top/>
      <bottom/>
      <diagonal/>
    </border>
    <border>
      <left style="thick">
        <color rgb="FF0070C0"/>
      </left>
      <right/>
      <top/>
      <bottom style="thick">
        <color rgb="FF0070C0"/>
      </bottom>
      <diagonal/>
    </border>
    <border>
      <left/>
      <right/>
      <top/>
      <bottom style="thick">
        <color rgb="FF0070C0"/>
      </bottom>
      <diagonal/>
    </border>
    <border>
      <left style="thin">
        <color indexed="64"/>
      </left>
      <right style="thick">
        <color rgb="FF0070C0"/>
      </right>
      <top style="thin">
        <color indexed="64"/>
      </top>
      <bottom style="thick">
        <color rgb="FF0070C0"/>
      </bottom>
      <diagonal/>
    </border>
    <border>
      <left/>
      <right/>
      <top style="thin">
        <color indexed="64"/>
      </top>
      <bottom/>
      <diagonal/>
    </border>
    <border>
      <left style="thin">
        <color rgb="FF0070C0"/>
      </left>
      <right/>
      <top style="thin">
        <color rgb="FF0070C0"/>
      </top>
      <bottom style="thin">
        <color rgb="FF0070C0"/>
      </bottom>
      <diagonal/>
    </border>
    <border>
      <left style="thin">
        <color rgb="FF0070C0"/>
      </left>
      <right style="thin">
        <color rgb="FF0070C0"/>
      </right>
      <top style="thin">
        <color rgb="FF0070C0"/>
      </top>
      <bottom style="thin">
        <color rgb="FF0070C0"/>
      </bottom>
      <diagonal/>
    </border>
    <border>
      <left/>
      <right/>
      <top/>
      <bottom style="thin">
        <color indexed="64"/>
      </bottom>
      <diagonal/>
    </border>
    <border>
      <left style="thin">
        <color rgb="FF0070C0"/>
      </left>
      <right style="thin">
        <color rgb="FF0070C0"/>
      </right>
      <top/>
      <bottom style="thin">
        <color rgb="FF0070C0"/>
      </bottom>
      <diagonal/>
    </border>
    <border>
      <left/>
      <right/>
      <top style="thin">
        <color indexed="64"/>
      </top>
      <bottom style="thin">
        <color indexed="64"/>
      </bottom>
      <diagonal/>
    </border>
    <border>
      <left/>
      <right style="thick">
        <color rgb="FF0070C0"/>
      </right>
      <top/>
      <bottom style="thick">
        <color rgb="FF0070C0"/>
      </bottom>
      <diagonal/>
    </border>
    <border>
      <left style="thick">
        <color rgb="FF0070C0"/>
      </left>
      <right/>
      <top style="thick">
        <color rgb="FF0070C0"/>
      </top>
      <bottom style="thick">
        <color rgb="FF0070C0"/>
      </bottom>
      <diagonal/>
    </border>
    <border>
      <left/>
      <right/>
      <top style="thick">
        <color rgb="FF0070C0"/>
      </top>
      <bottom style="thick">
        <color rgb="FF0070C0"/>
      </bottom>
      <diagonal/>
    </border>
    <border>
      <left/>
      <right style="thick">
        <color rgb="FF0070C0"/>
      </right>
      <top style="thick">
        <color rgb="FF0070C0"/>
      </top>
      <bottom style="thick">
        <color rgb="FF0070C0"/>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medium">
        <color indexed="64"/>
      </left>
      <right/>
      <top style="thin">
        <color indexed="64"/>
      </top>
      <bottom/>
      <diagonal/>
    </border>
    <border>
      <left/>
      <right style="thin">
        <color indexed="64"/>
      </right>
      <top style="thin">
        <color indexed="64"/>
      </top>
      <bottom/>
      <diagonal/>
    </border>
    <border>
      <left style="medium">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double">
        <color theme="0"/>
      </right>
      <top style="thin">
        <color indexed="64"/>
      </top>
      <bottom style="double">
        <color indexed="64"/>
      </bottom>
      <diagonal/>
    </border>
    <border>
      <left style="double">
        <color theme="0"/>
      </left>
      <right style="double">
        <color theme="0"/>
      </right>
      <top style="thin">
        <color indexed="64"/>
      </top>
      <bottom style="double">
        <color indexed="64"/>
      </bottom>
      <diagonal/>
    </border>
    <border>
      <left style="double">
        <color theme="0"/>
      </left>
      <right style="thin">
        <color indexed="64"/>
      </right>
      <top style="thin">
        <color indexed="64"/>
      </top>
      <bottom style="double">
        <color indexed="64"/>
      </bottom>
      <diagonal/>
    </border>
    <border>
      <left style="thin">
        <color rgb="FF663300"/>
      </left>
      <right/>
      <top style="thin">
        <color rgb="FF663300"/>
      </top>
      <bottom style="thin">
        <color rgb="FF663300"/>
      </bottom>
      <diagonal/>
    </border>
    <border>
      <left/>
      <right/>
      <top style="thin">
        <color rgb="FF663300"/>
      </top>
      <bottom style="thin">
        <color rgb="FF663300"/>
      </bottom>
      <diagonal/>
    </border>
    <border>
      <left/>
      <right style="thin">
        <color rgb="FF663300"/>
      </right>
      <top style="thin">
        <color rgb="FF663300"/>
      </top>
      <bottom style="thin">
        <color rgb="FF663300"/>
      </bottom>
      <diagonal/>
    </border>
    <border>
      <left/>
      <right/>
      <top style="thin">
        <color indexed="64"/>
      </top>
      <bottom style="double">
        <color indexed="64"/>
      </bottom>
      <diagonal/>
    </border>
    <border>
      <left/>
      <right style="double">
        <color indexed="64"/>
      </right>
      <top style="double">
        <color indexed="64"/>
      </top>
      <bottom style="thin">
        <color indexed="64"/>
      </bottom>
      <diagonal/>
    </border>
    <border>
      <left style="double">
        <color indexed="64"/>
      </left>
      <right/>
      <top style="double">
        <color indexed="64"/>
      </top>
      <bottom style="thin">
        <color indexed="64"/>
      </bottom>
      <diagonal/>
    </border>
    <border>
      <left/>
      <right style="double">
        <color indexed="64"/>
      </right>
      <top style="double">
        <color indexed="64"/>
      </top>
      <bottom/>
      <diagonal/>
    </border>
    <border>
      <left style="double">
        <color indexed="64"/>
      </left>
      <right/>
      <top style="double">
        <color indexed="64"/>
      </top>
      <bottom/>
      <diagonal/>
    </border>
    <border>
      <left/>
      <right/>
      <top style="double">
        <color indexed="64"/>
      </top>
      <bottom style="thin">
        <color indexed="64"/>
      </bottom>
      <diagonal/>
    </border>
  </borders>
  <cellStyleXfs count="6">
    <xf numFmtId="0" fontId="0" fillId="0" borderId="0">
      <alignment vertical="center"/>
    </xf>
    <xf numFmtId="6" fontId="1" fillId="0" borderId="0" applyFont="0" applyFill="0" applyBorder="0" applyAlignment="0" applyProtection="0">
      <alignment vertical="center"/>
    </xf>
    <xf numFmtId="0" fontId="8" fillId="0" borderId="0">
      <alignment vertical="center"/>
    </xf>
    <xf numFmtId="0" fontId="22" fillId="0" borderId="0">
      <alignment vertical="center"/>
    </xf>
    <xf numFmtId="38" fontId="22" fillId="0" borderId="0" applyFont="0" applyFill="0" applyBorder="0" applyAlignment="0" applyProtection="0">
      <alignment vertical="center"/>
    </xf>
    <xf numFmtId="0" fontId="33" fillId="0" borderId="0"/>
  </cellStyleXfs>
  <cellXfs count="187">
    <xf numFmtId="0" fontId="0" fillId="0" borderId="0" xfId="0">
      <alignment vertical="center"/>
    </xf>
    <xf numFmtId="0" fontId="5" fillId="2" borderId="0" xfId="0" applyFont="1" applyFill="1">
      <alignment vertical="center"/>
    </xf>
    <xf numFmtId="14" fontId="0" fillId="0" borderId="0" xfId="0" applyNumberFormat="1">
      <alignment vertical="center"/>
    </xf>
    <xf numFmtId="0" fontId="7" fillId="0" borderId="0" xfId="0" applyFont="1" applyAlignment="1">
      <alignment horizontal="center" vertical="center"/>
    </xf>
    <xf numFmtId="0" fontId="7" fillId="3" borderId="0" xfId="0" applyFont="1" applyFill="1" applyAlignment="1">
      <alignment horizontal="center" vertical="center"/>
    </xf>
    <xf numFmtId="0" fontId="4" fillId="4" borderId="0" xfId="0" applyFont="1" applyFill="1" applyAlignment="1">
      <alignment horizontal="center" vertical="center"/>
    </xf>
    <xf numFmtId="0" fontId="4" fillId="2" borderId="0" xfId="0" applyFont="1" applyFill="1" applyAlignment="1">
      <alignment horizontal="center" vertical="center"/>
    </xf>
    <xf numFmtId="0" fontId="0" fillId="5" borderId="0" xfId="0" applyFill="1">
      <alignment vertical="center"/>
    </xf>
    <xf numFmtId="0" fontId="0" fillId="5" borderId="1" xfId="0" applyFill="1" applyBorder="1">
      <alignment vertical="center"/>
    </xf>
    <xf numFmtId="0" fontId="0" fillId="6" borderId="2" xfId="0" applyFill="1" applyBorder="1">
      <alignment vertical="center"/>
    </xf>
    <xf numFmtId="0" fontId="0" fillId="5" borderId="3" xfId="0" applyFill="1" applyBorder="1">
      <alignment vertical="center"/>
    </xf>
    <xf numFmtId="0" fontId="0" fillId="7" borderId="2" xfId="0" applyFill="1" applyBorder="1">
      <alignment vertical="center"/>
    </xf>
    <xf numFmtId="0" fontId="0" fillId="0" borderId="0" xfId="0" applyAlignment="1">
      <alignment horizontal="center" vertical="center"/>
    </xf>
    <xf numFmtId="0" fontId="9" fillId="8" borderId="2" xfId="2" applyFont="1" applyFill="1" applyBorder="1" applyAlignment="1">
      <alignment horizontal="center" vertical="top"/>
    </xf>
    <xf numFmtId="0" fontId="0" fillId="9" borderId="1" xfId="0" applyFill="1" applyBorder="1">
      <alignment vertical="center"/>
    </xf>
    <xf numFmtId="14" fontId="0" fillId="7" borderId="2" xfId="0" applyNumberFormat="1" applyFill="1" applyBorder="1">
      <alignment vertical="center"/>
    </xf>
    <xf numFmtId="0" fontId="0" fillId="3" borderId="1" xfId="0" applyFill="1" applyBorder="1">
      <alignment vertical="center"/>
    </xf>
    <xf numFmtId="0" fontId="3" fillId="3" borderId="1" xfId="0" applyFont="1" applyFill="1" applyBorder="1">
      <alignment vertical="center"/>
    </xf>
    <xf numFmtId="0" fontId="9" fillId="0" borderId="2" xfId="2" applyFont="1" applyFill="1" applyBorder="1" applyAlignment="1">
      <alignment horizontal="center" vertical="top"/>
    </xf>
    <xf numFmtId="0" fontId="0" fillId="5" borderId="5" xfId="0" applyFill="1" applyBorder="1">
      <alignment vertical="center"/>
    </xf>
    <xf numFmtId="0" fontId="0" fillId="10" borderId="0" xfId="0" applyFill="1">
      <alignment vertical="center"/>
    </xf>
    <xf numFmtId="176" fontId="0" fillId="0" borderId="0" xfId="0" applyNumberFormat="1">
      <alignment vertical="center"/>
    </xf>
    <xf numFmtId="0" fontId="9" fillId="0" borderId="6" xfId="2" applyFont="1" applyFill="1" applyBorder="1" applyAlignment="1">
      <alignment horizontal="center" vertical="top"/>
    </xf>
    <xf numFmtId="0" fontId="9" fillId="8" borderId="7" xfId="2" applyFont="1" applyFill="1" applyBorder="1" applyAlignment="1">
      <alignment horizontal="center" vertical="top"/>
    </xf>
    <xf numFmtId="0" fontId="9" fillId="6" borderId="2" xfId="2" applyFont="1" applyFill="1" applyBorder="1" applyAlignment="1">
      <alignment horizontal="center" vertical="top"/>
    </xf>
    <xf numFmtId="0" fontId="9" fillId="6" borderId="6" xfId="2" applyFont="1" applyFill="1" applyBorder="1" applyAlignment="1">
      <alignment horizontal="center" vertical="top"/>
    </xf>
    <xf numFmtId="0" fontId="0" fillId="0" borderId="8" xfId="0" applyBorder="1" applyAlignment="1">
      <alignment horizontal="center" vertical="center"/>
    </xf>
    <xf numFmtId="0" fontId="0" fillId="5" borderId="9" xfId="0" applyFill="1" applyBorder="1">
      <alignment vertical="center"/>
    </xf>
    <xf numFmtId="0" fontId="0" fillId="7" borderId="0" xfId="0" applyFill="1">
      <alignment vertical="center"/>
    </xf>
    <xf numFmtId="0" fontId="9" fillId="0" borderId="10" xfId="2" applyFont="1" applyFill="1" applyBorder="1" applyAlignment="1">
      <alignment horizontal="center" vertical="top"/>
    </xf>
    <xf numFmtId="0" fontId="9" fillId="8" borderId="11" xfId="2" applyFont="1" applyFill="1" applyBorder="1" applyAlignment="1">
      <alignment horizontal="center" vertical="top"/>
    </xf>
    <xf numFmtId="0" fontId="9" fillId="8" borderId="12" xfId="2" applyFont="1" applyFill="1" applyBorder="1" applyAlignment="1">
      <alignment horizontal="center" vertical="top"/>
    </xf>
    <xf numFmtId="0" fontId="9" fillId="6" borderId="10" xfId="2" applyFont="1" applyFill="1" applyBorder="1" applyAlignment="1">
      <alignment horizontal="center" vertical="top"/>
    </xf>
    <xf numFmtId="0" fontId="9" fillId="8" borderId="13" xfId="2" applyFont="1" applyFill="1" applyBorder="1" applyAlignment="1">
      <alignment horizontal="center" vertical="top"/>
    </xf>
    <xf numFmtId="0" fontId="9" fillId="8" borderId="14" xfId="2" applyFont="1" applyFill="1" applyBorder="1" applyAlignment="1">
      <alignment horizontal="center" vertical="top"/>
    </xf>
    <xf numFmtId="0" fontId="0" fillId="3" borderId="0" xfId="0" applyFill="1">
      <alignment vertical="center"/>
    </xf>
    <xf numFmtId="0" fontId="0" fillId="0" borderId="15" xfId="0" applyBorder="1">
      <alignment vertical="center"/>
    </xf>
    <xf numFmtId="0" fontId="0" fillId="0" borderId="17" xfId="0" applyBorder="1">
      <alignment vertical="center"/>
    </xf>
    <xf numFmtId="0" fontId="0" fillId="0" borderId="18" xfId="0" applyBorder="1">
      <alignment vertical="center"/>
    </xf>
    <xf numFmtId="0" fontId="0" fillId="0" borderId="0" xfId="0" applyBorder="1">
      <alignment vertical="center"/>
    </xf>
    <xf numFmtId="0" fontId="0" fillId="11" borderId="19" xfId="0" applyFill="1" applyBorder="1">
      <alignment vertical="center"/>
    </xf>
    <xf numFmtId="0" fontId="0" fillId="0" borderId="21" xfId="0" applyBorder="1">
      <alignment vertical="center"/>
    </xf>
    <xf numFmtId="0" fontId="0" fillId="11" borderId="24" xfId="0" applyFill="1" applyBorder="1">
      <alignment vertical="center"/>
    </xf>
    <xf numFmtId="0" fontId="0" fillId="12" borderId="2" xfId="0" applyFill="1" applyBorder="1">
      <alignment vertical="center"/>
    </xf>
    <xf numFmtId="0" fontId="0" fillId="0" borderId="25" xfId="0" applyBorder="1">
      <alignment vertical="center"/>
    </xf>
    <xf numFmtId="0" fontId="14" fillId="13" borderId="26" xfId="0" applyFont="1" applyFill="1" applyBorder="1" applyAlignment="1" applyProtection="1"/>
    <xf numFmtId="177" fontId="16" fillId="0" borderId="27" xfId="0" applyNumberFormat="1" applyFont="1" applyBorder="1" applyAlignment="1" applyProtection="1">
      <protection locked="0"/>
    </xf>
    <xf numFmtId="0" fontId="16" fillId="0" borderId="27" xfId="0" applyFont="1" applyBorder="1" applyAlignment="1" applyProtection="1">
      <protection locked="0"/>
    </xf>
    <xf numFmtId="0" fontId="0" fillId="0" borderId="28" xfId="0" applyBorder="1">
      <alignment vertical="center"/>
    </xf>
    <xf numFmtId="177" fontId="16" fillId="0" borderId="27" xfId="1" applyNumberFormat="1" applyFont="1" applyBorder="1" applyAlignment="1" applyProtection="1">
      <protection locked="0"/>
    </xf>
    <xf numFmtId="0" fontId="14" fillId="11" borderId="27" xfId="0" applyFont="1" applyFill="1" applyBorder="1" applyAlignment="1" applyProtection="1"/>
    <xf numFmtId="14" fontId="14" fillId="0" borderId="29" xfId="0" applyNumberFormat="1" applyFont="1" applyFill="1" applyBorder="1" applyAlignment="1" applyProtection="1">
      <alignment horizontal="left"/>
      <protection locked="0"/>
    </xf>
    <xf numFmtId="0" fontId="0" fillId="0" borderId="30" xfId="0" applyBorder="1">
      <alignment vertical="center"/>
    </xf>
    <xf numFmtId="14" fontId="14" fillId="0" borderId="27" xfId="0" applyNumberFormat="1" applyFont="1" applyFill="1" applyBorder="1" applyAlignment="1" applyProtection="1">
      <alignment horizontal="left"/>
      <protection locked="0"/>
    </xf>
    <xf numFmtId="0" fontId="0" fillId="0" borderId="0" xfId="0" applyFill="1" applyBorder="1">
      <alignment vertical="center"/>
    </xf>
    <xf numFmtId="0" fontId="0" fillId="0" borderId="16" xfId="0" applyBorder="1">
      <alignment vertical="center"/>
    </xf>
    <xf numFmtId="0" fontId="0" fillId="0" borderId="22" xfId="0" applyBorder="1">
      <alignment vertical="center"/>
    </xf>
    <xf numFmtId="0" fontId="0" fillId="0" borderId="31" xfId="0" applyBorder="1">
      <alignment vertical="center"/>
    </xf>
    <xf numFmtId="0" fontId="0" fillId="0" borderId="32" xfId="0" applyBorder="1">
      <alignment vertical="center"/>
    </xf>
    <xf numFmtId="0" fontId="0" fillId="0" borderId="33" xfId="0" applyBorder="1">
      <alignment vertical="center"/>
    </xf>
    <xf numFmtId="0" fontId="0" fillId="0" borderId="34" xfId="0" applyBorder="1">
      <alignment vertical="center"/>
    </xf>
    <xf numFmtId="0" fontId="0" fillId="14" borderId="34" xfId="0" applyFill="1" applyBorder="1">
      <alignment vertical="center"/>
    </xf>
    <xf numFmtId="0" fontId="17" fillId="0" borderId="0" xfId="2" applyFont="1">
      <alignment vertical="center"/>
    </xf>
    <xf numFmtId="0" fontId="18" fillId="0" borderId="0" xfId="2" applyFont="1" applyAlignment="1">
      <alignment horizontal="right" vertical="center"/>
    </xf>
    <xf numFmtId="0" fontId="17" fillId="6" borderId="0" xfId="2" applyFont="1" applyFill="1">
      <alignment vertical="center"/>
    </xf>
    <xf numFmtId="0" fontId="19" fillId="0" borderId="0" xfId="2" applyFont="1">
      <alignment vertical="center"/>
    </xf>
    <xf numFmtId="0" fontId="17" fillId="0" borderId="0" xfId="2" applyFont="1" applyAlignment="1">
      <alignment horizontal="right" vertical="center"/>
    </xf>
    <xf numFmtId="31" fontId="18" fillId="0" borderId="0" xfId="2" applyNumberFormat="1" applyFont="1" applyAlignment="1">
      <alignment horizontal="right" vertical="center"/>
    </xf>
    <xf numFmtId="0" fontId="9" fillId="0" borderId="0" xfId="2" applyFont="1" applyAlignment="1">
      <alignment horizontal="right" vertical="center"/>
    </xf>
    <xf numFmtId="0" fontId="9" fillId="8" borderId="43" xfId="2" applyFont="1" applyFill="1" applyBorder="1" applyAlignment="1">
      <alignment horizontal="left" vertical="top" wrapText="1"/>
    </xf>
    <xf numFmtId="0" fontId="9" fillId="8" borderId="2" xfId="2" applyFont="1" applyFill="1" applyBorder="1" applyAlignment="1">
      <alignment horizontal="left" vertical="top"/>
    </xf>
    <xf numFmtId="0" fontId="17" fillId="6" borderId="0" xfId="2" applyFont="1" applyFill="1" applyAlignment="1">
      <alignment vertical="top"/>
    </xf>
    <xf numFmtId="0" fontId="17" fillId="0" borderId="0" xfId="2" applyFont="1" applyAlignment="1">
      <alignment vertical="top"/>
    </xf>
    <xf numFmtId="0" fontId="9" fillId="8" borderId="44" xfId="2" applyFont="1" applyFill="1" applyBorder="1" applyAlignment="1">
      <alignment vertical="top"/>
    </xf>
    <xf numFmtId="0" fontId="9" fillId="0" borderId="4" xfId="2" applyFont="1" applyFill="1" applyBorder="1" applyAlignment="1">
      <alignment vertical="top"/>
    </xf>
    <xf numFmtId="0" fontId="9" fillId="0" borderId="45" xfId="2" applyFont="1" applyFill="1" applyBorder="1" applyAlignment="1">
      <alignment vertical="top"/>
    </xf>
    <xf numFmtId="0" fontId="9" fillId="0" borderId="2" xfId="2" applyFont="1" applyFill="1" applyBorder="1" applyAlignment="1">
      <alignment horizontal="left" vertical="top"/>
    </xf>
    <xf numFmtId="0" fontId="9" fillId="0" borderId="46" xfId="2" applyFont="1" applyFill="1" applyBorder="1" applyAlignment="1">
      <alignment vertical="top"/>
    </xf>
    <xf numFmtId="0" fontId="9" fillId="0" borderId="11" xfId="2" applyFont="1" applyFill="1" applyBorder="1" applyAlignment="1">
      <alignment vertical="top"/>
    </xf>
    <xf numFmtId="0" fontId="9" fillId="0" borderId="2" xfId="2" applyFont="1" applyFill="1" applyBorder="1" applyAlignment="1">
      <alignment vertical="top"/>
    </xf>
    <xf numFmtId="0" fontId="9" fillId="0" borderId="4" xfId="2" applyFont="1" applyFill="1" applyBorder="1" applyAlignment="1">
      <alignment vertical="top" wrapText="1"/>
    </xf>
    <xf numFmtId="0" fontId="9" fillId="0" borderId="43" xfId="2" applyFont="1" applyFill="1" applyBorder="1" applyAlignment="1">
      <alignment vertical="top"/>
    </xf>
    <xf numFmtId="0" fontId="9" fillId="0" borderId="6" xfId="2" applyFont="1" applyFill="1" applyBorder="1" applyAlignment="1">
      <alignment horizontal="left" vertical="top"/>
    </xf>
    <xf numFmtId="0" fontId="9" fillId="8" borderId="35" xfId="2" applyFont="1" applyFill="1" applyBorder="1" applyAlignment="1">
      <alignment vertical="top"/>
    </xf>
    <xf numFmtId="0" fontId="9" fillId="8" borderId="47" xfId="2" applyFont="1" applyFill="1" applyBorder="1" applyAlignment="1">
      <alignment vertical="top"/>
    </xf>
    <xf numFmtId="0" fontId="9" fillId="8" borderId="48" xfId="2" applyFont="1" applyFill="1" applyBorder="1" applyAlignment="1">
      <alignment vertical="top"/>
    </xf>
    <xf numFmtId="0" fontId="9" fillId="8" borderId="7" xfId="2" applyFont="1" applyFill="1" applyBorder="1" applyAlignment="1">
      <alignment horizontal="left" vertical="top"/>
    </xf>
    <xf numFmtId="0" fontId="9" fillId="6" borderId="46" xfId="2" applyFont="1" applyFill="1" applyBorder="1" applyAlignment="1">
      <alignment vertical="top"/>
    </xf>
    <xf numFmtId="0" fontId="9" fillId="6" borderId="45" xfId="2" applyFont="1" applyFill="1" applyBorder="1" applyAlignment="1">
      <alignment vertical="top"/>
    </xf>
    <xf numFmtId="0" fontId="9" fillId="6" borderId="2" xfId="2" applyFont="1" applyFill="1" applyBorder="1" applyAlignment="1">
      <alignment horizontal="left" vertical="top"/>
    </xf>
    <xf numFmtId="0" fontId="9" fillId="6" borderId="43" xfId="2" applyFont="1" applyFill="1" applyBorder="1" applyAlignment="1">
      <alignment vertical="top"/>
    </xf>
    <xf numFmtId="0" fontId="9" fillId="6" borderId="6" xfId="2" applyFont="1" applyFill="1" applyBorder="1" applyAlignment="1">
      <alignment horizontal="left" vertical="top"/>
    </xf>
    <xf numFmtId="0" fontId="9" fillId="0" borderId="14" xfId="2" applyFont="1" applyFill="1" applyBorder="1" applyAlignment="1">
      <alignment vertical="top"/>
    </xf>
    <xf numFmtId="0" fontId="18" fillId="0" borderId="2" xfId="2" applyFont="1" applyFill="1" applyBorder="1" applyAlignment="1">
      <alignment vertical="top"/>
    </xf>
    <xf numFmtId="0" fontId="9" fillId="0" borderId="49" xfId="2" applyFont="1" applyFill="1" applyBorder="1" applyAlignment="1">
      <alignment vertical="top"/>
    </xf>
    <xf numFmtId="0" fontId="18" fillId="0" borderId="45" xfId="2" applyFont="1" applyFill="1" applyBorder="1" applyAlignment="1">
      <alignment vertical="top"/>
    </xf>
    <xf numFmtId="0" fontId="9" fillId="8" borderId="50" xfId="2" applyFont="1" applyFill="1" applyBorder="1" applyAlignment="1">
      <alignment vertical="top"/>
    </xf>
    <xf numFmtId="0" fontId="9" fillId="0" borderId="51" xfId="2" applyFont="1" applyFill="1" applyBorder="1" applyAlignment="1">
      <alignment vertical="top"/>
    </xf>
    <xf numFmtId="0" fontId="9" fillId="0" borderId="52" xfId="2" applyFont="1" applyFill="1" applyBorder="1" applyAlignment="1">
      <alignment vertical="top"/>
    </xf>
    <xf numFmtId="0" fontId="9" fillId="0" borderId="10" xfId="2" applyFont="1" applyFill="1" applyBorder="1" applyAlignment="1">
      <alignment horizontal="left" vertical="top"/>
    </xf>
    <xf numFmtId="0" fontId="9" fillId="8" borderId="53" xfId="2" applyFont="1" applyFill="1" applyBorder="1" applyAlignment="1">
      <alignment vertical="top"/>
    </xf>
    <xf numFmtId="0" fontId="9" fillId="8" borderId="28" xfId="2" applyFont="1" applyFill="1" applyBorder="1" applyAlignment="1">
      <alignment vertical="top"/>
    </xf>
    <xf numFmtId="0" fontId="9" fillId="8" borderId="54" xfId="2" applyFont="1" applyFill="1" applyBorder="1" applyAlignment="1">
      <alignment vertical="top"/>
    </xf>
    <xf numFmtId="0" fontId="9" fillId="8" borderId="11" xfId="2" applyFont="1" applyFill="1" applyBorder="1" applyAlignment="1">
      <alignment horizontal="left" vertical="top"/>
    </xf>
    <xf numFmtId="0" fontId="9" fillId="0" borderId="2" xfId="2" applyFont="1" applyFill="1" applyBorder="1" applyAlignment="1">
      <alignment horizontal="left" vertical="top" wrapText="1"/>
    </xf>
    <xf numFmtId="0" fontId="9" fillId="6" borderId="4" xfId="2" applyFont="1" applyFill="1" applyBorder="1" applyAlignment="1">
      <alignment vertical="top"/>
    </xf>
    <xf numFmtId="0" fontId="9" fillId="0" borderId="46" xfId="2" applyFont="1" applyBorder="1" applyAlignment="1">
      <alignment vertical="top"/>
    </xf>
    <xf numFmtId="0" fontId="9" fillId="0" borderId="43" xfId="2" applyFont="1" applyBorder="1" applyAlignment="1">
      <alignment vertical="top"/>
    </xf>
    <xf numFmtId="0" fontId="9" fillId="0" borderId="4" xfId="2" applyFont="1" applyBorder="1" applyAlignment="1">
      <alignment vertical="top"/>
    </xf>
    <xf numFmtId="0" fontId="9" fillId="0" borderId="45" xfId="2" applyFont="1" applyBorder="1" applyAlignment="1">
      <alignment vertical="top"/>
    </xf>
    <xf numFmtId="0" fontId="9" fillId="0" borderId="51" xfId="2" applyFont="1" applyBorder="1" applyAlignment="1">
      <alignment vertical="top"/>
    </xf>
    <xf numFmtId="0" fontId="9" fillId="0" borderId="52" xfId="2" applyFont="1" applyBorder="1" applyAlignment="1">
      <alignment vertical="top"/>
    </xf>
    <xf numFmtId="0" fontId="9" fillId="8" borderId="12" xfId="2" applyFont="1" applyFill="1" applyBorder="1" applyAlignment="1">
      <alignment horizontal="left" vertical="top"/>
    </xf>
    <xf numFmtId="0" fontId="9" fillId="6" borderId="10" xfId="2" applyFont="1" applyFill="1" applyBorder="1" applyAlignment="1">
      <alignment horizontal="left" vertical="top"/>
    </xf>
    <xf numFmtId="0" fontId="9" fillId="8" borderId="55" xfId="2" applyFont="1" applyFill="1" applyBorder="1" applyAlignment="1">
      <alignment vertical="top"/>
    </xf>
    <xf numFmtId="0" fontId="9" fillId="8" borderId="56" xfId="2" applyFont="1" applyFill="1" applyBorder="1" applyAlignment="1">
      <alignment vertical="top"/>
    </xf>
    <xf numFmtId="0" fontId="9" fillId="8" borderId="57" xfId="2" applyFont="1" applyFill="1" applyBorder="1" applyAlignment="1">
      <alignment vertical="top"/>
    </xf>
    <xf numFmtId="0" fontId="9" fillId="8" borderId="13" xfId="2" applyFont="1" applyFill="1" applyBorder="1" applyAlignment="1">
      <alignment horizontal="left" vertical="top"/>
    </xf>
    <xf numFmtId="0" fontId="9" fillId="8" borderId="36" xfId="2" applyFont="1" applyFill="1" applyBorder="1" applyAlignment="1">
      <alignment vertical="top"/>
    </xf>
    <xf numFmtId="0" fontId="9" fillId="8" borderId="37" xfId="2" applyFont="1" applyFill="1" applyBorder="1" applyAlignment="1">
      <alignment vertical="top"/>
    </xf>
    <xf numFmtId="0" fontId="9" fillId="8" borderId="14" xfId="2" applyFont="1" applyFill="1" applyBorder="1" applyAlignment="1">
      <alignment horizontal="left" vertical="top"/>
    </xf>
    <xf numFmtId="0" fontId="9" fillId="8" borderId="0" xfId="2" applyFont="1" applyFill="1" applyBorder="1" applyAlignment="1">
      <alignment vertical="top"/>
    </xf>
    <xf numFmtId="0" fontId="9" fillId="8" borderId="20" xfId="2" applyFont="1" applyFill="1" applyBorder="1" applyAlignment="1">
      <alignment vertical="top"/>
    </xf>
    <xf numFmtId="0" fontId="22" fillId="0" borderId="0" xfId="3">
      <alignment vertical="center"/>
    </xf>
    <xf numFmtId="0" fontId="23" fillId="2" borderId="0" xfId="3" applyFont="1" applyFill="1">
      <alignment vertical="center"/>
    </xf>
    <xf numFmtId="0" fontId="25" fillId="2" borderId="0" xfId="3" applyFont="1" applyFill="1">
      <alignment vertical="center"/>
    </xf>
    <xf numFmtId="0" fontId="26" fillId="2" borderId="0" xfId="3" applyFont="1" applyFill="1">
      <alignment vertical="center"/>
    </xf>
    <xf numFmtId="0" fontId="22" fillId="0" borderId="0" xfId="3" applyFill="1">
      <alignment vertical="center"/>
    </xf>
    <xf numFmtId="0" fontId="23" fillId="0" borderId="0" xfId="3" applyFont="1" applyFill="1">
      <alignment vertical="center"/>
    </xf>
    <xf numFmtId="0" fontId="25" fillId="0" borderId="0" xfId="3" applyFont="1" applyFill="1">
      <alignment vertical="center"/>
    </xf>
    <xf numFmtId="0" fontId="4" fillId="0" borderId="0" xfId="0" applyFont="1" applyFill="1" applyAlignment="1">
      <alignment horizontal="center" vertical="center"/>
    </xf>
    <xf numFmtId="0" fontId="26" fillId="0" borderId="0" xfId="3" applyFont="1" applyFill="1">
      <alignment vertical="center"/>
    </xf>
    <xf numFmtId="0" fontId="22" fillId="16" borderId="0" xfId="3" applyFill="1">
      <alignment vertical="center"/>
    </xf>
    <xf numFmtId="0" fontId="22" fillId="12" borderId="2" xfId="3" applyFill="1" applyBorder="1">
      <alignment vertical="center"/>
    </xf>
    <xf numFmtId="38" fontId="0" fillId="12" borderId="0" xfId="4" applyFont="1" applyFill="1">
      <alignment vertical="center"/>
    </xf>
    <xf numFmtId="0" fontId="27" fillId="12" borderId="2" xfId="3" applyFont="1" applyFill="1" applyBorder="1">
      <alignment vertical="center"/>
    </xf>
    <xf numFmtId="0" fontId="0" fillId="0" borderId="2" xfId="0" applyBorder="1">
      <alignment vertical="center"/>
    </xf>
    <xf numFmtId="0" fontId="0" fillId="11" borderId="2" xfId="0" applyFill="1" applyBorder="1">
      <alignment vertical="center"/>
    </xf>
    <xf numFmtId="0" fontId="29" fillId="0" borderId="0" xfId="0" applyFont="1">
      <alignment vertical="center"/>
    </xf>
    <xf numFmtId="0" fontId="29" fillId="17" borderId="0" xfId="0" applyFont="1" applyFill="1">
      <alignment vertical="center"/>
    </xf>
    <xf numFmtId="0" fontId="30" fillId="0" borderId="0" xfId="0" applyFont="1">
      <alignment vertical="center"/>
    </xf>
    <xf numFmtId="178" fontId="30" fillId="7" borderId="2" xfId="0" applyNumberFormat="1" applyFont="1" applyFill="1" applyBorder="1">
      <alignment vertical="center"/>
    </xf>
    <xf numFmtId="179" fontId="30" fillId="7" borderId="2" xfId="0" applyNumberFormat="1" applyFont="1" applyFill="1" applyBorder="1">
      <alignment vertical="center"/>
    </xf>
    <xf numFmtId="0" fontId="30" fillId="17" borderId="0" xfId="0" applyFont="1" applyFill="1">
      <alignment vertical="center"/>
    </xf>
    <xf numFmtId="0" fontId="30" fillId="17" borderId="58" xfId="0" applyFont="1" applyFill="1" applyBorder="1">
      <alignment vertical="center"/>
    </xf>
    <xf numFmtId="0" fontId="30" fillId="17" borderId="59" xfId="0" applyFont="1" applyFill="1" applyBorder="1">
      <alignment vertical="center"/>
    </xf>
    <xf numFmtId="0" fontId="30" fillId="17" borderId="60" xfId="0" applyFont="1" applyFill="1" applyBorder="1">
      <alignment vertical="center"/>
    </xf>
    <xf numFmtId="0" fontId="30" fillId="17" borderId="64" xfId="0" applyFont="1" applyFill="1" applyBorder="1">
      <alignment vertical="center"/>
    </xf>
    <xf numFmtId="0" fontId="31" fillId="2" borderId="0" xfId="0" applyFont="1" applyFill="1" applyAlignment="1">
      <alignment horizontal="center" vertical="center"/>
    </xf>
    <xf numFmtId="0" fontId="29" fillId="6" borderId="2" xfId="0" applyFont="1" applyFill="1" applyBorder="1">
      <alignment vertical="center"/>
    </xf>
    <xf numFmtId="0" fontId="30" fillId="0" borderId="2" xfId="0" applyFont="1" applyBorder="1">
      <alignment vertical="center"/>
    </xf>
    <xf numFmtId="0" fontId="30" fillId="0" borderId="46" xfId="0" applyFont="1" applyBorder="1">
      <alignment vertical="center"/>
    </xf>
    <xf numFmtId="0" fontId="30" fillId="0" borderId="25" xfId="0" applyFont="1" applyBorder="1">
      <alignment vertical="center"/>
    </xf>
    <xf numFmtId="0" fontId="30" fillId="0" borderId="65" xfId="0" applyFont="1" applyBorder="1">
      <alignment vertical="center"/>
    </xf>
    <xf numFmtId="0" fontId="30" fillId="0" borderId="66" xfId="0" applyFont="1" applyBorder="1">
      <alignment vertical="center"/>
    </xf>
    <xf numFmtId="0" fontId="30" fillId="0" borderId="67" xfId="0" applyFont="1" applyBorder="1">
      <alignment vertical="center"/>
    </xf>
    <xf numFmtId="0" fontId="30" fillId="0" borderId="68" xfId="0" applyFont="1" applyBorder="1">
      <alignment vertical="center"/>
    </xf>
    <xf numFmtId="180" fontId="30" fillId="0" borderId="0" xfId="0" applyNumberFormat="1" applyFont="1">
      <alignment vertical="center"/>
    </xf>
    <xf numFmtId="0" fontId="30" fillId="0" borderId="69" xfId="0" applyFont="1" applyBorder="1">
      <alignment vertical="center"/>
    </xf>
    <xf numFmtId="0" fontId="34" fillId="0" borderId="0" xfId="5" applyFont="1" applyAlignment="1"/>
    <xf numFmtId="0" fontId="35" fillId="0" borderId="0" xfId="5" applyFont="1" applyAlignment="1"/>
    <xf numFmtId="0" fontId="30" fillId="8" borderId="2" xfId="0" applyFont="1" applyFill="1" applyBorder="1">
      <alignment vertical="center"/>
    </xf>
    <xf numFmtId="0" fontId="30" fillId="8" borderId="11" xfId="0" applyFont="1" applyFill="1" applyBorder="1">
      <alignment vertical="center"/>
    </xf>
    <xf numFmtId="0" fontId="30" fillId="0" borderId="0" xfId="0" applyFont="1" applyBorder="1">
      <alignment vertical="center"/>
    </xf>
    <xf numFmtId="0" fontId="30" fillId="17" borderId="61" xfId="0" applyFont="1" applyFill="1" applyBorder="1" applyAlignment="1">
      <alignment horizontal="center" vertical="center"/>
    </xf>
    <xf numFmtId="0" fontId="30" fillId="17" borderId="62" xfId="0" applyFont="1" applyFill="1" applyBorder="1" applyAlignment="1">
      <alignment horizontal="center" vertical="center"/>
    </xf>
    <xf numFmtId="0" fontId="30" fillId="17" borderId="63" xfId="0" applyFont="1" applyFill="1" applyBorder="1" applyAlignment="1">
      <alignment horizontal="center" vertical="center"/>
    </xf>
    <xf numFmtId="0" fontId="34" fillId="0" borderId="0" xfId="5" applyFont="1" applyAlignment="1"/>
    <xf numFmtId="0" fontId="33" fillId="0" borderId="0" xfId="5" applyFont="1" applyAlignment="1"/>
    <xf numFmtId="0" fontId="9" fillId="15" borderId="35" xfId="2" applyFont="1" applyFill="1" applyBorder="1" applyAlignment="1">
      <alignment horizontal="center" vertical="center"/>
    </xf>
    <xf numFmtId="0" fontId="9" fillId="15" borderId="36" xfId="2" applyFont="1" applyFill="1" applyBorder="1" applyAlignment="1">
      <alignment horizontal="center" vertical="center"/>
    </xf>
    <xf numFmtId="0" fontId="9" fillId="15" borderId="37" xfId="2" applyFont="1" applyFill="1" applyBorder="1" applyAlignment="1">
      <alignment horizontal="center" vertical="center"/>
    </xf>
    <xf numFmtId="0" fontId="9" fillId="15" borderId="38" xfId="2" applyFont="1" applyFill="1" applyBorder="1" applyAlignment="1">
      <alignment horizontal="center" vertical="center"/>
    </xf>
    <xf numFmtId="0" fontId="9" fillId="15" borderId="39" xfId="2" applyFont="1" applyFill="1" applyBorder="1" applyAlignment="1">
      <alignment horizontal="center" vertical="center"/>
    </xf>
    <xf numFmtId="0" fontId="9" fillId="15" borderId="40" xfId="2" applyFont="1" applyFill="1" applyBorder="1" applyAlignment="1">
      <alignment horizontal="center" vertical="center"/>
    </xf>
    <xf numFmtId="0" fontId="9" fillId="15" borderId="12" xfId="2" applyFont="1" applyFill="1" applyBorder="1" applyAlignment="1">
      <alignment horizontal="center" vertical="center" wrapText="1"/>
    </xf>
    <xf numFmtId="0" fontId="9" fillId="15" borderId="41" xfId="2" applyFont="1" applyFill="1" applyBorder="1" applyAlignment="1">
      <alignment horizontal="center" vertical="center" wrapText="1"/>
    </xf>
    <xf numFmtId="0" fontId="9" fillId="8" borderId="42" xfId="2" applyFont="1" applyFill="1" applyBorder="1" applyAlignment="1">
      <alignment horizontal="left" vertical="top" wrapText="1"/>
    </xf>
    <xf numFmtId="0" fontId="9" fillId="8" borderId="25" xfId="2" applyFont="1" applyFill="1" applyBorder="1" applyAlignment="1">
      <alignment horizontal="left" vertical="top" wrapText="1"/>
    </xf>
    <xf numFmtId="0" fontId="9" fillId="0" borderId="4" xfId="2" applyFont="1" applyFill="1" applyBorder="1" applyAlignment="1">
      <alignment vertical="top" wrapText="1"/>
    </xf>
    <xf numFmtId="0" fontId="9" fillId="0" borderId="45" xfId="2" applyFont="1" applyBorder="1" applyAlignment="1">
      <alignment vertical="top" wrapText="1"/>
    </xf>
    <xf numFmtId="0" fontId="0" fillId="0" borderId="22" xfId="0" applyBorder="1" applyAlignment="1">
      <alignment horizontal="left" vertical="center"/>
    </xf>
    <xf numFmtId="0" fontId="0" fillId="0" borderId="23" xfId="0" applyBorder="1" applyAlignment="1">
      <alignment horizontal="left" vertical="center"/>
    </xf>
    <xf numFmtId="0" fontId="0" fillId="0" borderId="18" xfId="0" applyBorder="1" applyAlignment="1">
      <alignment horizontal="left" vertical="center"/>
    </xf>
    <xf numFmtId="0" fontId="0" fillId="0" borderId="0" xfId="0" applyBorder="1" applyAlignment="1">
      <alignment horizontal="left" vertical="center"/>
    </xf>
    <xf numFmtId="0" fontId="0" fillId="0" borderId="16" xfId="0" applyBorder="1" applyAlignment="1">
      <alignment horizontal="left" vertical="center"/>
    </xf>
    <xf numFmtId="0" fontId="0" fillId="0" borderId="20" xfId="0" applyBorder="1" applyAlignment="1">
      <alignment horizontal="left" vertical="center"/>
    </xf>
  </cellXfs>
  <cellStyles count="6">
    <cellStyle name="桁区切り 2" xfId="4" xr:uid="{00000000-0005-0000-0000-000000000000}"/>
    <cellStyle name="通貨" xfId="1" builtinId="7"/>
    <cellStyle name="標準" xfId="0" builtinId="0"/>
    <cellStyle name="標準 2" xfId="2" xr:uid="{00000000-0005-0000-0000-000003000000}"/>
    <cellStyle name="標準 2 2" xfId="3" xr:uid="{00000000-0005-0000-0000-000004000000}"/>
    <cellStyle name="標準 3" xfId="5" xr:uid="{00000000-0005-0000-0000-000005000000}"/>
  </cellStyles>
  <dxfs count="6">
    <dxf>
      <font>
        <b/>
        <i val="0"/>
        <strike/>
        <color theme="0"/>
      </font>
      <fill>
        <patternFill>
          <bgColor rgb="FFFF0000"/>
        </patternFill>
      </fill>
    </dxf>
    <dxf>
      <font>
        <b/>
        <i val="0"/>
        <strike/>
        <color theme="0"/>
      </font>
      <fill>
        <patternFill>
          <bgColor rgb="FFFF00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dxf>
  </dxfs>
  <tableStyles count="0" defaultTableStyle="TableStyleMedium2" defaultPivotStyle="PivotStyleLight16"/>
  <colors>
    <mruColors>
      <color rgb="FFFFFF99"/>
      <color rgb="FF663300"/>
      <color rgb="FFCC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oneCellAnchor>
    <xdr:from>
      <xdr:col>1</xdr:col>
      <xdr:colOff>495300</xdr:colOff>
      <xdr:row>23</xdr:row>
      <xdr:rowOff>95250</xdr:rowOff>
    </xdr:from>
    <xdr:ext cx="990599" cy="10977621"/>
    <xdr:sp macro="" textlink="">
      <xdr:nvSpPr>
        <xdr:cNvPr id="2" name="テキスト ボックス 1">
          <a:extLst>
            <a:ext uri="{FF2B5EF4-FFF2-40B4-BE49-F238E27FC236}">
              <a16:creationId xmlns:a16="http://schemas.microsoft.com/office/drawing/2014/main" id="{00000000-0008-0000-0100-000002000000}"/>
            </a:ext>
          </a:extLst>
        </xdr:cNvPr>
        <xdr:cNvSpPr txBox="1"/>
      </xdr:nvSpPr>
      <xdr:spPr>
        <a:xfrm>
          <a:off x="1962150" y="5600700"/>
          <a:ext cx="990599" cy="10977621"/>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マクロが申請者所属をそのままコピーしてくる。</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t>
          </a:r>
          <a:r>
            <a:rPr kumimoji="1" lang="ja-JP" altLang="en-US" sz="1100">
              <a:solidFill>
                <a:srgbClr val="FF0000"/>
              </a:solidFill>
            </a:rPr>
            <a:t>現在２５５件までセル定義済。増やす場合は、</a:t>
          </a:r>
          <a:r>
            <a:rPr kumimoji="1" lang="en-US" altLang="ja-JP" sz="1100">
              <a:solidFill>
                <a:srgbClr val="FF0000"/>
              </a:solidFill>
            </a:rPr>
            <a:t>C</a:t>
          </a:r>
          <a:r>
            <a:rPr kumimoji="1" lang="ja-JP" altLang="en-US" sz="1100">
              <a:solidFill>
                <a:srgbClr val="FF0000"/>
              </a:solidFill>
            </a:rPr>
            <a:t>：</a:t>
          </a:r>
          <a:r>
            <a:rPr kumimoji="1" lang="en-US" altLang="ja-JP" sz="1100">
              <a:solidFill>
                <a:srgbClr val="FF0000"/>
              </a:solidFill>
            </a:rPr>
            <a:t>D</a:t>
          </a:r>
          <a:r>
            <a:rPr kumimoji="1" lang="ja-JP" altLang="en-US" sz="1100">
              <a:solidFill>
                <a:srgbClr val="FF0000"/>
              </a:solidFill>
            </a:rPr>
            <a:t>列の定義済セルを複製する</a:t>
          </a:r>
          <a:r>
            <a:rPr kumimoji="1" lang="en-US" altLang="ja-JP" sz="1100">
              <a:solidFill>
                <a:srgbClr val="FF0000"/>
              </a:solidFill>
            </a:rPr>
            <a:t>》</a:t>
          </a: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en-US" altLang="ja-JP" sz="1100">
              <a:solidFill>
                <a:srgbClr val="FF0000"/>
              </a:solidFill>
            </a:rPr>
            <a:t>C:H</a:t>
          </a:r>
        </a:p>
        <a:p>
          <a:r>
            <a:rPr kumimoji="1" lang="ja-JP" altLang="en-US" sz="1100">
              <a:solidFill>
                <a:srgbClr val="FF0000"/>
              </a:solidFill>
            </a:rPr>
            <a:t>重複削除され、親組織が特定され、親組織単位で登場数が計数される</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そのなかで親組織が特定されないものは、かぞえあげが付与される（</a:t>
          </a:r>
          <a:r>
            <a:rPr kumimoji="1" lang="en-US" altLang="ja-JP" sz="1100">
              <a:solidFill>
                <a:srgbClr val="FF0000"/>
              </a:solidFill>
            </a:rPr>
            <a:t>G</a:t>
          </a:r>
          <a:r>
            <a:rPr kumimoji="1" lang="ja-JP" altLang="en-US" sz="1100">
              <a:solidFill>
                <a:srgbClr val="FF0000"/>
              </a:solidFill>
            </a:rPr>
            <a:t>列）</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その場合、</a:t>
          </a:r>
          <a:endParaRPr kumimoji="1" lang="en-US" altLang="ja-JP" sz="1100">
            <a:solidFill>
              <a:srgbClr val="FF0000"/>
            </a:solidFill>
          </a:endParaRPr>
        </a:p>
        <a:p>
          <a:r>
            <a:rPr kumimoji="1" lang="en-US" altLang="ja-JP" sz="1100">
              <a:solidFill>
                <a:srgbClr val="FF0000"/>
              </a:solidFill>
            </a:rPr>
            <a:t>AK</a:t>
          </a:r>
          <a:r>
            <a:rPr kumimoji="1" lang="ja-JP" altLang="en-US" sz="1100">
              <a:solidFill>
                <a:srgbClr val="FF0000"/>
              </a:solidFill>
            </a:rPr>
            <a:t>列と</a:t>
          </a:r>
          <a:r>
            <a:rPr kumimoji="1" lang="en-US" altLang="ja-JP" sz="1100">
              <a:solidFill>
                <a:srgbClr val="FF0000"/>
              </a:solidFill>
            </a:rPr>
            <a:t>AP</a:t>
          </a:r>
          <a:r>
            <a:rPr kumimoji="1" lang="ja-JP" altLang="en-US" sz="1100">
              <a:solidFill>
                <a:srgbClr val="FF0000"/>
              </a:solidFill>
            </a:rPr>
            <a:t>列に、それぞれ臨時の設定として、引き継ぎ親組織名（引き継ぎ本部名）と</a:t>
          </a:r>
          <a:r>
            <a:rPr kumimoji="1" lang="en-US" altLang="ja-JP" sz="1100">
              <a:solidFill>
                <a:srgbClr val="FF0000"/>
              </a:solidFill>
            </a:rPr>
            <a:t>BU</a:t>
          </a:r>
          <a:r>
            <a:rPr kumimoji="1" lang="ja-JP" altLang="en-US" sz="1100">
              <a:solidFill>
                <a:srgbClr val="FF0000"/>
              </a:solidFill>
            </a:rPr>
            <a:t>名等を記入すると、引き継ぎ親組織の計数に組み入れられる。</a:t>
          </a:r>
        </a:p>
      </xdr:txBody>
    </xdr:sp>
    <xdr:clientData/>
  </xdr:oneCellAnchor>
  <xdr:oneCellAnchor>
    <xdr:from>
      <xdr:col>7</xdr:col>
      <xdr:colOff>114299</xdr:colOff>
      <xdr:row>18</xdr:row>
      <xdr:rowOff>123825</xdr:rowOff>
    </xdr:from>
    <xdr:ext cx="942975" cy="8336128"/>
    <xdr:sp macro="" textlink="">
      <xdr:nvSpPr>
        <xdr:cNvPr id="3" name="テキスト ボックス 2">
          <a:extLst>
            <a:ext uri="{FF2B5EF4-FFF2-40B4-BE49-F238E27FC236}">
              <a16:creationId xmlns:a16="http://schemas.microsoft.com/office/drawing/2014/main" id="{00000000-0008-0000-0100-000003000000}"/>
            </a:ext>
          </a:extLst>
        </xdr:cNvPr>
        <xdr:cNvSpPr txBox="1"/>
      </xdr:nvSpPr>
      <xdr:spPr>
        <a:xfrm>
          <a:off x="4410074" y="4419600"/>
          <a:ext cx="942975" cy="8336128"/>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経企画からもらう組織表の略称列を列ＡＪに入れる。</a:t>
          </a:r>
          <a:endParaRPr kumimoji="1" lang="en-US" altLang="ja-JP" sz="1100">
            <a:solidFill>
              <a:srgbClr val="FF0000"/>
            </a:solidFill>
          </a:endParaRPr>
        </a:p>
        <a:p>
          <a:endParaRPr kumimoji="1" lang="en-US" altLang="ja-JP" sz="1100">
            <a:solidFill>
              <a:srgbClr val="FF0000"/>
            </a:solidFill>
          </a:endParaRPr>
        </a:p>
        <a:p>
          <a:r>
            <a:rPr kumimoji="1" lang="ja-JP" altLang="en-US" sz="1100" strike="dblStrike" baseline="0">
              <a:solidFill>
                <a:srgbClr val="FF0000"/>
              </a:solidFill>
            </a:rPr>
            <a:t>本部組織は、経ＣＣだけが例外であるが、本、部、室、Ｃ、推</a:t>
          </a:r>
          <a:endParaRPr kumimoji="1" lang="en-US" altLang="ja-JP" sz="1100" strike="dblStrike" baseline="0">
            <a:solidFill>
              <a:srgbClr val="FF0000"/>
            </a:solidFill>
          </a:endParaRPr>
        </a:p>
        <a:p>
          <a:r>
            <a:rPr kumimoji="1" lang="ja-JP" altLang="en-US" sz="1100" strike="dblStrike" baseline="0">
              <a:solidFill>
                <a:srgbClr val="FF0000"/>
              </a:solidFill>
            </a:rPr>
            <a:t>のいずれかの文字で終わるというルール</a:t>
          </a:r>
          <a:endParaRPr kumimoji="1" lang="en-US" altLang="ja-JP" sz="1100" strike="dblStrike" baseline="0">
            <a:solidFill>
              <a:srgbClr val="FF0000"/>
            </a:solidFill>
          </a:endParaRPr>
        </a:p>
        <a:p>
          <a:endParaRPr kumimoji="1" lang="en-US" altLang="ja-JP" sz="1100">
            <a:solidFill>
              <a:srgbClr val="FF0000"/>
            </a:solidFill>
          </a:endParaRPr>
        </a:p>
        <a:p>
          <a:r>
            <a:rPr kumimoji="1" lang="ja-JP" altLang="en-US" sz="1100">
              <a:solidFill>
                <a:srgbClr val="FF0000"/>
              </a:solidFill>
            </a:rPr>
            <a:t>（修正：セルの固定色を返す関数をつくり、これを使っている。）</a:t>
          </a:r>
          <a:endParaRPr kumimoji="1" lang="en-US" altLang="ja-JP" sz="1100">
            <a:solidFill>
              <a:srgbClr val="FF0000"/>
            </a:solidFill>
          </a:endParaRPr>
        </a:p>
        <a:p>
          <a:r>
            <a:rPr kumimoji="1" lang="ja-JP" altLang="en-US" sz="1100">
              <a:solidFill>
                <a:srgbClr val="FF0000"/>
              </a:solidFill>
            </a:rPr>
            <a:t>にしたがって、配下組織から本部への集計を行い、実績がある（集計が０でない）本部を連結して</a:t>
          </a:r>
          <a:r>
            <a:rPr kumimoji="1" lang="en-US" altLang="ja-JP" sz="1100">
              <a:solidFill>
                <a:srgbClr val="FF0000"/>
              </a:solidFill>
            </a:rPr>
            <a:t>M:O</a:t>
          </a:r>
          <a:r>
            <a:rPr kumimoji="1" lang="ja-JP" altLang="en-US" sz="1100">
              <a:solidFill>
                <a:srgbClr val="FF0000"/>
              </a:solidFill>
            </a:rPr>
            <a:t>に表示するしかけ。</a:t>
          </a:r>
        </a:p>
      </xdr:txBody>
    </xdr:sp>
    <xdr:clientData/>
  </xdr:oneCellAnchor>
  <xdr:oneCellAnchor>
    <xdr:from>
      <xdr:col>19</xdr:col>
      <xdr:colOff>114300</xdr:colOff>
      <xdr:row>13</xdr:row>
      <xdr:rowOff>152400</xdr:rowOff>
    </xdr:from>
    <xdr:ext cx="952500" cy="3206006"/>
    <xdr:sp macro="" textlink="">
      <xdr:nvSpPr>
        <xdr:cNvPr id="4" name="テキスト ボックス 3">
          <a:extLst>
            <a:ext uri="{FF2B5EF4-FFF2-40B4-BE49-F238E27FC236}">
              <a16:creationId xmlns:a16="http://schemas.microsoft.com/office/drawing/2014/main" id="{00000000-0008-0000-0100-000004000000}"/>
            </a:ext>
          </a:extLst>
        </xdr:cNvPr>
        <xdr:cNvSpPr txBox="1"/>
      </xdr:nvSpPr>
      <xdr:spPr>
        <a:xfrm>
          <a:off x="12630150" y="3248025"/>
          <a:ext cx="952500" cy="3206006"/>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マクロが取引内容区分をそのままコピーしてくる。</a:t>
          </a:r>
          <a:endParaRPr kumimoji="1" lang="en-US" altLang="ja-JP" sz="1100">
            <a:solidFill>
              <a:srgbClr val="FF0000"/>
            </a:solidFill>
          </a:endParaRP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登場回数計数のうえ実績があったものを</a:t>
          </a:r>
          <a:r>
            <a:rPr kumimoji="1" lang="en-US" altLang="ja-JP" sz="1100">
              <a:solidFill>
                <a:srgbClr val="FF0000"/>
              </a:solidFill>
            </a:rPr>
            <a:t>W</a:t>
          </a:r>
          <a:r>
            <a:rPr kumimoji="1" lang="ja-JP" altLang="en-US" sz="1100">
              <a:solidFill>
                <a:srgbClr val="FF0000"/>
              </a:solidFill>
            </a:rPr>
            <a:t>列に連結。自動集計。</a:t>
          </a:r>
        </a:p>
      </xdr:txBody>
    </xdr:sp>
    <xdr:clientData/>
  </xdr:oneCellAnchor>
  <xdr:oneCellAnchor>
    <xdr:from>
      <xdr:col>26</xdr:col>
      <xdr:colOff>66675</xdr:colOff>
      <xdr:row>1</xdr:row>
      <xdr:rowOff>104775</xdr:rowOff>
    </xdr:from>
    <xdr:ext cx="952500" cy="7672357"/>
    <xdr:sp macro="" textlink="">
      <xdr:nvSpPr>
        <xdr:cNvPr id="5" name="テキスト ボックス 4">
          <a:extLst>
            <a:ext uri="{FF2B5EF4-FFF2-40B4-BE49-F238E27FC236}">
              <a16:creationId xmlns:a16="http://schemas.microsoft.com/office/drawing/2014/main" id="{00000000-0008-0000-0100-000005000000}"/>
            </a:ext>
          </a:extLst>
        </xdr:cNvPr>
        <xdr:cNvSpPr txBox="1"/>
      </xdr:nvSpPr>
      <xdr:spPr>
        <a:xfrm>
          <a:off x="18630900" y="342900"/>
          <a:ext cx="952500" cy="7672357"/>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マクロが仕向地をそのままコピーしてくる。</a:t>
          </a:r>
          <a:endParaRPr kumimoji="1" lang="en-US" altLang="ja-JP" sz="1100">
            <a:solidFill>
              <a:srgbClr val="FF0000"/>
            </a:solidFill>
          </a:endParaRP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手作業で重複削除する。</a:t>
          </a:r>
          <a:endParaRPr kumimoji="1" lang="en-US" altLang="ja-JP" sz="1100">
            <a:solidFill>
              <a:srgbClr val="FF0000"/>
            </a:solidFill>
          </a:endParaRPr>
        </a:p>
        <a:p>
          <a:r>
            <a:rPr kumimoji="1" lang="ja-JP" altLang="en-US" sz="1100">
              <a:solidFill>
                <a:srgbClr val="FF0000"/>
              </a:solidFill>
            </a:rPr>
            <a:t>ソートはしてもしなくてもいい。</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AC</a:t>
          </a:r>
          <a:r>
            <a:rPr kumimoji="1" lang="ja-JP" altLang="en-US" sz="1100">
              <a:solidFill>
                <a:srgbClr val="FF0000"/>
              </a:solidFill>
            </a:rPr>
            <a:t>列は自動で算出。</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名寄せのために</a:t>
          </a:r>
          <a:r>
            <a:rPr kumimoji="1" lang="en-US" altLang="ja-JP" sz="1100">
              <a:solidFill>
                <a:srgbClr val="FF0000"/>
              </a:solidFill>
            </a:rPr>
            <a:t>AB</a:t>
          </a:r>
          <a:r>
            <a:rPr kumimoji="1" lang="ja-JP" altLang="en-US" sz="1100">
              <a:solidFill>
                <a:srgbClr val="FF0000"/>
              </a:solidFill>
            </a:rPr>
            <a:t>列を並べ替える。名寄したい仕向地を隣接させる。</a:t>
          </a:r>
          <a:endParaRPr kumimoji="1" lang="en-US" altLang="ja-JP" sz="1100">
            <a:solidFill>
              <a:srgbClr val="FF0000"/>
            </a:solidFill>
          </a:endParaRPr>
        </a:p>
        <a:p>
          <a:r>
            <a:rPr kumimoji="1" lang="en-US" altLang="ja-JP" sz="1100">
              <a:solidFill>
                <a:srgbClr val="FF0000"/>
              </a:solidFill>
            </a:rPr>
            <a:t>AD</a:t>
          </a:r>
          <a:r>
            <a:rPr kumimoji="1" lang="ja-JP" altLang="en-US" sz="1100">
              <a:solidFill>
                <a:srgbClr val="FF0000"/>
              </a:solidFill>
            </a:rPr>
            <a:t>列の手作業で名寄せ集計する。</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空白セルがあってもよい。</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AE</a:t>
          </a:r>
          <a:r>
            <a:rPr kumimoji="1" lang="ja-JP" altLang="en-US" sz="1100">
              <a:solidFill>
                <a:srgbClr val="FF0000"/>
              </a:solidFill>
            </a:rPr>
            <a:t>列に自動で順位があらわれる。</a:t>
          </a:r>
        </a:p>
      </xdr:txBody>
    </xdr:sp>
    <xdr:clientData/>
  </xdr:oneCellAnchor>
  <xdr:oneCellAnchor>
    <xdr:from>
      <xdr:col>32</xdr:col>
      <xdr:colOff>114300</xdr:colOff>
      <xdr:row>10</xdr:row>
      <xdr:rowOff>123825</xdr:rowOff>
    </xdr:from>
    <xdr:ext cx="952500" cy="5739135"/>
    <xdr:sp macro="" textlink="">
      <xdr:nvSpPr>
        <xdr:cNvPr id="6" name="テキスト ボックス 5">
          <a:extLst>
            <a:ext uri="{FF2B5EF4-FFF2-40B4-BE49-F238E27FC236}">
              <a16:creationId xmlns:a16="http://schemas.microsoft.com/office/drawing/2014/main" id="{00000000-0008-0000-0100-000006000000}"/>
            </a:ext>
          </a:extLst>
        </xdr:cNvPr>
        <xdr:cNvSpPr txBox="1"/>
      </xdr:nvSpPr>
      <xdr:spPr>
        <a:xfrm>
          <a:off x="23421975" y="2505075"/>
          <a:ext cx="952500" cy="5739135"/>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手作業で入力して件数差のある上位を採用。</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effectLst/>
              <a:latin typeface="+mn-lt"/>
              <a:ea typeface="+mn-ea"/>
              <a:cs typeface="+mn-cs"/>
            </a:rPr>
            <a:t>AG</a:t>
          </a:r>
          <a:r>
            <a:rPr kumimoji="1" lang="ja-JP" altLang="ja-JP" sz="1100">
              <a:solidFill>
                <a:srgbClr val="FF0000"/>
              </a:solidFill>
              <a:effectLst/>
              <a:latin typeface="+mn-lt"/>
              <a:ea typeface="+mn-ea"/>
              <a:cs typeface="+mn-cs"/>
            </a:rPr>
            <a:t>列に</a:t>
          </a:r>
          <a:r>
            <a:rPr kumimoji="1" lang="en-US" altLang="ja-JP" sz="1100">
              <a:solidFill>
                <a:srgbClr val="FF0000"/>
              </a:solidFill>
              <a:effectLst/>
              <a:latin typeface="+mn-lt"/>
              <a:ea typeface="+mn-ea"/>
              <a:cs typeface="+mn-cs"/>
            </a:rPr>
            <a:t>1</a:t>
          </a:r>
          <a:r>
            <a:rPr kumimoji="1" lang="ja-JP" altLang="ja-JP" sz="1100">
              <a:solidFill>
                <a:srgbClr val="FF0000"/>
              </a:solidFill>
              <a:effectLst/>
              <a:latin typeface="+mn-lt"/>
              <a:ea typeface="+mn-ea"/>
              <a:cs typeface="+mn-cs"/>
            </a:rPr>
            <a:t>～６位など取り上げる</a:t>
          </a:r>
          <a:r>
            <a:rPr kumimoji="1" lang="ja-JP" altLang="en-US" sz="1100">
              <a:solidFill>
                <a:srgbClr val="FF0000"/>
              </a:solidFill>
              <a:effectLst/>
              <a:latin typeface="+mn-lt"/>
              <a:ea typeface="+mn-ea"/>
              <a:cs typeface="+mn-cs"/>
            </a:rPr>
            <a:t>順位</a:t>
          </a:r>
          <a:r>
            <a:rPr kumimoji="1" lang="ja-JP" altLang="ja-JP" sz="1100">
              <a:solidFill>
                <a:srgbClr val="FF0000"/>
              </a:solidFill>
              <a:effectLst/>
              <a:latin typeface="+mn-lt"/>
              <a:ea typeface="+mn-ea"/>
              <a:cs typeface="+mn-cs"/>
            </a:rPr>
            <a:t>を数字</a:t>
          </a:r>
          <a:r>
            <a:rPr kumimoji="1" lang="en-US" altLang="ja-JP" sz="1100">
              <a:solidFill>
                <a:srgbClr val="FF0000"/>
              </a:solidFill>
              <a:effectLst/>
              <a:latin typeface="+mn-lt"/>
              <a:ea typeface="+mn-ea"/>
              <a:cs typeface="+mn-cs"/>
            </a:rPr>
            <a:t>1</a:t>
          </a:r>
          <a:r>
            <a:rPr kumimoji="1" lang="ja-JP" altLang="ja-JP" sz="1100">
              <a:solidFill>
                <a:srgbClr val="FF0000"/>
              </a:solidFill>
              <a:effectLst/>
              <a:latin typeface="+mn-lt"/>
              <a:ea typeface="+mn-ea"/>
              <a:cs typeface="+mn-cs"/>
            </a:rPr>
            <a:t>からたとえば</a:t>
          </a:r>
          <a:r>
            <a:rPr kumimoji="1" lang="en-US" altLang="ja-JP" sz="1100">
              <a:solidFill>
                <a:srgbClr val="FF0000"/>
              </a:solidFill>
              <a:effectLst/>
              <a:latin typeface="+mn-lt"/>
              <a:ea typeface="+mn-ea"/>
              <a:cs typeface="+mn-cs"/>
            </a:rPr>
            <a:t>6</a:t>
          </a:r>
          <a:r>
            <a:rPr kumimoji="1" lang="ja-JP" altLang="ja-JP" sz="1100">
              <a:solidFill>
                <a:srgbClr val="FF0000"/>
              </a:solidFill>
              <a:effectLst/>
              <a:latin typeface="+mn-lt"/>
              <a:ea typeface="+mn-ea"/>
              <a:cs typeface="+mn-cs"/>
            </a:rPr>
            <a:t>までで入力。</a:t>
          </a:r>
          <a:endParaRPr lang="ja-JP" altLang="ja-JP">
            <a:solidFill>
              <a:srgbClr val="FF0000"/>
            </a:solidFill>
            <a:effectLst/>
          </a:endParaRPr>
        </a:p>
        <a:p>
          <a:endParaRPr kumimoji="1" lang="en-US" altLang="ja-JP" sz="1100">
            <a:solidFill>
              <a:srgbClr val="FF0000"/>
            </a:solidFill>
          </a:endParaRPr>
        </a:p>
        <a:p>
          <a:r>
            <a:rPr kumimoji="1" lang="en-US" altLang="ja-JP" sz="1100">
              <a:solidFill>
                <a:srgbClr val="FF0000"/>
              </a:solidFill>
            </a:rPr>
            <a:t>AF</a:t>
          </a:r>
          <a:r>
            <a:rPr kumimoji="1" lang="ja-JP" altLang="en-US" sz="1100">
              <a:solidFill>
                <a:srgbClr val="FF0000"/>
              </a:solidFill>
            </a:rPr>
            <a:t>列では同順位の場合に上から序数をわりあてる。</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AG</a:t>
          </a:r>
          <a:r>
            <a:rPr kumimoji="1" lang="ja-JP" altLang="en-US" sz="1100">
              <a:solidFill>
                <a:srgbClr val="FF0000"/>
              </a:solidFill>
            </a:rPr>
            <a:t>列に指定した順位までの数値の</a:t>
          </a:r>
          <a:r>
            <a:rPr kumimoji="1" lang="en-US" altLang="ja-JP" sz="1100">
              <a:solidFill>
                <a:srgbClr val="FF0000"/>
              </a:solidFill>
            </a:rPr>
            <a:t>AE</a:t>
          </a:r>
          <a:r>
            <a:rPr kumimoji="1" lang="ja-JP" altLang="en-US" sz="1100">
              <a:solidFill>
                <a:srgbClr val="FF0000"/>
              </a:solidFill>
            </a:rPr>
            <a:t>列が自動でハイライトされる。</a:t>
          </a:r>
        </a:p>
      </xdr:txBody>
    </xdr:sp>
    <xdr:clientData/>
  </xdr:oneCellAnchor>
  <xdr:oneCellAnchor>
    <xdr:from>
      <xdr:col>45</xdr:col>
      <xdr:colOff>19050</xdr:colOff>
      <xdr:row>0</xdr:row>
      <xdr:rowOff>171450</xdr:rowOff>
    </xdr:from>
    <xdr:ext cx="885825" cy="2861553"/>
    <xdr:sp macro="" textlink="">
      <xdr:nvSpPr>
        <xdr:cNvPr id="7" name="テキスト ボックス 6">
          <a:extLst>
            <a:ext uri="{FF2B5EF4-FFF2-40B4-BE49-F238E27FC236}">
              <a16:creationId xmlns:a16="http://schemas.microsoft.com/office/drawing/2014/main" id="{00000000-0008-0000-0100-000007000000}"/>
            </a:ext>
          </a:extLst>
        </xdr:cNvPr>
        <xdr:cNvSpPr txBox="1"/>
      </xdr:nvSpPr>
      <xdr:spPr>
        <a:xfrm>
          <a:off x="33794700" y="171450"/>
          <a:ext cx="885825" cy="2861553"/>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左が包括許可適用の取引。</a:t>
          </a:r>
          <a:endParaRPr kumimoji="1" lang="en-US" altLang="ja-JP" sz="1100">
            <a:solidFill>
              <a:srgbClr val="FF0000"/>
            </a:solidFill>
          </a:endParaRPr>
        </a:p>
        <a:p>
          <a:r>
            <a:rPr kumimoji="1" lang="ja-JP" altLang="en-US" sz="1100">
              <a:solidFill>
                <a:srgbClr val="FF0000"/>
              </a:solidFill>
            </a:rPr>
            <a:t>右が特例適用（少額・公知）の取引。</a:t>
          </a:r>
          <a:endParaRPr kumimoji="1" lang="en-US" altLang="ja-JP" sz="1100">
            <a:solidFill>
              <a:srgbClr val="FF0000"/>
            </a:solidFill>
          </a:endParaRPr>
        </a:p>
        <a:p>
          <a:r>
            <a:rPr kumimoji="1" lang="ja-JP" altLang="en-US" sz="1100">
              <a:solidFill>
                <a:srgbClr val="FF0000"/>
              </a:solidFill>
            </a:rPr>
            <a:t>包括・特例のシートの承認番号欄にコピー</a:t>
          </a:r>
        </a:p>
      </xdr:txBody>
    </xdr:sp>
    <xdr:clientData/>
  </xdr:oneCellAnchor>
  <xdr:oneCellAnchor>
    <xdr:from>
      <xdr:col>47</xdr:col>
      <xdr:colOff>28575</xdr:colOff>
      <xdr:row>0</xdr:row>
      <xdr:rowOff>171450</xdr:rowOff>
    </xdr:from>
    <xdr:ext cx="885825" cy="2153282"/>
    <xdr:sp macro="" textlink="">
      <xdr:nvSpPr>
        <xdr:cNvPr id="8" name="テキスト ボックス 7">
          <a:extLst>
            <a:ext uri="{FF2B5EF4-FFF2-40B4-BE49-F238E27FC236}">
              <a16:creationId xmlns:a16="http://schemas.microsoft.com/office/drawing/2014/main" id="{00000000-0008-0000-0100-000008000000}"/>
            </a:ext>
          </a:extLst>
        </xdr:cNvPr>
        <xdr:cNvSpPr txBox="1"/>
      </xdr:nvSpPr>
      <xdr:spPr>
        <a:xfrm>
          <a:off x="36156900" y="171450"/>
          <a:ext cx="885825" cy="2153282"/>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該当であるが許可特例を適用していないもの＝</a:t>
          </a:r>
          <a:r>
            <a:rPr kumimoji="1" lang="en-US" altLang="ja-JP" sz="1100">
              <a:solidFill>
                <a:srgbClr val="FF0000"/>
              </a:solidFill>
            </a:rPr>
            <a:t>『</a:t>
          </a:r>
          <a:r>
            <a:rPr kumimoji="1" lang="ja-JP" altLang="en-US" sz="1100">
              <a:solidFill>
                <a:srgbClr val="FF0000"/>
              </a:solidFill>
            </a:rPr>
            <a:t>該当の</a:t>
          </a:r>
          <a:r>
            <a:rPr kumimoji="1" lang="en-US" altLang="ja-JP" sz="1100">
              <a:solidFill>
                <a:srgbClr val="FF0000"/>
              </a:solidFill>
            </a:rPr>
            <a:t>』</a:t>
          </a:r>
          <a:r>
            <a:rPr kumimoji="1" lang="ja-JP" altLang="en-US" sz="1100">
              <a:solidFill>
                <a:srgbClr val="FF0000"/>
              </a:solidFill>
            </a:rPr>
            <a:t>国内取引：件数を表に記載</a:t>
          </a:r>
        </a:p>
      </xdr:txBody>
    </xdr:sp>
    <xdr:clientData/>
  </xdr:oneCellAnchor>
  <xdr:oneCellAnchor>
    <xdr:from>
      <xdr:col>37</xdr:col>
      <xdr:colOff>66675</xdr:colOff>
      <xdr:row>0</xdr:row>
      <xdr:rowOff>85725</xdr:rowOff>
    </xdr:from>
    <xdr:ext cx="2657475" cy="800100"/>
    <xdr:sp macro="" textlink="">
      <xdr:nvSpPr>
        <xdr:cNvPr id="11" name="テキスト ボックス 10">
          <a:extLst>
            <a:ext uri="{FF2B5EF4-FFF2-40B4-BE49-F238E27FC236}">
              <a16:creationId xmlns:a16="http://schemas.microsoft.com/office/drawing/2014/main" id="{00000000-0008-0000-0100-00000B000000}"/>
            </a:ext>
          </a:extLst>
        </xdr:cNvPr>
        <xdr:cNvSpPr txBox="1"/>
      </xdr:nvSpPr>
      <xdr:spPr>
        <a:xfrm>
          <a:off x="26984325" y="85725"/>
          <a:ext cx="2657475" cy="800100"/>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旧組織の</a:t>
          </a:r>
          <a:r>
            <a:rPr kumimoji="1" lang="en-US" altLang="ja-JP" sz="1000">
              <a:solidFill>
                <a:srgbClr val="FF0000"/>
              </a:solidFill>
              <a:latin typeface="BIZ UDゴシック" panose="020B0400000000000000" pitchFamily="49" charset="-128"/>
              <a:ea typeface="BIZ UDゴシック" panose="020B0400000000000000" pitchFamily="49" charset="-128"/>
            </a:rPr>
            <a:t>BU</a:t>
          </a:r>
          <a:r>
            <a:rPr kumimoji="1" lang="ja-JP" altLang="en-US" sz="1000">
              <a:solidFill>
                <a:srgbClr val="FF0000"/>
              </a:solidFill>
              <a:latin typeface="BIZ UDゴシック" panose="020B0400000000000000" pitchFamily="49" charset="-128"/>
              <a:ea typeface="BIZ UDゴシック" panose="020B0400000000000000" pitchFamily="49" charset="-128"/>
            </a:rPr>
            <a:t>があったときは、この左右に</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（黄色塗りの例を上書きしてよいので）</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←引き継いだ本部　　　　と　　　　</a:t>
          </a:r>
          <a:r>
            <a:rPr kumimoji="1" lang="en-US" altLang="ja-JP" sz="1000">
              <a:solidFill>
                <a:srgbClr val="FF0000"/>
              </a:solidFill>
              <a:latin typeface="BIZ UDゴシック" panose="020B0400000000000000" pitchFamily="49" charset="-128"/>
              <a:ea typeface="BIZ UDゴシック" panose="020B0400000000000000" pitchFamily="49" charset="-128"/>
            </a:rPr>
            <a:t>BU</a:t>
          </a:r>
          <a:r>
            <a:rPr kumimoji="1" lang="ja-JP" altLang="en-US" sz="1000">
              <a:solidFill>
                <a:srgbClr val="FF0000"/>
              </a:solidFill>
              <a:latin typeface="BIZ UDゴシック" panose="020B0400000000000000" pitchFamily="49" charset="-128"/>
              <a:ea typeface="BIZ UDゴシック" panose="020B0400000000000000" pitchFamily="49" charset="-128"/>
            </a:rPr>
            <a:t>名→</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を記載する。</a:t>
          </a:r>
        </a:p>
      </xdr:txBody>
    </xdr:sp>
    <xdr:clientData/>
  </xdr:oneCellAnchor>
  <xdr:oneCellAnchor>
    <xdr:from>
      <xdr:col>14</xdr:col>
      <xdr:colOff>371475</xdr:colOff>
      <xdr:row>10</xdr:row>
      <xdr:rowOff>133350</xdr:rowOff>
    </xdr:from>
    <xdr:ext cx="952500" cy="1917192"/>
    <xdr:sp macro="" textlink="">
      <xdr:nvSpPr>
        <xdr:cNvPr id="12" name="テキスト ボックス 11">
          <a:extLst>
            <a:ext uri="{FF2B5EF4-FFF2-40B4-BE49-F238E27FC236}">
              <a16:creationId xmlns:a16="http://schemas.microsoft.com/office/drawing/2014/main" id="{00000000-0008-0000-0100-00000C000000}"/>
            </a:ext>
          </a:extLst>
        </xdr:cNvPr>
        <xdr:cNvSpPr txBox="1"/>
      </xdr:nvSpPr>
      <xdr:spPr>
        <a:xfrm>
          <a:off x="9525000" y="2514600"/>
          <a:ext cx="952500" cy="1917192"/>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個別審査（もしくは年間登録）のあった本部のみ自動連結して自動集計</a:t>
          </a:r>
        </a:p>
      </xdr:txBody>
    </xdr:sp>
    <xdr:clientData/>
  </xdr:oneCellAnchor>
  <xdr:oneCellAnchor>
    <xdr:from>
      <xdr:col>33</xdr:col>
      <xdr:colOff>838200</xdr:colOff>
      <xdr:row>10</xdr:row>
      <xdr:rowOff>142875</xdr:rowOff>
    </xdr:from>
    <xdr:ext cx="952500" cy="1208921"/>
    <xdr:sp macro="" textlink="">
      <xdr:nvSpPr>
        <xdr:cNvPr id="13" name="テキスト ボックス 12">
          <a:extLst>
            <a:ext uri="{FF2B5EF4-FFF2-40B4-BE49-F238E27FC236}">
              <a16:creationId xmlns:a16="http://schemas.microsoft.com/office/drawing/2014/main" id="{00000000-0008-0000-0100-00000D000000}"/>
            </a:ext>
          </a:extLst>
        </xdr:cNvPr>
        <xdr:cNvSpPr txBox="1"/>
      </xdr:nvSpPr>
      <xdr:spPr>
        <a:xfrm>
          <a:off x="24545925" y="2524125"/>
          <a:ext cx="952500" cy="1208921"/>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en-US" altLang="ja-JP" sz="1100">
              <a:solidFill>
                <a:srgbClr val="FF0000"/>
              </a:solidFill>
              <a:effectLst/>
              <a:latin typeface="+mn-lt"/>
              <a:ea typeface="+mn-ea"/>
              <a:cs typeface="+mn-cs"/>
            </a:rPr>
            <a:t>AH:AI</a:t>
          </a:r>
          <a:r>
            <a:rPr kumimoji="1" lang="ja-JP" altLang="ja-JP" sz="1100">
              <a:solidFill>
                <a:srgbClr val="FF0000"/>
              </a:solidFill>
              <a:effectLst/>
              <a:latin typeface="+mn-lt"/>
              <a:ea typeface="+mn-ea"/>
              <a:cs typeface="+mn-cs"/>
            </a:rPr>
            <a:t>列に国名と審査件数が自動で抽出される</a:t>
          </a:r>
          <a:r>
            <a:rPr kumimoji="1" lang="ja-JP" altLang="en-US" sz="1100">
              <a:solidFill>
                <a:srgbClr val="FF0000"/>
              </a:solidFill>
              <a:effectLst/>
              <a:latin typeface="+mn-lt"/>
              <a:ea typeface="+mn-ea"/>
              <a:cs typeface="+mn-cs"/>
            </a:rPr>
            <a:t>。</a:t>
          </a:r>
          <a:endParaRPr kumimoji="1" lang="ja-JP" altLang="en-US" sz="1100">
            <a:solidFill>
              <a:srgbClr val="FF0000"/>
            </a:solidFill>
          </a:endParaRPr>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4</xdr:row>
          <xdr:rowOff>28575</xdr:rowOff>
        </xdr:from>
        <xdr:to>
          <xdr:col>3</xdr:col>
          <xdr:colOff>647700</xdr:colOff>
          <xdr:row>4</xdr:row>
          <xdr:rowOff>209550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▼２</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1</xdr:row>
          <xdr:rowOff>47625</xdr:rowOff>
        </xdr:from>
        <xdr:to>
          <xdr:col>1</xdr:col>
          <xdr:colOff>657225</xdr:colOff>
          <xdr:row>2</xdr:row>
          <xdr:rowOff>142875</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200-000002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xdr:row>
          <xdr:rowOff>19050</xdr:rowOff>
        </xdr:from>
        <xdr:to>
          <xdr:col>1</xdr:col>
          <xdr:colOff>657225</xdr:colOff>
          <xdr:row>4</xdr:row>
          <xdr:rowOff>228600</xdr:rowOff>
        </xdr:to>
        <xdr:sp macro="" textlink="">
          <xdr:nvSpPr>
            <xdr:cNvPr id="8202" name="Button 10" hidden="1">
              <a:extLst>
                <a:ext uri="{63B3BB69-23CF-44E3-9099-C40C66FF867C}">
                  <a14:compatExt spid="_x0000_s8202"/>
                </a:ext>
                <a:ext uri="{FF2B5EF4-FFF2-40B4-BE49-F238E27FC236}">
                  <a16:creationId xmlns:a16="http://schemas.microsoft.com/office/drawing/2014/main" id="{00000000-0008-0000-0200-00000A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xdr:colOff>
          <xdr:row>4</xdr:row>
          <xdr:rowOff>28575</xdr:rowOff>
        </xdr:from>
        <xdr:to>
          <xdr:col>5</xdr:col>
          <xdr:colOff>647700</xdr:colOff>
          <xdr:row>4</xdr:row>
          <xdr:rowOff>209550</xdr:rowOff>
        </xdr:to>
        <xdr:sp macro="" textlink="">
          <xdr:nvSpPr>
            <xdr:cNvPr id="8205" name="Button 13" hidden="1">
              <a:extLst>
                <a:ext uri="{63B3BB69-23CF-44E3-9099-C40C66FF867C}">
                  <a14:compatExt spid="_x0000_s8205"/>
                </a:ext>
                <a:ext uri="{FF2B5EF4-FFF2-40B4-BE49-F238E27FC236}">
                  <a16:creationId xmlns:a16="http://schemas.microsoft.com/office/drawing/2014/main" id="{00000000-0008-0000-0200-00000D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▼３</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28575</xdr:colOff>
          <xdr:row>4</xdr:row>
          <xdr:rowOff>28575</xdr:rowOff>
        </xdr:from>
        <xdr:to>
          <xdr:col>2</xdr:col>
          <xdr:colOff>647700</xdr:colOff>
          <xdr:row>4</xdr:row>
          <xdr:rowOff>209550</xdr:rowOff>
        </xdr:to>
        <xdr:sp macro="" textlink="">
          <xdr:nvSpPr>
            <xdr:cNvPr id="8206" name="Button 14" hidden="1">
              <a:extLst>
                <a:ext uri="{63B3BB69-23CF-44E3-9099-C40C66FF867C}">
                  <a14:compatExt spid="_x0000_s8206"/>
                </a:ext>
                <a:ext uri="{FF2B5EF4-FFF2-40B4-BE49-F238E27FC236}">
                  <a16:creationId xmlns:a16="http://schemas.microsoft.com/office/drawing/2014/main" id="{00000000-0008-0000-0200-00000E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▼１</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4</xdr:row>
          <xdr:rowOff>28575</xdr:rowOff>
        </xdr:from>
        <xdr:to>
          <xdr:col>6</xdr:col>
          <xdr:colOff>647700</xdr:colOff>
          <xdr:row>4</xdr:row>
          <xdr:rowOff>209550</xdr:rowOff>
        </xdr:to>
        <xdr:sp macro="" textlink="">
          <xdr:nvSpPr>
            <xdr:cNvPr id="8207" name="Button 15" hidden="1">
              <a:extLst>
                <a:ext uri="{63B3BB69-23CF-44E3-9099-C40C66FF867C}">
                  <a14:compatExt spid="_x0000_s8207"/>
                </a:ext>
                <a:ext uri="{FF2B5EF4-FFF2-40B4-BE49-F238E27FC236}">
                  <a16:creationId xmlns:a16="http://schemas.microsoft.com/office/drawing/2014/main" id="{00000000-0008-0000-0200-00000F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▼４</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104775</xdr:colOff>
          <xdr:row>0</xdr:row>
          <xdr:rowOff>47625</xdr:rowOff>
        </xdr:from>
        <xdr:to>
          <xdr:col>2</xdr:col>
          <xdr:colOff>552450</xdr:colOff>
          <xdr:row>1</xdr:row>
          <xdr:rowOff>38100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300-0000013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ボタン 1</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1</xdr:col>
      <xdr:colOff>238125</xdr:colOff>
      <xdr:row>33</xdr:row>
      <xdr:rowOff>190500</xdr:rowOff>
    </xdr:from>
    <xdr:ext cx="12271949" cy="3943387"/>
    <xdr:sp macro="" textlink="">
      <xdr:nvSpPr>
        <xdr:cNvPr id="2" name="テキスト ボックス 1">
          <a:extLst>
            <a:ext uri="{FF2B5EF4-FFF2-40B4-BE49-F238E27FC236}">
              <a16:creationId xmlns:a16="http://schemas.microsoft.com/office/drawing/2014/main" id="{00000000-0008-0000-0800-000002000000}"/>
            </a:ext>
          </a:extLst>
        </xdr:cNvPr>
        <xdr:cNvSpPr txBox="1"/>
      </xdr:nvSpPr>
      <xdr:spPr>
        <a:xfrm>
          <a:off x="923925" y="8048625"/>
          <a:ext cx="12271949" cy="3943387"/>
        </a:xfrm>
        <a:prstGeom prst="rect">
          <a:avLst/>
        </a:prstGeom>
        <a:solidFill>
          <a:srgbClr val="FFFFCC"/>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yushutsu_kobetsu</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 </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のシートに名前定義をする。</a:t>
          </a:r>
          <a:endPar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A:</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管理番号、カラム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G:</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件名、カラム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K</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：仕向地、カラム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M</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：顧客・契約先、カラム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N</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：最終需要者、カラム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O</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：申請者所属、カラム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J</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：金額</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_</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円</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包括に関しては、フィルタで、カラム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U</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：社内承認の値で</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包括</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を選択すると楽。</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貨物、技術、その両方の、３通りをすべて拾い上げることができる。</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特例については、該当技術で公知特例等を使わない限り、貨物しかなくて少額特例</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のはず。カラム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R</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：貨物＿許可措置等の値で</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少額特例</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を選択すると楽。</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シートをこぴーしたら、名前定義のパネルで同名で無効なものが残っているはずだから消す。</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このシートは、承認番号をカラム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に拾ってくると、それ以外は四半期報告に合うように</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対応するカラムを持ってくるもの。</a:t>
          </a:r>
        </a:p>
      </xdr:txBody>
    </xdr:sp>
    <xdr:clientData/>
  </xdr:one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X249"/>
  <sheetViews>
    <sheetView topLeftCell="H1" workbookViewId="0"/>
  </sheetViews>
  <sheetFormatPr defaultRowHeight="18.75"/>
  <cols>
    <col min="1" max="1" width="17.625" bestFit="1" customWidth="1"/>
    <col min="2" max="2" width="10.25" bestFit="1" customWidth="1"/>
    <col min="3" max="3" width="11" bestFit="1" customWidth="1"/>
    <col min="4" max="5" width="19.25" bestFit="1" customWidth="1"/>
    <col min="6" max="6" width="10.25" bestFit="1" customWidth="1"/>
    <col min="7" max="7" width="85.75" bestFit="1" customWidth="1"/>
    <col min="8" max="8" width="15.125" bestFit="1" customWidth="1"/>
    <col min="9" max="9" width="42.125" bestFit="1" customWidth="1"/>
    <col min="10" max="10" width="11" bestFit="1" customWidth="1"/>
    <col min="11" max="11" width="24.375" bestFit="1" customWidth="1"/>
    <col min="12" max="12" width="63.125" bestFit="1" customWidth="1"/>
    <col min="13" max="13" width="53.5" bestFit="1" customWidth="1"/>
    <col min="14" max="14" width="52.625" bestFit="1" customWidth="1"/>
    <col min="15" max="15" width="11" bestFit="1" customWidth="1"/>
    <col min="16" max="16" width="13" bestFit="1" customWidth="1"/>
    <col min="17" max="17" width="50.5" bestFit="1" customWidth="1"/>
    <col min="18" max="18" width="17.25" bestFit="1" customWidth="1"/>
    <col min="19" max="19" width="40.125" bestFit="1" customWidth="1"/>
    <col min="20" max="20" width="44.375" bestFit="1" customWidth="1"/>
    <col min="21" max="21" width="11" bestFit="1" customWidth="1"/>
    <col min="22" max="22" width="16.5" bestFit="1" customWidth="1"/>
    <col min="23" max="23" width="255.625" bestFit="1" customWidth="1"/>
  </cols>
  <sheetData>
    <row r="1" spans="1:24">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row>
    <row r="2" spans="1:24">
      <c r="A2" t="s">
        <v>24</v>
      </c>
      <c r="B2" s="2">
        <v>43892</v>
      </c>
      <c r="C2" t="s">
        <v>25</v>
      </c>
      <c r="D2" s="2">
        <v>43899</v>
      </c>
      <c r="E2" s="2">
        <v>43913</v>
      </c>
      <c r="F2" s="2">
        <v>43899</v>
      </c>
      <c r="G2" t="s">
        <v>26</v>
      </c>
      <c r="H2" t="s">
        <v>27</v>
      </c>
      <c r="J2">
        <v>150000</v>
      </c>
      <c r="K2" t="s">
        <v>28</v>
      </c>
      <c r="L2" t="s">
        <v>29</v>
      </c>
      <c r="M2" t="s">
        <v>30</v>
      </c>
      <c r="N2" t="s">
        <v>31</v>
      </c>
      <c r="O2" t="s">
        <v>32</v>
      </c>
      <c r="P2" t="s">
        <v>33</v>
      </c>
      <c r="Q2" t="s">
        <v>34</v>
      </c>
      <c r="R2" t="s">
        <v>29</v>
      </c>
      <c r="S2" t="s">
        <v>29</v>
      </c>
      <c r="T2" t="s">
        <v>29</v>
      </c>
      <c r="U2" t="s">
        <v>29</v>
      </c>
      <c r="W2" t="s">
        <v>29</v>
      </c>
      <c r="X2" t="s">
        <v>29</v>
      </c>
    </row>
    <row r="3" spans="1:24">
      <c r="A3" t="s">
        <v>35</v>
      </c>
      <c r="B3" s="2">
        <v>43892</v>
      </c>
      <c r="C3" t="s">
        <v>25</v>
      </c>
      <c r="D3" s="2">
        <v>43901</v>
      </c>
      <c r="E3" s="2">
        <v>43909</v>
      </c>
      <c r="F3" s="2">
        <v>43903</v>
      </c>
      <c r="G3" t="s">
        <v>36</v>
      </c>
      <c r="H3" t="s">
        <v>27</v>
      </c>
      <c r="J3">
        <v>300000</v>
      </c>
      <c r="K3" t="s">
        <v>37</v>
      </c>
      <c r="L3" t="s">
        <v>29</v>
      </c>
      <c r="M3" t="s">
        <v>38</v>
      </c>
      <c r="N3" t="s">
        <v>39</v>
      </c>
      <c r="O3" t="s">
        <v>32</v>
      </c>
      <c r="P3" t="s">
        <v>40</v>
      </c>
      <c r="Q3" t="s">
        <v>34</v>
      </c>
      <c r="R3" t="s">
        <v>29</v>
      </c>
      <c r="S3" t="s">
        <v>29</v>
      </c>
      <c r="T3" t="s">
        <v>29</v>
      </c>
      <c r="U3" t="s">
        <v>29</v>
      </c>
      <c r="W3" t="s">
        <v>29</v>
      </c>
      <c r="X3" t="s">
        <v>29</v>
      </c>
    </row>
    <row r="4" spans="1:24">
      <c r="A4" t="s">
        <v>41</v>
      </c>
      <c r="B4" s="2">
        <v>43892</v>
      </c>
      <c r="C4" t="s">
        <v>42</v>
      </c>
      <c r="D4" s="2">
        <v>43895</v>
      </c>
      <c r="E4" s="2">
        <v>43921</v>
      </c>
      <c r="F4" s="2">
        <v>43899</v>
      </c>
      <c r="G4" t="s">
        <v>43</v>
      </c>
      <c r="H4" t="s">
        <v>27</v>
      </c>
      <c r="J4">
        <v>0</v>
      </c>
      <c r="K4" t="s">
        <v>44</v>
      </c>
      <c r="L4" t="s">
        <v>29</v>
      </c>
      <c r="M4" t="s">
        <v>45</v>
      </c>
      <c r="N4" t="s">
        <v>46</v>
      </c>
      <c r="O4" t="s">
        <v>47</v>
      </c>
      <c r="P4" t="s">
        <v>48</v>
      </c>
      <c r="Q4" t="s">
        <v>49</v>
      </c>
      <c r="R4" t="s">
        <v>29</v>
      </c>
      <c r="S4" t="s">
        <v>29</v>
      </c>
      <c r="T4" t="s">
        <v>29</v>
      </c>
      <c r="U4" t="s">
        <v>50</v>
      </c>
      <c r="V4" t="s">
        <v>51</v>
      </c>
      <c r="W4" t="s">
        <v>29</v>
      </c>
      <c r="X4" t="s">
        <v>29</v>
      </c>
    </row>
    <row r="5" spans="1:24">
      <c r="A5" t="s">
        <v>52</v>
      </c>
      <c r="B5" s="2">
        <v>43892</v>
      </c>
      <c r="C5" t="s">
        <v>42</v>
      </c>
      <c r="D5" s="2">
        <v>43895</v>
      </c>
      <c r="E5" s="2">
        <v>43921</v>
      </c>
      <c r="F5" s="2">
        <v>43896</v>
      </c>
      <c r="G5" t="s">
        <v>53</v>
      </c>
      <c r="H5" t="s">
        <v>54</v>
      </c>
      <c r="J5">
        <v>0</v>
      </c>
      <c r="K5" t="s">
        <v>44</v>
      </c>
      <c r="L5" t="s">
        <v>29</v>
      </c>
      <c r="M5" t="s">
        <v>55</v>
      </c>
      <c r="N5" t="s">
        <v>31</v>
      </c>
      <c r="O5" t="s">
        <v>47</v>
      </c>
      <c r="P5" t="s">
        <v>48</v>
      </c>
      <c r="Q5" t="s">
        <v>49</v>
      </c>
      <c r="R5" t="s">
        <v>29</v>
      </c>
      <c r="S5" t="s">
        <v>29</v>
      </c>
      <c r="T5" t="s">
        <v>29</v>
      </c>
      <c r="U5" t="s">
        <v>50</v>
      </c>
      <c r="V5" t="s">
        <v>56</v>
      </c>
      <c r="W5" t="s">
        <v>29</v>
      </c>
      <c r="X5" t="s">
        <v>29</v>
      </c>
    </row>
    <row r="6" spans="1:24">
      <c r="A6" t="s">
        <v>57</v>
      </c>
      <c r="B6" s="2">
        <v>43893</v>
      </c>
      <c r="C6" t="s">
        <v>25</v>
      </c>
      <c r="D6" s="2">
        <v>43894</v>
      </c>
      <c r="E6" s="2">
        <v>43900</v>
      </c>
      <c r="F6" s="2">
        <v>43895</v>
      </c>
      <c r="G6" t="s">
        <v>58</v>
      </c>
      <c r="H6" t="s">
        <v>54</v>
      </c>
      <c r="J6">
        <v>0</v>
      </c>
      <c r="K6" t="s">
        <v>59</v>
      </c>
      <c r="L6" t="s">
        <v>60</v>
      </c>
      <c r="M6" t="s">
        <v>61</v>
      </c>
      <c r="N6" t="s">
        <v>62</v>
      </c>
      <c r="O6" t="s">
        <v>47</v>
      </c>
      <c r="P6" t="s">
        <v>63</v>
      </c>
      <c r="Q6" t="s">
        <v>64</v>
      </c>
      <c r="R6" t="s">
        <v>29</v>
      </c>
      <c r="S6" t="s">
        <v>29</v>
      </c>
      <c r="T6" t="s">
        <v>29</v>
      </c>
      <c r="U6" t="s">
        <v>29</v>
      </c>
      <c r="W6" t="s">
        <v>29</v>
      </c>
      <c r="X6" t="s">
        <v>29</v>
      </c>
    </row>
    <row r="7" spans="1:24">
      <c r="A7" t="s">
        <v>65</v>
      </c>
      <c r="B7" s="2">
        <v>43894</v>
      </c>
      <c r="C7" t="s">
        <v>66</v>
      </c>
      <c r="D7" s="2">
        <v>43900</v>
      </c>
      <c r="E7" s="2">
        <v>43900</v>
      </c>
      <c r="F7" s="2">
        <v>43900</v>
      </c>
      <c r="G7" t="s">
        <v>67</v>
      </c>
      <c r="H7" t="s">
        <v>54</v>
      </c>
      <c r="J7">
        <v>0</v>
      </c>
      <c r="K7" t="s">
        <v>68</v>
      </c>
      <c r="L7" t="s">
        <v>29</v>
      </c>
      <c r="M7" t="s">
        <v>69</v>
      </c>
      <c r="N7" t="s">
        <v>62</v>
      </c>
      <c r="O7" t="s">
        <v>32</v>
      </c>
      <c r="P7" t="s">
        <v>70</v>
      </c>
      <c r="Q7" t="s">
        <v>34</v>
      </c>
      <c r="R7" t="s">
        <v>29</v>
      </c>
      <c r="S7" t="s">
        <v>29</v>
      </c>
      <c r="T7" t="s">
        <v>29</v>
      </c>
      <c r="U7" t="s">
        <v>29</v>
      </c>
      <c r="W7" t="s">
        <v>29</v>
      </c>
      <c r="X7" t="s">
        <v>29</v>
      </c>
    </row>
    <row r="8" spans="1:24">
      <c r="A8" t="s">
        <v>71</v>
      </c>
      <c r="B8" s="2">
        <v>43895</v>
      </c>
      <c r="C8" t="s">
        <v>42</v>
      </c>
      <c r="D8" s="2">
        <v>43895</v>
      </c>
      <c r="E8" s="2">
        <v>43921</v>
      </c>
      <c r="F8" s="2">
        <v>43901</v>
      </c>
      <c r="G8" t="s">
        <v>72</v>
      </c>
      <c r="H8" t="s">
        <v>73</v>
      </c>
      <c r="J8">
        <v>0</v>
      </c>
      <c r="K8" t="s">
        <v>68</v>
      </c>
      <c r="L8" t="s">
        <v>29</v>
      </c>
      <c r="M8" t="s">
        <v>74</v>
      </c>
      <c r="N8" t="s">
        <v>31</v>
      </c>
      <c r="O8" t="s">
        <v>47</v>
      </c>
      <c r="P8" t="s">
        <v>75</v>
      </c>
      <c r="Q8" t="s">
        <v>76</v>
      </c>
      <c r="R8" t="s">
        <v>29</v>
      </c>
      <c r="S8" t="s">
        <v>29</v>
      </c>
      <c r="T8" t="s">
        <v>29</v>
      </c>
      <c r="U8" t="s">
        <v>29</v>
      </c>
      <c r="W8" t="s">
        <v>29</v>
      </c>
      <c r="X8" t="s">
        <v>29</v>
      </c>
    </row>
    <row r="9" spans="1:24">
      <c r="A9" t="s">
        <v>77</v>
      </c>
      <c r="B9" s="2">
        <v>43895</v>
      </c>
      <c r="C9" t="s">
        <v>42</v>
      </c>
      <c r="D9" s="2">
        <v>43899</v>
      </c>
      <c r="E9" s="2">
        <v>43921</v>
      </c>
      <c r="F9" s="2">
        <v>43903</v>
      </c>
      <c r="G9" t="s">
        <v>78</v>
      </c>
      <c r="H9" t="s">
        <v>27</v>
      </c>
      <c r="J9">
        <v>200000</v>
      </c>
      <c r="K9" t="s">
        <v>79</v>
      </c>
      <c r="L9" t="s">
        <v>29</v>
      </c>
      <c r="M9" t="s">
        <v>80</v>
      </c>
      <c r="N9" t="s">
        <v>31</v>
      </c>
      <c r="O9" t="s">
        <v>47</v>
      </c>
      <c r="P9" t="s">
        <v>48</v>
      </c>
      <c r="Q9" t="s">
        <v>49</v>
      </c>
      <c r="R9" t="s">
        <v>81</v>
      </c>
      <c r="S9" t="s">
        <v>29</v>
      </c>
      <c r="T9" t="s">
        <v>29</v>
      </c>
      <c r="U9" t="s">
        <v>29</v>
      </c>
      <c r="W9" t="s">
        <v>29</v>
      </c>
      <c r="X9" t="s">
        <v>29</v>
      </c>
    </row>
    <row r="10" spans="1:24">
      <c r="A10" t="s">
        <v>82</v>
      </c>
      <c r="B10" s="2">
        <v>43895</v>
      </c>
      <c r="C10" t="s">
        <v>25</v>
      </c>
      <c r="D10" s="2">
        <v>43900</v>
      </c>
      <c r="E10" s="2">
        <v>43900</v>
      </c>
      <c r="F10" s="2">
        <v>43900</v>
      </c>
      <c r="G10" t="s">
        <v>67</v>
      </c>
      <c r="H10" t="s">
        <v>54</v>
      </c>
      <c r="J10">
        <v>0</v>
      </c>
      <c r="K10" t="s">
        <v>83</v>
      </c>
      <c r="L10" t="s">
        <v>29</v>
      </c>
      <c r="M10" t="s">
        <v>84</v>
      </c>
      <c r="N10" t="s">
        <v>62</v>
      </c>
      <c r="O10" t="s">
        <v>32</v>
      </c>
      <c r="P10" t="s">
        <v>70</v>
      </c>
      <c r="Q10" t="s">
        <v>34</v>
      </c>
      <c r="R10" t="s">
        <v>29</v>
      </c>
      <c r="S10" t="s">
        <v>29</v>
      </c>
      <c r="T10" t="s">
        <v>29</v>
      </c>
      <c r="U10" t="s">
        <v>29</v>
      </c>
      <c r="W10" t="s">
        <v>29</v>
      </c>
      <c r="X10" t="s">
        <v>29</v>
      </c>
    </row>
    <row r="11" spans="1:24">
      <c r="A11" t="s">
        <v>85</v>
      </c>
      <c r="B11" s="2">
        <v>43895</v>
      </c>
      <c r="C11" t="s">
        <v>66</v>
      </c>
      <c r="D11" s="2">
        <v>43902</v>
      </c>
      <c r="E11" s="2">
        <v>43921</v>
      </c>
      <c r="F11" s="2">
        <v>43902</v>
      </c>
      <c r="G11" t="s">
        <v>86</v>
      </c>
      <c r="H11" t="s">
        <v>87</v>
      </c>
      <c r="J11">
        <v>0</v>
      </c>
      <c r="K11" t="s">
        <v>68</v>
      </c>
      <c r="L11" t="s">
        <v>29</v>
      </c>
      <c r="M11" t="s">
        <v>88</v>
      </c>
      <c r="N11" t="s">
        <v>89</v>
      </c>
      <c r="O11" t="s">
        <v>90</v>
      </c>
      <c r="P11" t="s">
        <v>91</v>
      </c>
      <c r="Q11" t="s">
        <v>92</v>
      </c>
      <c r="R11" t="s">
        <v>29</v>
      </c>
      <c r="S11" t="s">
        <v>34</v>
      </c>
      <c r="T11" t="s">
        <v>29</v>
      </c>
      <c r="U11" t="s">
        <v>29</v>
      </c>
      <c r="W11" t="s">
        <v>29</v>
      </c>
      <c r="X11" t="s">
        <v>29</v>
      </c>
    </row>
    <row r="12" spans="1:24">
      <c r="A12" t="s">
        <v>93</v>
      </c>
      <c r="B12" s="2">
        <v>43896</v>
      </c>
      <c r="C12" t="s">
        <v>42</v>
      </c>
      <c r="D12" s="2">
        <v>43899</v>
      </c>
      <c r="E12" s="2">
        <v>43903</v>
      </c>
      <c r="F12" s="2">
        <v>43899</v>
      </c>
      <c r="G12" t="s">
        <v>94</v>
      </c>
      <c r="H12" t="s">
        <v>27</v>
      </c>
      <c r="J12">
        <v>3075846</v>
      </c>
      <c r="K12" t="s">
        <v>83</v>
      </c>
      <c r="L12" t="s">
        <v>29</v>
      </c>
      <c r="M12" t="s">
        <v>95</v>
      </c>
      <c r="N12" t="s">
        <v>62</v>
      </c>
      <c r="O12" t="s">
        <v>32</v>
      </c>
      <c r="P12" t="s">
        <v>96</v>
      </c>
      <c r="Q12" t="s">
        <v>34</v>
      </c>
      <c r="R12" t="s">
        <v>29</v>
      </c>
      <c r="S12" t="s">
        <v>34</v>
      </c>
      <c r="T12" t="s">
        <v>29</v>
      </c>
      <c r="U12" t="s">
        <v>29</v>
      </c>
      <c r="W12" t="s">
        <v>29</v>
      </c>
      <c r="X12" t="s">
        <v>29</v>
      </c>
    </row>
    <row r="13" spans="1:24">
      <c r="A13" t="s">
        <v>97</v>
      </c>
      <c r="B13" s="2">
        <v>43896</v>
      </c>
      <c r="C13" t="s">
        <v>42</v>
      </c>
      <c r="D13" s="2">
        <v>43900</v>
      </c>
      <c r="E13" s="2">
        <v>43903</v>
      </c>
      <c r="F13" s="2">
        <v>43900</v>
      </c>
      <c r="G13" t="s">
        <v>98</v>
      </c>
      <c r="H13" t="s">
        <v>54</v>
      </c>
      <c r="J13">
        <v>0</v>
      </c>
      <c r="K13" t="s">
        <v>99</v>
      </c>
      <c r="L13" t="s">
        <v>29</v>
      </c>
      <c r="M13" t="s">
        <v>100</v>
      </c>
      <c r="N13" t="s">
        <v>31</v>
      </c>
      <c r="O13" t="s">
        <v>101</v>
      </c>
      <c r="P13" t="s">
        <v>102</v>
      </c>
      <c r="Q13" t="s">
        <v>29</v>
      </c>
      <c r="R13" t="s">
        <v>29</v>
      </c>
      <c r="S13" t="s">
        <v>34</v>
      </c>
      <c r="T13" t="s">
        <v>29</v>
      </c>
      <c r="U13" t="s">
        <v>29</v>
      </c>
      <c r="W13" t="s">
        <v>29</v>
      </c>
      <c r="X13" t="s">
        <v>29</v>
      </c>
    </row>
    <row r="14" spans="1:24">
      <c r="A14" t="s">
        <v>103</v>
      </c>
      <c r="B14" s="2">
        <v>43896</v>
      </c>
      <c r="C14" t="s">
        <v>42</v>
      </c>
      <c r="D14" s="2">
        <v>43902</v>
      </c>
      <c r="E14" s="2">
        <v>43916</v>
      </c>
      <c r="F14" s="2">
        <v>43902</v>
      </c>
      <c r="G14" t="s">
        <v>104</v>
      </c>
      <c r="H14" t="s">
        <v>27</v>
      </c>
      <c r="J14">
        <v>72920</v>
      </c>
      <c r="K14" t="s">
        <v>105</v>
      </c>
      <c r="L14" t="s">
        <v>29</v>
      </c>
      <c r="M14" t="s">
        <v>106</v>
      </c>
      <c r="N14" t="s">
        <v>107</v>
      </c>
      <c r="O14" t="s">
        <v>32</v>
      </c>
      <c r="P14" t="s">
        <v>33</v>
      </c>
      <c r="Q14" t="s">
        <v>34</v>
      </c>
      <c r="R14" t="s">
        <v>29</v>
      </c>
      <c r="S14" t="s">
        <v>29</v>
      </c>
      <c r="T14" t="s">
        <v>29</v>
      </c>
      <c r="U14" t="s">
        <v>29</v>
      </c>
      <c r="W14" t="s">
        <v>29</v>
      </c>
      <c r="X14" t="s">
        <v>29</v>
      </c>
    </row>
    <row r="15" spans="1:24">
      <c r="A15" t="s">
        <v>108</v>
      </c>
      <c r="B15" s="2">
        <v>43896</v>
      </c>
      <c r="C15" t="s">
        <v>42</v>
      </c>
      <c r="D15" s="2">
        <v>43899</v>
      </c>
      <c r="E15" s="2">
        <v>43921</v>
      </c>
      <c r="F15" s="2">
        <v>43903</v>
      </c>
      <c r="G15" t="s">
        <v>109</v>
      </c>
      <c r="H15" t="s">
        <v>27</v>
      </c>
      <c r="J15">
        <v>1076647</v>
      </c>
      <c r="K15" t="s">
        <v>68</v>
      </c>
      <c r="L15" t="s">
        <v>29</v>
      </c>
      <c r="M15" t="s">
        <v>110</v>
      </c>
      <c r="N15" t="s">
        <v>31</v>
      </c>
      <c r="O15" t="s">
        <v>47</v>
      </c>
      <c r="P15" t="s">
        <v>48</v>
      </c>
      <c r="Q15" t="s">
        <v>49</v>
      </c>
      <c r="R15" t="s">
        <v>111</v>
      </c>
      <c r="S15" t="s">
        <v>29</v>
      </c>
      <c r="T15" t="s">
        <v>29</v>
      </c>
      <c r="U15" t="s">
        <v>112</v>
      </c>
      <c r="V15" t="s">
        <v>113</v>
      </c>
      <c r="W15" t="s">
        <v>29</v>
      </c>
      <c r="X15" t="s">
        <v>29</v>
      </c>
    </row>
    <row r="16" spans="1:24">
      <c r="A16" t="s">
        <v>114</v>
      </c>
      <c r="B16" s="2">
        <v>43899</v>
      </c>
      <c r="C16" t="s">
        <v>42</v>
      </c>
      <c r="D16" s="2">
        <v>43900</v>
      </c>
      <c r="E16" s="2">
        <v>43921</v>
      </c>
      <c r="F16" s="2">
        <v>43903</v>
      </c>
      <c r="G16" t="s">
        <v>115</v>
      </c>
      <c r="H16" t="s">
        <v>116</v>
      </c>
      <c r="I16" t="s">
        <v>117</v>
      </c>
      <c r="J16">
        <v>864000</v>
      </c>
      <c r="K16" t="s">
        <v>37</v>
      </c>
      <c r="L16" t="s">
        <v>29</v>
      </c>
      <c r="M16" t="s">
        <v>118</v>
      </c>
      <c r="N16" t="s">
        <v>31</v>
      </c>
      <c r="O16" t="s">
        <v>47</v>
      </c>
      <c r="P16" t="s">
        <v>48</v>
      </c>
      <c r="Q16" t="s">
        <v>119</v>
      </c>
      <c r="R16" t="s">
        <v>111</v>
      </c>
      <c r="S16" t="s">
        <v>120</v>
      </c>
      <c r="T16" t="s">
        <v>111</v>
      </c>
      <c r="U16" t="s">
        <v>112</v>
      </c>
      <c r="V16" t="s">
        <v>121</v>
      </c>
      <c r="W16" t="s">
        <v>29</v>
      </c>
      <c r="X16" t="s">
        <v>29</v>
      </c>
    </row>
    <row r="17" spans="1:24">
      <c r="A17" t="s">
        <v>122</v>
      </c>
      <c r="B17" s="2">
        <v>43899</v>
      </c>
      <c r="C17" t="s">
        <v>42</v>
      </c>
      <c r="D17" s="2">
        <v>43901</v>
      </c>
      <c r="E17" s="2">
        <v>43908</v>
      </c>
      <c r="F17" s="2">
        <v>43903</v>
      </c>
      <c r="G17" t="s">
        <v>123</v>
      </c>
      <c r="H17" t="s">
        <v>27</v>
      </c>
      <c r="J17">
        <v>244860</v>
      </c>
      <c r="K17" t="s">
        <v>124</v>
      </c>
      <c r="L17" t="s">
        <v>125</v>
      </c>
      <c r="M17" t="s">
        <v>126</v>
      </c>
      <c r="N17" t="s">
        <v>127</v>
      </c>
      <c r="O17" t="s">
        <v>128</v>
      </c>
      <c r="P17" t="s">
        <v>129</v>
      </c>
      <c r="Q17" t="s">
        <v>130</v>
      </c>
      <c r="R17" t="s">
        <v>29</v>
      </c>
      <c r="S17" t="s">
        <v>34</v>
      </c>
      <c r="T17" t="s">
        <v>29</v>
      </c>
      <c r="U17" t="s">
        <v>29</v>
      </c>
      <c r="W17" t="s">
        <v>29</v>
      </c>
      <c r="X17" t="s">
        <v>29</v>
      </c>
    </row>
    <row r="18" spans="1:24">
      <c r="A18" t="s">
        <v>131</v>
      </c>
      <c r="B18" s="2">
        <v>43899</v>
      </c>
      <c r="C18" t="s">
        <v>25</v>
      </c>
      <c r="D18" s="2">
        <v>43902</v>
      </c>
      <c r="E18" s="2">
        <v>43916</v>
      </c>
      <c r="F18" s="2">
        <v>43902</v>
      </c>
      <c r="G18" t="s">
        <v>132</v>
      </c>
      <c r="H18" t="s">
        <v>54</v>
      </c>
      <c r="J18">
        <v>0</v>
      </c>
      <c r="K18" t="s">
        <v>105</v>
      </c>
      <c r="L18" t="s">
        <v>29</v>
      </c>
      <c r="M18" t="s">
        <v>133</v>
      </c>
      <c r="N18" t="s">
        <v>134</v>
      </c>
      <c r="O18" t="s">
        <v>32</v>
      </c>
      <c r="P18" t="s">
        <v>33</v>
      </c>
      <c r="Q18" t="s">
        <v>34</v>
      </c>
      <c r="R18" t="s">
        <v>29</v>
      </c>
      <c r="S18" t="s">
        <v>29</v>
      </c>
      <c r="T18" t="s">
        <v>29</v>
      </c>
      <c r="U18" t="s">
        <v>29</v>
      </c>
      <c r="W18" t="s">
        <v>29</v>
      </c>
      <c r="X18" t="s">
        <v>29</v>
      </c>
    </row>
    <row r="19" spans="1:24">
      <c r="A19" t="s">
        <v>135</v>
      </c>
      <c r="B19" s="2">
        <v>43902</v>
      </c>
      <c r="C19" t="s">
        <v>42</v>
      </c>
      <c r="D19" s="2">
        <v>43906</v>
      </c>
      <c r="E19" s="2">
        <v>44104</v>
      </c>
      <c r="G19" t="s">
        <v>136</v>
      </c>
      <c r="H19" t="s">
        <v>27</v>
      </c>
      <c r="J19">
        <v>1200000</v>
      </c>
      <c r="K19" t="s">
        <v>37</v>
      </c>
      <c r="L19" t="s">
        <v>29</v>
      </c>
      <c r="M19" t="s">
        <v>137</v>
      </c>
      <c r="N19" t="s">
        <v>138</v>
      </c>
      <c r="O19" t="s">
        <v>139</v>
      </c>
      <c r="P19" t="s">
        <v>140</v>
      </c>
      <c r="Q19" t="s">
        <v>34</v>
      </c>
      <c r="R19" t="s">
        <v>29</v>
      </c>
      <c r="S19" t="s">
        <v>29</v>
      </c>
      <c r="T19" t="s">
        <v>29</v>
      </c>
      <c r="U19" t="s">
        <v>50</v>
      </c>
      <c r="V19" t="s">
        <v>141</v>
      </c>
      <c r="W19" t="s">
        <v>29</v>
      </c>
    </row>
    <row r="20" spans="1:24">
      <c r="A20" t="s">
        <v>142</v>
      </c>
      <c r="B20" s="2">
        <v>43903</v>
      </c>
      <c r="C20" t="s">
        <v>42</v>
      </c>
      <c r="D20" s="2">
        <v>43906</v>
      </c>
      <c r="E20" s="2">
        <v>43921</v>
      </c>
      <c r="F20" s="2">
        <v>43908</v>
      </c>
      <c r="G20" t="s">
        <v>43</v>
      </c>
      <c r="H20" t="s">
        <v>27</v>
      </c>
      <c r="J20">
        <v>300000</v>
      </c>
      <c r="K20" t="s">
        <v>124</v>
      </c>
      <c r="L20" t="s">
        <v>29</v>
      </c>
      <c r="M20" t="s">
        <v>143</v>
      </c>
      <c r="N20" t="s">
        <v>31</v>
      </c>
      <c r="O20" t="s">
        <v>47</v>
      </c>
      <c r="P20" t="s">
        <v>48</v>
      </c>
      <c r="Q20" t="s">
        <v>49</v>
      </c>
      <c r="R20" t="s">
        <v>81</v>
      </c>
      <c r="S20" t="s">
        <v>29</v>
      </c>
      <c r="T20" t="s">
        <v>29</v>
      </c>
      <c r="U20" t="s">
        <v>29</v>
      </c>
      <c r="W20" t="s">
        <v>29</v>
      </c>
      <c r="X20" t="s">
        <v>29</v>
      </c>
    </row>
    <row r="21" spans="1:24">
      <c r="A21" t="s">
        <v>144</v>
      </c>
      <c r="B21" s="2">
        <v>43903</v>
      </c>
      <c r="C21" t="s">
        <v>42</v>
      </c>
      <c r="D21" s="2">
        <v>43907</v>
      </c>
      <c r="E21" s="2">
        <v>43921</v>
      </c>
      <c r="F21" s="2">
        <v>43917</v>
      </c>
      <c r="G21" t="s">
        <v>145</v>
      </c>
      <c r="H21" t="s">
        <v>27</v>
      </c>
      <c r="J21">
        <v>290000</v>
      </c>
      <c r="K21" t="s">
        <v>44</v>
      </c>
      <c r="L21" t="s">
        <v>29</v>
      </c>
      <c r="M21" t="s">
        <v>146</v>
      </c>
      <c r="N21" t="s">
        <v>147</v>
      </c>
      <c r="O21" t="s">
        <v>47</v>
      </c>
      <c r="P21" t="s">
        <v>48</v>
      </c>
      <c r="Q21" t="s">
        <v>49</v>
      </c>
      <c r="R21" t="s">
        <v>81</v>
      </c>
      <c r="S21" t="s">
        <v>29</v>
      </c>
      <c r="T21" t="s">
        <v>29</v>
      </c>
      <c r="U21" t="s">
        <v>29</v>
      </c>
      <c r="W21" t="s">
        <v>148</v>
      </c>
      <c r="X21" t="s">
        <v>29</v>
      </c>
    </row>
    <row r="22" spans="1:24">
      <c r="A22" t="s">
        <v>149</v>
      </c>
      <c r="B22" s="2">
        <v>43903</v>
      </c>
      <c r="C22" t="s">
        <v>42</v>
      </c>
      <c r="D22" s="2">
        <v>43908</v>
      </c>
      <c r="E22" s="2">
        <v>43980</v>
      </c>
      <c r="F22" s="2">
        <v>43920</v>
      </c>
      <c r="G22" t="s">
        <v>150</v>
      </c>
      <c r="H22" t="s">
        <v>54</v>
      </c>
      <c r="J22">
        <v>0</v>
      </c>
      <c r="K22" t="s">
        <v>44</v>
      </c>
      <c r="L22" t="s">
        <v>29</v>
      </c>
      <c r="M22" t="s">
        <v>151</v>
      </c>
      <c r="N22" t="s">
        <v>152</v>
      </c>
      <c r="O22" t="s">
        <v>47</v>
      </c>
      <c r="P22" t="s">
        <v>48</v>
      </c>
      <c r="Q22" t="s">
        <v>49</v>
      </c>
      <c r="R22" t="s">
        <v>111</v>
      </c>
      <c r="S22" t="s">
        <v>29</v>
      </c>
      <c r="T22" t="s">
        <v>29</v>
      </c>
      <c r="U22" t="s">
        <v>112</v>
      </c>
      <c r="V22" t="s">
        <v>153</v>
      </c>
      <c r="W22" t="s">
        <v>154</v>
      </c>
      <c r="X22" t="s">
        <v>29</v>
      </c>
    </row>
    <row r="23" spans="1:24">
      <c r="A23" t="s">
        <v>155</v>
      </c>
      <c r="B23" s="2">
        <v>43903</v>
      </c>
      <c r="C23" t="s">
        <v>42</v>
      </c>
      <c r="D23" s="2">
        <v>43907</v>
      </c>
      <c r="E23" s="2">
        <v>43921</v>
      </c>
      <c r="F23" s="2">
        <v>43907</v>
      </c>
      <c r="G23" t="s">
        <v>156</v>
      </c>
      <c r="H23" t="s">
        <v>73</v>
      </c>
      <c r="J23">
        <v>600</v>
      </c>
      <c r="K23" t="s">
        <v>37</v>
      </c>
      <c r="L23" t="s">
        <v>29</v>
      </c>
      <c r="M23" t="s">
        <v>157</v>
      </c>
      <c r="N23" t="s">
        <v>31</v>
      </c>
      <c r="O23" t="s">
        <v>47</v>
      </c>
      <c r="P23" t="s">
        <v>158</v>
      </c>
      <c r="Q23" t="s">
        <v>119</v>
      </c>
      <c r="R23" t="s">
        <v>111</v>
      </c>
      <c r="S23" t="s">
        <v>120</v>
      </c>
      <c r="T23" t="s">
        <v>111</v>
      </c>
      <c r="U23" t="s">
        <v>112</v>
      </c>
      <c r="V23" t="s">
        <v>159</v>
      </c>
      <c r="W23" t="s">
        <v>29</v>
      </c>
      <c r="X23" t="s">
        <v>29</v>
      </c>
    </row>
    <row r="24" spans="1:24">
      <c r="A24" t="s">
        <v>160</v>
      </c>
      <c r="B24" s="2">
        <v>43906</v>
      </c>
      <c r="C24" t="s">
        <v>42</v>
      </c>
      <c r="D24" s="2">
        <v>43908</v>
      </c>
      <c r="E24" s="2">
        <v>43921</v>
      </c>
      <c r="F24" s="2">
        <v>43917</v>
      </c>
      <c r="G24" t="s">
        <v>161</v>
      </c>
      <c r="H24" t="s">
        <v>27</v>
      </c>
      <c r="J24">
        <v>750000</v>
      </c>
      <c r="K24" t="s">
        <v>37</v>
      </c>
      <c r="L24" t="s">
        <v>29</v>
      </c>
      <c r="M24" t="s">
        <v>162</v>
      </c>
      <c r="N24" t="s">
        <v>31</v>
      </c>
      <c r="O24" t="s">
        <v>47</v>
      </c>
      <c r="P24" t="s">
        <v>158</v>
      </c>
      <c r="Q24" t="s">
        <v>163</v>
      </c>
      <c r="R24" t="s">
        <v>29</v>
      </c>
      <c r="S24" t="s">
        <v>29</v>
      </c>
      <c r="T24" t="s">
        <v>29</v>
      </c>
      <c r="U24" t="s">
        <v>29</v>
      </c>
      <c r="W24" t="s">
        <v>29</v>
      </c>
      <c r="X24" t="s">
        <v>29</v>
      </c>
    </row>
    <row r="25" spans="1:24">
      <c r="A25" t="s">
        <v>164</v>
      </c>
      <c r="B25" s="2">
        <v>43906</v>
      </c>
      <c r="C25" t="s">
        <v>42</v>
      </c>
      <c r="D25" s="2">
        <v>43913</v>
      </c>
      <c r="E25" s="2">
        <v>43951</v>
      </c>
      <c r="F25" s="2">
        <v>43913</v>
      </c>
      <c r="G25" t="s">
        <v>165</v>
      </c>
      <c r="H25" t="s">
        <v>166</v>
      </c>
      <c r="J25">
        <v>0</v>
      </c>
      <c r="K25" t="s">
        <v>167</v>
      </c>
      <c r="L25" t="s">
        <v>29</v>
      </c>
      <c r="M25" t="s">
        <v>168</v>
      </c>
      <c r="N25" t="s">
        <v>31</v>
      </c>
      <c r="O25" t="s">
        <v>101</v>
      </c>
      <c r="P25" t="s">
        <v>169</v>
      </c>
      <c r="Q25" t="s">
        <v>170</v>
      </c>
      <c r="R25" t="s">
        <v>29</v>
      </c>
      <c r="S25" t="s">
        <v>171</v>
      </c>
      <c r="T25" t="s">
        <v>29</v>
      </c>
      <c r="U25" t="s">
        <v>29</v>
      </c>
      <c r="W25" t="s">
        <v>29</v>
      </c>
      <c r="X25" t="s">
        <v>29</v>
      </c>
    </row>
    <row r="26" spans="1:24">
      <c r="A26" t="s">
        <v>172</v>
      </c>
      <c r="B26" s="2">
        <v>43906</v>
      </c>
      <c r="C26" t="s">
        <v>66</v>
      </c>
      <c r="D26" s="2">
        <v>43907</v>
      </c>
      <c r="E26" s="2">
        <v>43909</v>
      </c>
      <c r="F26" s="2">
        <v>43907</v>
      </c>
      <c r="G26" t="s">
        <v>98</v>
      </c>
      <c r="H26" t="s">
        <v>54</v>
      </c>
      <c r="J26">
        <v>0</v>
      </c>
      <c r="K26" t="s">
        <v>124</v>
      </c>
      <c r="L26" t="s">
        <v>29</v>
      </c>
      <c r="M26" t="s">
        <v>173</v>
      </c>
      <c r="N26" t="s">
        <v>31</v>
      </c>
      <c r="O26" t="s">
        <v>101</v>
      </c>
      <c r="P26" t="s">
        <v>102</v>
      </c>
      <c r="Q26" t="s">
        <v>29</v>
      </c>
      <c r="R26" t="s">
        <v>29</v>
      </c>
      <c r="S26" t="s">
        <v>34</v>
      </c>
      <c r="T26" t="s">
        <v>29</v>
      </c>
      <c r="U26" t="s">
        <v>29</v>
      </c>
      <c r="W26" t="s">
        <v>29</v>
      </c>
      <c r="X26" t="s">
        <v>29</v>
      </c>
    </row>
    <row r="27" spans="1:24">
      <c r="A27" t="s">
        <v>174</v>
      </c>
      <c r="B27" s="2">
        <v>43906</v>
      </c>
      <c r="C27" t="s">
        <v>66</v>
      </c>
      <c r="D27" s="2">
        <v>43915</v>
      </c>
      <c r="E27" s="2">
        <v>43929</v>
      </c>
      <c r="F27" s="2">
        <v>43921</v>
      </c>
      <c r="G27" t="s">
        <v>175</v>
      </c>
      <c r="H27" t="s">
        <v>27</v>
      </c>
      <c r="J27">
        <v>600000</v>
      </c>
      <c r="K27" t="s">
        <v>68</v>
      </c>
      <c r="L27" t="s">
        <v>29</v>
      </c>
      <c r="M27" t="s">
        <v>176</v>
      </c>
      <c r="N27" t="s">
        <v>31</v>
      </c>
      <c r="O27" t="s">
        <v>32</v>
      </c>
      <c r="P27" t="s">
        <v>33</v>
      </c>
      <c r="Q27" t="s">
        <v>34</v>
      </c>
      <c r="R27" t="s">
        <v>29</v>
      </c>
      <c r="S27" t="s">
        <v>29</v>
      </c>
      <c r="T27" t="s">
        <v>29</v>
      </c>
      <c r="U27" t="s">
        <v>29</v>
      </c>
      <c r="W27" t="s">
        <v>29</v>
      </c>
      <c r="X27" t="s">
        <v>29</v>
      </c>
    </row>
    <row r="28" spans="1:24">
      <c r="A28" t="s">
        <v>177</v>
      </c>
      <c r="B28" s="2">
        <v>43906</v>
      </c>
      <c r="C28" t="s">
        <v>66</v>
      </c>
      <c r="D28" s="2">
        <v>43913</v>
      </c>
      <c r="E28" s="2">
        <v>43927</v>
      </c>
      <c r="F28" s="2">
        <v>43913</v>
      </c>
      <c r="G28" t="s">
        <v>178</v>
      </c>
      <c r="H28" t="s">
        <v>27</v>
      </c>
      <c r="J28">
        <v>50000</v>
      </c>
      <c r="K28" t="s">
        <v>79</v>
      </c>
      <c r="L28" t="s">
        <v>29</v>
      </c>
      <c r="M28" t="s">
        <v>179</v>
      </c>
      <c r="N28" t="s">
        <v>31</v>
      </c>
      <c r="O28" t="s">
        <v>32</v>
      </c>
      <c r="P28" t="s">
        <v>33</v>
      </c>
      <c r="Q28" t="s">
        <v>34</v>
      </c>
      <c r="R28" t="s">
        <v>29</v>
      </c>
      <c r="S28" t="s">
        <v>29</v>
      </c>
      <c r="T28" t="s">
        <v>29</v>
      </c>
      <c r="U28" t="s">
        <v>29</v>
      </c>
      <c r="W28" t="s">
        <v>29</v>
      </c>
      <c r="X28" t="s">
        <v>29</v>
      </c>
    </row>
    <row r="29" spans="1:24">
      <c r="A29" t="s">
        <v>180</v>
      </c>
      <c r="B29" s="2">
        <v>43907</v>
      </c>
      <c r="C29" t="s">
        <v>25</v>
      </c>
      <c r="D29" s="2">
        <v>43909</v>
      </c>
      <c r="E29" s="2">
        <v>43921</v>
      </c>
      <c r="F29" s="2">
        <v>43915</v>
      </c>
      <c r="G29" t="s">
        <v>181</v>
      </c>
      <c r="H29" t="s">
        <v>116</v>
      </c>
      <c r="I29" t="s">
        <v>117</v>
      </c>
      <c r="J29">
        <v>650</v>
      </c>
      <c r="K29" t="s">
        <v>79</v>
      </c>
      <c r="L29" t="s">
        <v>29</v>
      </c>
      <c r="M29" t="s">
        <v>182</v>
      </c>
      <c r="N29" t="s">
        <v>31</v>
      </c>
      <c r="O29" t="s">
        <v>47</v>
      </c>
      <c r="P29" t="s">
        <v>48</v>
      </c>
      <c r="Q29" t="s">
        <v>183</v>
      </c>
      <c r="R29" t="s">
        <v>29</v>
      </c>
      <c r="S29" t="s">
        <v>184</v>
      </c>
      <c r="T29" t="s">
        <v>29</v>
      </c>
      <c r="U29" t="s">
        <v>29</v>
      </c>
      <c r="W29" t="s">
        <v>185</v>
      </c>
      <c r="X29" t="s">
        <v>29</v>
      </c>
    </row>
    <row r="30" spans="1:24">
      <c r="A30" t="s">
        <v>186</v>
      </c>
      <c r="B30" s="2">
        <v>43907</v>
      </c>
      <c r="C30" t="s">
        <v>25</v>
      </c>
      <c r="D30" s="2">
        <v>43909</v>
      </c>
      <c r="E30" s="2">
        <v>43917</v>
      </c>
      <c r="F30" t="s">
        <v>187</v>
      </c>
      <c r="G30" t="s">
        <v>188</v>
      </c>
      <c r="H30" t="s">
        <v>73</v>
      </c>
      <c r="J30">
        <v>0</v>
      </c>
      <c r="K30" t="s">
        <v>189</v>
      </c>
      <c r="L30" t="s">
        <v>29</v>
      </c>
      <c r="M30" t="s">
        <v>190</v>
      </c>
      <c r="N30" t="s">
        <v>31</v>
      </c>
      <c r="O30" t="s">
        <v>191</v>
      </c>
      <c r="P30" t="s">
        <v>192</v>
      </c>
      <c r="Q30" t="s">
        <v>193</v>
      </c>
      <c r="R30" t="s">
        <v>29</v>
      </c>
      <c r="S30" t="s">
        <v>194</v>
      </c>
      <c r="T30" t="s">
        <v>29</v>
      </c>
      <c r="U30" t="s">
        <v>29</v>
      </c>
      <c r="W30" t="s">
        <v>185</v>
      </c>
      <c r="X30" t="s">
        <v>29</v>
      </c>
    </row>
    <row r="31" spans="1:24">
      <c r="A31" t="s">
        <v>195</v>
      </c>
      <c r="B31" s="2">
        <v>43908</v>
      </c>
      <c r="C31" t="s">
        <v>66</v>
      </c>
      <c r="D31" s="2">
        <v>43913</v>
      </c>
      <c r="E31" s="2">
        <v>43915</v>
      </c>
      <c r="F31" s="2">
        <v>43914</v>
      </c>
      <c r="G31" t="s">
        <v>196</v>
      </c>
      <c r="H31" t="s">
        <v>27</v>
      </c>
      <c r="J31">
        <v>120000</v>
      </c>
      <c r="K31" t="s">
        <v>37</v>
      </c>
      <c r="L31" t="s">
        <v>29</v>
      </c>
      <c r="M31" t="s">
        <v>197</v>
      </c>
      <c r="N31" t="s">
        <v>198</v>
      </c>
      <c r="O31" t="s">
        <v>32</v>
      </c>
      <c r="P31" t="s">
        <v>199</v>
      </c>
      <c r="Q31" t="s">
        <v>34</v>
      </c>
      <c r="R31" t="s">
        <v>29</v>
      </c>
      <c r="S31" t="s">
        <v>29</v>
      </c>
      <c r="T31" t="s">
        <v>29</v>
      </c>
      <c r="U31" t="s">
        <v>29</v>
      </c>
      <c r="W31" t="s">
        <v>185</v>
      </c>
      <c r="X31" t="s">
        <v>29</v>
      </c>
    </row>
    <row r="32" spans="1:24">
      <c r="A32" t="s">
        <v>200</v>
      </c>
      <c r="B32" s="2">
        <v>43908</v>
      </c>
      <c r="C32" t="s">
        <v>25</v>
      </c>
      <c r="D32" s="2">
        <v>43909</v>
      </c>
      <c r="E32" s="2">
        <v>43951</v>
      </c>
      <c r="F32" s="2">
        <v>43920</v>
      </c>
      <c r="G32" t="s">
        <v>201</v>
      </c>
      <c r="H32" t="s">
        <v>27</v>
      </c>
      <c r="J32">
        <v>830000</v>
      </c>
      <c r="K32" t="s">
        <v>37</v>
      </c>
      <c r="L32" t="s">
        <v>29</v>
      </c>
      <c r="M32" t="s">
        <v>202</v>
      </c>
      <c r="N32" t="s">
        <v>203</v>
      </c>
      <c r="O32" t="s">
        <v>47</v>
      </c>
      <c r="P32" t="s">
        <v>48</v>
      </c>
      <c r="Q32" t="s">
        <v>204</v>
      </c>
      <c r="R32" t="s">
        <v>81</v>
      </c>
      <c r="S32" t="s">
        <v>29</v>
      </c>
      <c r="T32" t="s">
        <v>29</v>
      </c>
      <c r="U32" t="s">
        <v>29</v>
      </c>
      <c r="W32" t="s">
        <v>205</v>
      </c>
      <c r="X32" t="s">
        <v>29</v>
      </c>
    </row>
    <row r="33" spans="1:24">
      <c r="A33" t="s">
        <v>206</v>
      </c>
      <c r="B33" s="2">
        <v>43913</v>
      </c>
      <c r="C33" t="s">
        <v>66</v>
      </c>
      <c r="D33" s="2">
        <v>43916</v>
      </c>
      <c r="E33" s="2">
        <v>43921</v>
      </c>
      <c r="F33" s="2">
        <v>43917</v>
      </c>
      <c r="G33" t="s">
        <v>207</v>
      </c>
      <c r="H33" t="s">
        <v>27</v>
      </c>
      <c r="J33">
        <v>100000</v>
      </c>
      <c r="K33" t="s">
        <v>208</v>
      </c>
      <c r="L33" t="s">
        <v>29</v>
      </c>
      <c r="M33" t="s">
        <v>209</v>
      </c>
      <c r="N33" t="s">
        <v>210</v>
      </c>
      <c r="O33" t="s">
        <v>32</v>
      </c>
      <c r="P33" t="s">
        <v>211</v>
      </c>
      <c r="Q33" t="s">
        <v>34</v>
      </c>
      <c r="R33" t="s">
        <v>29</v>
      </c>
      <c r="S33" t="s">
        <v>29</v>
      </c>
      <c r="T33" t="s">
        <v>29</v>
      </c>
      <c r="U33" t="s">
        <v>29</v>
      </c>
      <c r="W33" t="s">
        <v>29</v>
      </c>
      <c r="X33" t="s">
        <v>29</v>
      </c>
    </row>
    <row r="34" spans="1:24">
      <c r="A34" t="s">
        <v>212</v>
      </c>
      <c r="B34" s="2">
        <v>43913</v>
      </c>
      <c r="C34" t="s">
        <v>66</v>
      </c>
      <c r="D34" s="2">
        <v>43914</v>
      </c>
      <c r="E34" s="2">
        <v>43921</v>
      </c>
      <c r="F34" s="2">
        <v>43914</v>
      </c>
      <c r="G34" t="s">
        <v>213</v>
      </c>
      <c r="H34" t="s">
        <v>27</v>
      </c>
      <c r="J34">
        <v>4264000</v>
      </c>
      <c r="K34" t="s">
        <v>208</v>
      </c>
      <c r="L34" t="s">
        <v>214</v>
      </c>
      <c r="M34" t="s">
        <v>215</v>
      </c>
      <c r="N34" t="s">
        <v>216</v>
      </c>
      <c r="O34" t="s">
        <v>32</v>
      </c>
      <c r="P34" t="s">
        <v>217</v>
      </c>
      <c r="Q34" t="s">
        <v>218</v>
      </c>
      <c r="R34" t="s">
        <v>29</v>
      </c>
      <c r="S34" t="s">
        <v>219</v>
      </c>
      <c r="T34" t="s">
        <v>29</v>
      </c>
      <c r="U34" t="s">
        <v>29</v>
      </c>
      <c r="W34" t="s">
        <v>29</v>
      </c>
      <c r="X34" t="s">
        <v>29</v>
      </c>
    </row>
    <row r="35" spans="1:24">
      <c r="A35" t="s">
        <v>220</v>
      </c>
      <c r="B35" s="2">
        <v>43913</v>
      </c>
      <c r="C35" t="s">
        <v>42</v>
      </c>
      <c r="D35" s="2">
        <v>43915</v>
      </c>
      <c r="E35" s="2">
        <v>43921</v>
      </c>
      <c r="F35" s="2">
        <v>43915</v>
      </c>
      <c r="G35" t="s">
        <v>221</v>
      </c>
      <c r="H35" t="s">
        <v>27</v>
      </c>
      <c r="J35">
        <v>105000</v>
      </c>
      <c r="K35" t="s">
        <v>222</v>
      </c>
      <c r="L35" t="s">
        <v>29</v>
      </c>
      <c r="M35" t="s">
        <v>223</v>
      </c>
      <c r="N35" t="s">
        <v>224</v>
      </c>
      <c r="O35" t="s">
        <v>47</v>
      </c>
      <c r="P35" t="s">
        <v>48</v>
      </c>
      <c r="Q35" t="s">
        <v>225</v>
      </c>
      <c r="R35" t="s">
        <v>29</v>
      </c>
      <c r="S35" t="s">
        <v>226</v>
      </c>
      <c r="T35" t="s">
        <v>29</v>
      </c>
      <c r="U35" t="s">
        <v>29</v>
      </c>
      <c r="W35" t="s">
        <v>29</v>
      </c>
      <c r="X35" t="s">
        <v>29</v>
      </c>
    </row>
    <row r="36" spans="1:24">
      <c r="A36" t="s">
        <v>227</v>
      </c>
      <c r="B36" s="2">
        <v>43914</v>
      </c>
      <c r="C36" t="s">
        <v>42</v>
      </c>
      <c r="D36" s="2">
        <v>43917</v>
      </c>
      <c r="E36" s="2">
        <v>43951</v>
      </c>
      <c r="F36" s="2">
        <v>43920</v>
      </c>
      <c r="G36" t="s">
        <v>228</v>
      </c>
      <c r="H36" t="s">
        <v>27</v>
      </c>
      <c r="J36">
        <v>1362500</v>
      </c>
      <c r="K36" t="s">
        <v>44</v>
      </c>
      <c r="L36" t="s">
        <v>29</v>
      </c>
      <c r="M36" t="s">
        <v>45</v>
      </c>
      <c r="N36" t="s">
        <v>229</v>
      </c>
      <c r="O36" t="s">
        <v>47</v>
      </c>
      <c r="P36" t="s">
        <v>48</v>
      </c>
      <c r="Q36" t="s">
        <v>230</v>
      </c>
      <c r="R36" t="s">
        <v>111</v>
      </c>
      <c r="S36" t="s">
        <v>29</v>
      </c>
      <c r="T36" t="s">
        <v>29</v>
      </c>
      <c r="U36" t="s">
        <v>112</v>
      </c>
      <c r="V36" t="s">
        <v>231</v>
      </c>
      <c r="W36" t="s">
        <v>29</v>
      </c>
      <c r="X36" t="s">
        <v>29</v>
      </c>
    </row>
    <row r="37" spans="1:24">
      <c r="A37" t="s">
        <v>232</v>
      </c>
      <c r="B37" s="2">
        <v>43914</v>
      </c>
      <c r="C37" t="s">
        <v>66</v>
      </c>
      <c r="D37" s="2">
        <v>43915</v>
      </c>
      <c r="E37" s="2">
        <v>43921</v>
      </c>
      <c r="F37" s="2">
        <v>43914</v>
      </c>
      <c r="G37" t="s">
        <v>233</v>
      </c>
      <c r="H37" t="s">
        <v>73</v>
      </c>
      <c r="J37">
        <v>0</v>
      </c>
      <c r="K37" t="s">
        <v>44</v>
      </c>
      <c r="L37" t="s">
        <v>234</v>
      </c>
      <c r="M37" t="s">
        <v>235</v>
      </c>
      <c r="N37" t="s">
        <v>31</v>
      </c>
      <c r="O37" t="s">
        <v>236</v>
      </c>
      <c r="P37" t="s">
        <v>237</v>
      </c>
      <c r="Q37" t="s">
        <v>238</v>
      </c>
      <c r="R37" t="s">
        <v>29</v>
      </c>
      <c r="S37" t="s">
        <v>239</v>
      </c>
      <c r="T37" t="s">
        <v>29</v>
      </c>
      <c r="U37" t="s">
        <v>29</v>
      </c>
      <c r="W37" t="s">
        <v>29</v>
      </c>
      <c r="X37" t="s">
        <v>29</v>
      </c>
    </row>
    <row r="38" spans="1:24">
      <c r="A38" t="s">
        <v>240</v>
      </c>
      <c r="B38" s="2">
        <v>43914</v>
      </c>
      <c r="C38" t="s">
        <v>66</v>
      </c>
      <c r="D38" s="2">
        <v>43915</v>
      </c>
      <c r="E38" s="2">
        <v>43917</v>
      </c>
      <c r="F38" s="2">
        <v>43915</v>
      </c>
      <c r="G38" t="s">
        <v>241</v>
      </c>
      <c r="H38" t="s">
        <v>27</v>
      </c>
      <c r="J38">
        <v>340000</v>
      </c>
      <c r="K38" t="s">
        <v>242</v>
      </c>
      <c r="L38" t="s">
        <v>29</v>
      </c>
      <c r="M38" t="s">
        <v>243</v>
      </c>
      <c r="N38" t="s">
        <v>62</v>
      </c>
      <c r="O38" t="s">
        <v>47</v>
      </c>
      <c r="P38" t="s">
        <v>63</v>
      </c>
      <c r="Q38" t="s">
        <v>34</v>
      </c>
      <c r="R38" t="s">
        <v>29</v>
      </c>
      <c r="S38" t="s">
        <v>34</v>
      </c>
      <c r="T38" t="s">
        <v>29</v>
      </c>
      <c r="U38" t="s">
        <v>29</v>
      </c>
      <c r="W38" t="s">
        <v>29</v>
      </c>
      <c r="X38" t="s">
        <v>29</v>
      </c>
    </row>
    <row r="39" spans="1:24">
      <c r="A39" t="s">
        <v>244</v>
      </c>
      <c r="B39" s="2">
        <v>43915</v>
      </c>
      <c r="C39" t="s">
        <v>42</v>
      </c>
      <c r="D39" s="2">
        <v>43916</v>
      </c>
      <c r="E39" s="2">
        <v>43921</v>
      </c>
      <c r="F39" t="s">
        <v>187</v>
      </c>
      <c r="G39" t="s">
        <v>245</v>
      </c>
      <c r="H39" t="s">
        <v>27</v>
      </c>
      <c r="J39">
        <v>3031080</v>
      </c>
      <c r="K39" t="s">
        <v>246</v>
      </c>
      <c r="L39" t="s">
        <v>29</v>
      </c>
      <c r="M39" t="s">
        <v>247</v>
      </c>
      <c r="N39" t="s">
        <v>248</v>
      </c>
      <c r="O39" t="s">
        <v>47</v>
      </c>
      <c r="P39" t="s">
        <v>75</v>
      </c>
      <c r="Q39" t="s">
        <v>249</v>
      </c>
      <c r="R39" t="s">
        <v>29</v>
      </c>
      <c r="S39" t="s">
        <v>29</v>
      </c>
      <c r="T39" t="s">
        <v>29</v>
      </c>
      <c r="U39" t="s">
        <v>29</v>
      </c>
      <c r="W39" t="s">
        <v>29</v>
      </c>
      <c r="X39" t="s">
        <v>29</v>
      </c>
    </row>
    <row r="40" spans="1:24">
      <c r="A40" t="s">
        <v>250</v>
      </c>
      <c r="B40" s="2">
        <v>43899</v>
      </c>
      <c r="C40" t="s">
        <v>42</v>
      </c>
      <c r="D40" s="2">
        <v>43922</v>
      </c>
      <c r="E40" s="2">
        <v>44286</v>
      </c>
      <c r="G40" t="s">
        <v>251</v>
      </c>
      <c r="H40" t="s">
        <v>252</v>
      </c>
      <c r="J40">
        <v>0</v>
      </c>
      <c r="K40" t="s">
        <v>68</v>
      </c>
      <c r="L40" t="s">
        <v>29</v>
      </c>
      <c r="M40" t="s">
        <v>253</v>
      </c>
      <c r="N40" t="s">
        <v>62</v>
      </c>
      <c r="O40" t="s">
        <v>254</v>
      </c>
      <c r="P40" t="s">
        <v>255</v>
      </c>
      <c r="Q40" t="s">
        <v>29</v>
      </c>
      <c r="R40" t="s">
        <v>29</v>
      </c>
      <c r="S40" t="s">
        <v>29</v>
      </c>
      <c r="T40" t="s">
        <v>256</v>
      </c>
      <c r="U40" t="s">
        <v>29</v>
      </c>
      <c r="W40" t="s">
        <v>29</v>
      </c>
    </row>
    <row r="41" spans="1:24">
      <c r="A41" t="s">
        <v>257</v>
      </c>
      <c r="B41" s="2">
        <v>43913</v>
      </c>
      <c r="C41" t="s">
        <v>42</v>
      </c>
      <c r="D41" s="2">
        <v>43922</v>
      </c>
      <c r="E41" s="2">
        <v>44104</v>
      </c>
      <c r="G41" t="s">
        <v>258</v>
      </c>
      <c r="H41" t="s">
        <v>259</v>
      </c>
      <c r="I41" t="s">
        <v>260</v>
      </c>
      <c r="J41">
        <v>0</v>
      </c>
      <c r="K41" t="s">
        <v>246</v>
      </c>
      <c r="L41" t="s">
        <v>261</v>
      </c>
      <c r="M41" t="s">
        <v>262</v>
      </c>
      <c r="N41" t="s">
        <v>263</v>
      </c>
      <c r="O41" t="s">
        <v>264</v>
      </c>
      <c r="P41" t="s">
        <v>265</v>
      </c>
      <c r="Q41" t="s">
        <v>29</v>
      </c>
      <c r="R41" t="s">
        <v>29</v>
      </c>
      <c r="S41" t="s">
        <v>266</v>
      </c>
      <c r="T41" t="s">
        <v>29</v>
      </c>
      <c r="U41" t="s">
        <v>29</v>
      </c>
      <c r="W41" t="s">
        <v>29</v>
      </c>
    </row>
    <row r="42" spans="1:24">
      <c r="A42" t="s">
        <v>267</v>
      </c>
      <c r="B42" s="2">
        <v>43916</v>
      </c>
      <c r="C42" t="s">
        <v>42</v>
      </c>
      <c r="D42" s="2">
        <v>43922</v>
      </c>
      <c r="E42" s="2">
        <v>44286</v>
      </c>
      <c r="G42" t="s">
        <v>268</v>
      </c>
      <c r="H42" t="s">
        <v>259</v>
      </c>
      <c r="J42">
        <v>0</v>
      </c>
      <c r="K42" t="s">
        <v>68</v>
      </c>
      <c r="L42" t="s">
        <v>29</v>
      </c>
      <c r="M42" t="s">
        <v>269</v>
      </c>
      <c r="N42" t="s">
        <v>270</v>
      </c>
      <c r="O42" t="s">
        <v>271</v>
      </c>
      <c r="P42" t="s">
        <v>272</v>
      </c>
      <c r="Q42" t="s">
        <v>29</v>
      </c>
      <c r="R42" t="s">
        <v>29</v>
      </c>
      <c r="S42" t="s">
        <v>273</v>
      </c>
      <c r="T42" t="s">
        <v>29</v>
      </c>
      <c r="U42" t="s">
        <v>29</v>
      </c>
      <c r="W42" t="s">
        <v>274</v>
      </c>
    </row>
    <row r="43" spans="1:24">
      <c r="A43" t="s">
        <v>275</v>
      </c>
      <c r="B43" s="2">
        <v>43916</v>
      </c>
      <c r="C43" t="s">
        <v>42</v>
      </c>
      <c r="D43" s="2">
        <v>43922</v>
      </c>
      <c r="E43" s="2">
        <v>44286</v>
      </c>
      <c r="G43" t="s">
        <v>276</v>
      </c>
      <c r="H43" t="s">
        <v>259</v>
      </c>
      <c r="J43">
        <v>0</v>
      </c>
      <c r="K43" t="s">
        <v>68</v>
      </c>
      <c r="L43" t="s">
        <v>29</v>
      </c>
      <c r="M43" t="s">
        <v>277</v>
      </c>
      <c r="N43" t="s">
        <v>278</v>
      </c>
      <c r="O43" t="s">
        <v>271</v>
      </c>
      <c r="P43" t="s">
        <v>272</v>
      </c>
      <c r="Q43" t="s">
        <v>29</v>
      </c>
      <c r="R43" t="s">
        <v>29</v>
      </c>
      <c r="S43" t="s">
        <v>273</v>
      </c>
      <c r="T43" t="s">
        <v>29</v>
      </c>
      <c r="U43" t="s">
        <v>29</v>
      </c>
      <c r="W43" t="s">
        <v>274</v>
      </c>
    </row>
    <row r="44" spans="1:24">
      <c r="A44" t="s">
        <v>279</v>
      </c>
      <c r="B44" s="2">
        <v>43917</v>
      </c>
      <c r="C44" t="s">
        <v>66</v>
      </c>
      <c r="D44" s="2">
        <v>43929</v>
      </c>
      <c r="E44" s="2">
        <v>43943</v>
      </c>
      <c r="F44" s="2">
        <v>43929</v>
      </c>
      <c r="G44" t="s">
        <v>280</v>
      </c>
      <c r="H44" t="s">
        <v>54</v>
      </c>
      <c r="J44">
        <v>0</v>
      </c>
      <c r="K44" t="s">
        <v>222</v>
      </c>
      <c r="L44" t="s">
        <v>29</v>
      </c>
      <c r="M44" t="s">
        <v>281</v>
      </c>
      <c r="N44" t="s">
        <v>31</v>
      </c>
      <c r="O44" t="s">
        <v>32</v>
      </c>
      <c r="P44" t="s">
        <v>33</v>
      </c>
      <c r="Q44" t="s">
        <v>34</v>
      </c>
      <c r="R44" t="s">
        <v>29</v>
      </c>
      <c r="S44" t="s">
        <v>29</v>
      </c>
      <c r="T44" t="s">
        <v>29</v>
      </c>
      <c r="U44" t="s">
        <v>29</v>
      </c>
      <c r="W44" t="s">
        <v>29</v>
      </c>
      <c r="X44" t="s">
        <v>29</v>
      </c>
    </row>
    <row r="45" spans="1:24">
      <c r="A45" t="s">
        <v>282</v>
      </c>
      <c r="B45" s="2">
        <v>43917</v>
      </c>
      <c r="C45" t="s">
        <v>66</v>
      </c>
      <c r="D45" s="2">
        <v>43927</v>
      </c>
      <c r="E45" s="2">
        <v>43941</v>
      </c>
      <c r="F45" s="2">
        <v>43927</v>
      </c>
      <c r="G45" t="s">
        <v>283</v>
      </c>
      <c r="H45" t="s">
        <v>27</v>
      </c>
      <c r="J45">
        <v>24000</v>
      </c>
      <c r="K45" t="s">
        <v>68</v>
      </c>
      <c r="L45" t="s">
        <v>29</v>
      </c>
      <c r="M45" t="s">
        <v>133</v>
      </c>
      <c r="N45" t="s">
        <v>284</v>
      </c>
      <c r="O45" t="s">
        <v>32</v>
      </c>
      <c r="P45" t="s">
        <v>33</v>
      </c>
      <c r="Q45" t="s">
        <v>34</v>
      </c>
      <c r="R45" t="s">
        <v>29</v>
      </c>
      <c r="S45" t="s">
        <v>29</v>
      </c>
      <c r="T45" t="s">
        <v>29</v>
      </c>
      <c r="U45" t="s">
        <v>29</v>
      </c>
      <c r="W45" t="s">
        <v>29</v>
      </c>
      <c r="X45" t="s">
        <v>29</v>
      </c>
    </row>
    <row r="46" spans="1:24">
      <c r="A46" t="s">
        <v>285</v>
      </c>
      <c r="B46" s="2">
        <v>43917</v>
      </c>
      <c r="C46" t="s">
        <v>66</v>
      </c>
      <c r="D46" s="2">
        <v>43922</v>
      </c>
      <c r="E46" s="2">
        <v>43935</v>
      </c>
      <c r="F46" s="2">
        <v>43931</v>
      </c>
      <c r="G46" t="s">
        <v>286</v>
      </c>
      <c r="H46" t="s">
        <v>27</v>
      </c>
      <c r="J46">
        <v>79668</v>
      </c>
      <c r="K46" t="s">
        <v>68</v>
      </c>
      <c r="L46" t="s">
        <v>29</v>
      </c>
      <c r="M46" t="s">
        <v>287</v>
      </c>
      <c r="N46" t="s">
        <v>31</v>
      </c>
      <c r="O46" t="s">
        <v>47</v>
      </c>
      <c r="P46" t="s">
        <v>75</v>
      </c>
      <c r="Q46" t="s">
        <v>288</v>
      </c>
      <c r="R46" t="s">
        <v>29</v>
      </c>
      <c r="S46" t="s">
        <v>29</v>
      </c>
      <c r="T46" t="s">
        <v>29</v>
      </c>
      <c r="U46" t="s">
        <v>29</v>
      </c>
      <c r="W46" t="s">
        <v>29</v>
      </c>
      <c r="X46" t="s">
        <v>29</v>
      </c>
    </row>
    <row r="47" spans="1:24">
      <c r="A47" t="s">
        <v>289</v>
      </c>
      <c r="B47" s="2">
        <v>43920</v>
      </c>
      <c r="C47" t="s">
        <v>42</v>
      </c>
      <c r="D47" s="2">
        <v>43922</v>
      </c>
      <c r="E47" s="2">
        <v>44286</v>
      </c>
      <c r="G47" t="s">
        <v>290</v>
      </c>
      <c r="H47" t="s">
        <v>27</v>
      </c>
      <c r="I47" t="s">
        <v>291</v>
      </c>
      <c r="J47">
        <v>1000000</v>
      </c>
      <c r="K47" t="s">
        <v>292</v>
      </c>
      <c r="L47" t="s">
        <v>29</v>
      </c>
      <c r="M47" t="s">
        <v>293</v>
      </c>
      <c r="N47" t="s">
        <v>294</v>
      </c>
      <c r="O47" t="s">
        <v>101</v>
      </c>
      <c r="P47" t="s">
        <v>295</v>
      </c>
      <c r="Q47" t="s">
        <v>29</v>
      </c>
      <c r="R47" t="s">
        <v>29</v>
      </c>
      <c r="S47" t="s">
        <v>266</v>
      </c>
      <c r="T47" t="s">
        <v>296</v>
      </c>
      <c r="U47" t="s">
        <v>29</v>
      </c>
      <c r="W47" t="s">
        <v>29</v>
      </c>
    </row>
    <row r="48" spans="1:24">
      <c r="A48" t="s">
        <v>297</v>
      </c>
      <c r="B48" s="2">
        <v>43920</v>
      </c>
      <c r="C48" t="s">
        <v>42</v>
      </c>
      <c r="D48" s="2">
        <v>43922</v>
      </c>
      <c r="E48" s="2">
        <v>44286</v>
      </c>
      <c r="G48" t="s">
        <v>298</v>
      </c>
      <c r="H48" t="s">
        <v>27</v>
      </c>
      <c r="I48" t="s">
        <v>291</v>
      </c>
      <c r="J48">
        <v>1000000</v>
      </c>
      <c r="K48" t="s">
        <v>292</v>
      </c>
      <c r="L48" t="s">
        <v>29</v>
      </c>
      <c r="M48" t="s">
        <v>299</v>
      </c>
      <c r="N48" t="s">
        <v>300</v>
      </c>
      <c r="O48" t="s">
        <v>101</v>
      </c>
      <c r="P48" t="s">
        <v>102</v>
      </c>
      <c r="Q48" t="s">
        <v>29</v>
      </c>
      <c r="R48" t="s">
        <v>29</v>
      </c>
      <c r="S48" t="s">
        <v>266</v>
      </c>
      <c r="T48" t="s">
        <v>296</v>
      </c>
      <c r="U48" t="s">
        <v>29</v>
      </c>
      <c r="W48" t="s">
        <v>29</v>
      </c>
    </row>
    <row r="49" spans="1:24">
      <c r="A49" t="s">
        <v>301</v>
      </c>
      <c r="B49" s="2">
        <v>43920</v>
      </c>
      <c r="C49" t="s">
        <v>42</v>
      </c>
      <c r="D49" s="2">
        <v>43922</v>
      </c>
      <c r="E49" s="2">
        <v>44286</v>
      </c>
      <c r="G49" t="s">
        <v>302</v>
      </c>
      <c r="H49" t="s">
        <v>27</v>
      </c>
      <c r="I49" t="s">
        <v>291</v>
      </c>
      <c r="J49">
        <v>1000000</v>
      </c>
      <c r="K49" t="s">
        <v>303</v>
      </c>
      <c r="L49" t="s">
        <v>29</v>
      </c>
      <c r="M49" t="s">
        <v>304</v>
      </c>
      <c r="N49" t="s">
        <v>305</v>
      </c>
      <c r="O49" t="s">
        <v>101</v>
      </c>
      <c r="P49" t="s">
        <v>102</v>
      </c>
      <c r="Q49" t="s">
        <v>29</v>
      </c>
      <c r="R49" t="s">
        <v>29</v>
      </c>
      <c r="S49" t="s">
        <v>266</v>
      </c>
      <c r="T49" t="s">
        <v>296</v>
      </c>
      <c r="U49" t="s">
        <v>29</v>
      </c>
      <c r="W49" t="s">
        <v>29</v>
      </c>
    </row>
    <row r="50" spans="1:24">
      <c r="A50" t="s">
        <v>306</v>
      </c>
      <c r="B50" s="2">
        <v>43920</v>
      </c>
      <c r="C50" t="s">
        <v>42</v>
      </c>
      <c r="D50" s="2">
        <v>43922</v>
      </c>
      <c r="E50" s="2">
        <v>44286</v>
      </c>
      <c r="G50" t="s">
        <v>307</v>
      </c>
      <c r="H50" t="s">
        <v>27</v>
      </c>
      <c r="I50" t="s">
        <v>291</v>
      </c>
      <c r="J50">
        <v>1000000</v>
      </c>
      <c r="K50" t="s">
        <v>292</v>
      </c>
      <c r="L50" t="s">
        <v>29</v>
      </c>
      <c r="M50" t="s">
        <v>308</v>
      </c>
      <c r="N50" t="s">
        <v>309</v>
      </c>
      <c r="O50" t="s">
        <v>101</v>
      </c>
      <c r="P50" t="s">
        <v>102</v>
      </c>
      <c r="Q50" t="s">
        <v>29</v>
      </c>
      <c r="R50" t="s">
        <v>29</v>
      </c>
      <c r="S50" t="s">
        <v>266</v>
      </c>
      <c r="T50" t="s">
        <v>296</v>
      </c>
      <c r="U50" t="s">
        <v>29</v>
      </c>
      <c r="W50" t="s">
        <v>29</v>
      </c>
    </row>
    <row r="51" spans="1:24">
      <c r="A51" t="s">
        <v>310</v>
      </c>
      <c r="B51" s="2">
        <v>43920</v>
      </c>
      <c r="C51" t="s">
        <v>42</v>
      </c>
      <c r="D51" s="2">
        <v>43922</v>
      </c>
      <c r="E51" s="2">
        <v>44286</v>
      </c>
      <c r="G51" t="s">
        <v>311</v>
      </c>
      <c r="H51" t="s">
        <v>27</v>
      </c>
      <c r="I51" t="s">
        <v>291</v>
      </c>
      <c r="J51">
        <v>5000000</v>
      </c>
      <c r="K51" t="s">
        <v>312</v>
      </c>
      <c r="L51" t="s">
        <v>29</v>
      </c>
      <c r="M51" t="s">
        <v>313</v>
      </c>
      <c r="N51" t="s">
        <v>314</v>
      </c>
      <c r="O51" t="s">
        <v>101</v>
      </c>
      <c r="P51" t="s">
        <v>295</v>
      </c>
      <c r="Q51" t="s">
        <v>29</v>
      </c>
      <c r="R51" t="s">
        <v>29</v>
      </c>
      <c r="S51" t="s">
        <v>266</v>
      </c>
      <c r="T51" t="s">
        <v>296</v>
      </c>
      <c r="U51" t="s">
        <v>29</v>
      </c>
      <c r="W51" t="s">
        <v>315</v>
      </c>
    </row>
    <row r="52" spans="1:24">
      <c r="A52" t="s">
        <v>316</v>
      </c>
      <c r="B52" s="2">
        <v>43921</v>
      </c>
      <c r="C52" t="s">
        <v>42</v>
      </c>
      <c r="D52" s="2">
        <v>43922</v>
      </c>
      <c r="E52" s="2">
        <v>44286</v>
      </c>
      <c r="G52" t="s">
        <v>317</v>
      </c>
      <c r="H52" t="s">
        <v>27</v>
      </c>
      <c r="I52" t="s">
        <v>291</v>
      </c>
      <c r="J52">
        <v>5000000</v>
      </c>
      <c r="K52" t="s">
        <v>312</v>
      </c>
      <c r="L52" t="s">
        <v>29</v>
      </c>
      <c r="M52" t="s">
        <v>318</v>
      </c>
      <c r="N52" t="s">
        <v>319</v>
      </c>
      <c r="O52" t="s">
        <v>101</v>
      </c>
      <c r="P52" t="s">
        <v>320</v>
      </c>
      <c r="Q52" t="s">
        <v>29</v>
      </c>
      <c r="R52" t="s">
        <v>29</v>
      </c>
      <c r="S52" t="s">
        <v>266</v>
      </c>
      <c r="T52" t="s">
        <v>296</v>
      </c>
      <c r="U52" t="s">
        <v>29</v>
      </c>
      <c r="W52" t="s">
        <v>29</v>
      </c>
    </row>
    <row r="53" spans="1:24">
      <c r="A53" t="s">
        <v>321</v>
      </c>
      <c r="B53" s="2">
        <v>43921</v>
      </c>
      <c r="C53" t="s">
        <v>42</v>
      </c>
      <c r="D53" s="2">
        <v>43922</v>
      </c>
      <c r="E53" s="2">
        <v>44286</v>
      </c>
      <c r="G53" t="s">
        <v>322</v>
      </c>
      <c r="H53" t="s">
        <v>259</v>
      </c>
      <c r="I53" t="s">
        <v>323</v>
      </c>
      <c r="J53">
        <v>0</v>
      </c>
      <c r="K53" t="s">
        <v>68</v>
      </c>
      <c r="L53" t="s">
        <v>29</v>
      </c>
      <c r="M53" t="s">
        <v>277</v>
      </c>
      <c r="N53" t="s">
        <v>278</v>
      </c>
      <c r="O53" t="s">
        <v>324</v>
      </c>
      <c r="P53" t="s">
        <v>325</v>
      </c>
      <c r="Q53" t="s">
        <v>29</v>
      </c>
      <c r="R53" t="s">
        <v>29</v>
      </c>
      <c r="S53" t="s">
        <v>326</v>
      </c>
      <c r="T53" t="s">
        <v>29</v>
      </c>
      <c r="U53" t="s">
        <v>29</v>
      </c>
      <c r="W53" t="s">
        <v>274</v>
      </c>
    </row>
    <row r="54" spans="1:24">
      <c r="A54" t="s">
        <v>327</v>
      </c>
      <c r="B54" s="2">
        <v>43921</v>
      </c>
      <c r="C54" t="s">
        <v>42</v>
      </c>
      <c r="D54" s="2">
        <v>43922</v>
      </c>
      <c r="E54" s="2">
        <v>44286</v>
      </c>
      <c r="G54" t="s">
        <v>328</v>
      </c>
      <c r="H54" t="s">
        <v>259</v>
      </c>
      <c r="I54" t="s">
        <v>329</v>
      </c>
      <c r="J54">
        <v>0</v>
      </c>
      <c r="K54" t="s">
        <v>68</v>
      </c>
      <c r="L54" t="s">
        <v>29</v>
      </c>
      <c r="M54" t="s">
        <v>330</v>
      </c>
      <c r="N54" t="s">
        <v>270</v>
      </c>
      <c r="O54" t="s">
        <v>324</v>
      </c>
      <c r="P54" t="s">
        <v>325</v>
      </c>
      <c r="Q54" t="s">
        <v>29</v>
      </c>
      <c r="R54" t="s">
        <v>29</v>
      </c>
      <c r="S54" t="s">
        <v>326</v>
      </c>
      <c r="T54" t="s">
        <v>29</v>
      </c>
      <c r="U54" t="s">
        <v>29</v>
      </c>
      <c r="W54" t="s">
        <v>274</v>
      </c>
    </row>
    <row r="55" spans="1:24">
      <c r="A55" t="s">
        <v>331</v>
      </c>
      <c r="B55" s="2">
        <v>43921</v>
      </c>
      <c r="C55" t="s">
        <v>42</v>
      </c>
      <c r="D55" s="2">
        <v>43922</v>
      </c>
      <c r="E55" s="2">
        <v>44286</v>
      </c>
      <c r="G55" t="s">
        <v>332</v>
      </c>
      <c r="H55" t="s">
        <v>27</v>
      </c>
      <c r="I55" t="s">
        <v>291</v>
      </c>
      <c r="J55">
        <v>25000000</v>
      </c>
      <c r="K55" t="s">
        <v>292</v>
      </c>
      <c r="L55" t="s">
        <v>29</v>
      </c>
      <c r="M55" t="s">
        <v>333</v>
      </c>
      <c r="N55" t="s">
        <v>334</v>
      </c>
      <c r="O55" t="s">
        <v>101</v>
      </c>
      <c r="P55" t="s">
        <v>295</v>
      </c>
      <c r="Q55" t="s">
        <v>29</v>
      </c>
      <c r="R55" t="s">
        <v>29</v>
      </c>
      <c r="S55" t="s">
        <v>266</v>
      </c>
      <c r="T55" t="s">
        <v>296</v>
      </c>
      <c r="U55" t="s">
        <v>29</v>
      </c>
      <c r="W55" t="s">
        <v>29</v>
      </c>
    </row>
    <row r="56" spans="1:24">
      <c r="A56" t="s">
        <v>335</v>
      </c>
      <c r="B56" s="2">
        <v>43921</v>
      </c>
      <c r="C56" t="s">
        <v>42</v>
      </c>
      <c r="D56" s="2">
        <v>43922</v>
      </c>
      <c r="E56" s="2">
        <v>44286</v>
      </c>
      <c r="G56" t="s">
        <v>336</v>
      </c>
      <c r="H56" t="s">
        <v>116</v>
      </c>
      <c r="I56" t="s">
        <v>337</v>
      </c>
      <c r="J56">
        <v>0</v>
      </c>
      <c r="K56" t="s">
        <v>303</v>
      </c>
      <c r="L56" t="s">
        <v>29</v>
      </c>
      <c r="M56" t="s">
        <v>338</v>
      </c>
      <c r="N56" t="s">
        <v>339</v>
      </c>
      <c r="O56" t="s">
        <v>101</v>
      </c>
      <c r="P56" t="s">
        <v>295</v>
      </c>
      <c r="Q56" t="s">
        <v>29</v>
      </c>
      <c r="R56" t="s">
        <v>29</v>
      </c>
      <c r="S56" t="s">
        <v>266</v>
      </c>
      <c r="T56" t="s">
        <v>296</v>
      </c>
      <c r="U56" t="s">
        <v>29</v>
      </c>
      <c r="W56" t="s">
        <v>29</v>
      </c>
    </row>
    <row r="57" spans="1:24">
      <c r="A57" t="s">
        <v>340</v>
      </c>
      <c r="B57" s="2">
        <v>43921</v>
      </c>
      <c r="C57" t="s">
        <v>42</v>
      </c>
      <c r="D57" s="2">
        <v>43922</v>
      </c>
      <c r="E57" s="2">
        <v>44286</v>
      </c>
      <c r="G57" t="s">
        <v>341</v>
      </c>
      <c r="H57" t="s">
        <v>116</v>
      </c>
      <c r="I57" t="s">
        <v>342</v>
      </c>
      <c r="J57">
        <v>0</v>
      </c>
      <c r="K57" t="s">
        <v>312</v>
      </c>
      <c r="L57" t="s">
        <v>29</v>
      </c>
      <c r="M57" t="s">
        <v>343</v>
      </c>
      <c r="N57" t="s">
        <v>344</v>
      </c>
      <c r="O57" t="s">
        <v>101</v>
      </c>
      <c r="P57" t="s">
        <v>295</v>
      </c>
      <c r="Q57" t="s">
        <v>29</v>
      </c>
      <c r="R57" t="s">
        <v>29</v>
      </c>
      <c r="S57" t="s">
        <v>266</v>
      </c>
      <c r="T57" t="s">
        <v>296</v>
      </c>
      <c r="U57" t="s">
        <v>29</v>
      </c>
      <c r="W57" t="s">
        <v>345</v>
      </c>
    </row>
    <row r="58" spans="1:24">
      <c r="A58" t="s">
        <v>346</v>
      </c>
      <c r="B58" s="2">
        <v>43921</v>
      </c>
      <c r="C58" t="s">
        <v>66</v>
      </c>
      <c r="D58" s="2">
        <v>43922</v>
      </c>
      <c r="E58" s="2">
        <v>44286</v>
      </c>
      <c r="G58" t="s">
        <v>347</v>
      </c>
      <c r="H58" t="s">
        <v>252</v>
      </c>
      <c r="J58">
        <v>0</v>
      </c>
      <c r="K58" t="s">
        <v>348</v>
      </c>
      <c r="L58" t="s">
        <v>29</v>
      </c>
      <c r="M58" t="s">
        <v>349</v>
      </c>
      <c r="N58" t="s">
        <v>31</v>
      </c>
      <c r="O58" t="s">
        <v>271</v>
      </c>
      <c r="P58" t="s">
        <v>350</v>
      </c>
      <c r="Q58" t="s">
        <v>29</v>
      </c>
      <c r="R58" t="s">
        <v>29</v>
      </c>
      <c r="S58" t="s">
        <v>29</v>
      </c>
      <c r="T58" t="s">
        <v>351</v>
      </c>
      <c r="U58" t="s">
        <v>29</v>
      </c>
      <c r="W58" t="s">
        <v>29</v>
      </c>
    </row>
    <row r="59" spans="1:24">
      <c r="A59" t="s">
        <v>352</v>
      </c>
      <c r="B59" s="2">
        <v>43927</v>
      </c>
      <c r="C59" t="s">
        <v>66</v>
      </c>
      <c r="D59" s="2">
        <v>43929</v>
      </c>
      <c r="E59" s="2">
        <v>43943</v>
      </c>
      <c r="F59" s="2">
        <v>43929</v>
      </c>
      <c r="G59" t="s">
        <v>353</v>
      </c>
      <c r="H59" t="s">
        <v>27</v>
      </c>
      <c r="J59">
        <v>24000</v>
      </c>
      <c r="K59" t="s">
        <v>68</v>
      </c>
      <c r="L59" t="s">
        <v>29</v>
      </c>
      <c r="M59" t="s">
        <v>354</v>
      </c>
      <c r="N59" t="s">
        <v>355</v>
      </c>
      <c r="O59" t="s">
        <v>32</v>
      </c>
      <c r="P59" t="s">
        <v>33</v>
      </c>
      <c r="Q59" t="s">
        <v>34</v>
      </c>
      <c r="R59" t="s">
        <v>29</v>
      </c>
      <c r="S59" t="s">
        <v>29</v>
      </c>
      <c r="T59" t="s">
        <v>29</v>
      </c>
      <c r="U59" t="s">
        <v>29</v>
      </c>
      <c r="W59" t="s">
        <v>29</v>
      </c>
      <c r="X59" t="s">
        <v>29</v>
      </c>
    </row>
    <row r="60" spans="1:24">
      <c r="A60" t="s">
        <v>356</v>
      </c>
      <c r="B60" s="2">
        <v>43927</v>
      </c>
      <c r="C60" t="s">
        <v>42</v>
      </c>
      <c r="D60" s="2">
        <v>43929</v>
      </c>
      <c r="E60" s="2">
        <v>44286</v>
      </c>
      <c r="G60" t="s">
        <v>357</v>
      </c>
      <c r="H60" t="s">
        <v>27</v>
      </c>
      <c r="I60" t="s">
        <v>358</v>
      </c>
      <c r="J60">
        <v>5000000</v>
      </c>
      <c r="K60" t="s">
        <v>37</v>
      </c>
      <c r="L60" t="s">
        <v>29</v>
      </c>
      <c r="M60" t="s">
        <v>359</v>
      </c>
      <c r="N60" t="s">
        <v>360</v>
      </c>
      <c r="O60" t="s">
        <v>101</v>
      </c>
      <c r="P60" t="s">
        <v>361</v>
      </c>
      <c r="Q60" t="s">
        <v>29</v>
      </c>
      <c r="R60" t="s">
        <v>29</v>
      </c>
      <c r="S60" t="s">
        <v>266</v>
      </c>
      <c r="T60" t="s">
        <v>296</v>
      </c>
      <c r="U60" t="s">
        <v>29</v>
      </c>
      <c r="W60" t="s">
        <v>29</v>
      </c>
    </row>
    <row r="61" spans="1:24">
      <c r="A61" t="s">
        <v>362</v>
      </c>
      <c r="B61" s="2">
        <v>43927</v>
      </c>
      <c r="C61" t="s">
        <v>42</v>
      </c>
      <c r="D61" s="2">
        <v>43929</v>
      </c>
      <c r="E61" s="2">
        <v>44286</v>
      </c>
      <c r="G61" t="s">
        <v>363</v>
      </c>
      <c r="H61" t="s">
        <v>259</v>
      </c>
      <c r="I61" t="s">
        <v>358</v>
      </c>
      <c r="J61">
        <v>0</v>
      </c>
      <c r="K61" t="s">
        <v>37</v>
      </c>
      <c r="L61" t="s">
        <v>29</v>
      </c>
      <c r="M61" t="s">
        <v>364</v>
      </c>
      <c r="N61" t="s">
        <v>31</v>
      </c>
      <c r="O61" t="s">
        <v>101</v>
      </c>
      <c r="P61" t="s">
        <v>361</v>
      </c>
      <c r="Q61" t="s">
        <v>29</v>
      </c>
      <c r="R61" t="s">
        <v>29</v>
      </c>
      <c r="S61" t="s">
        <v>266</v>
      </c>
      <c r="T61" t="s">
        <v>296</v>
      </c>
      <c r="U61" t="s">
        <v>29</v>
      </c>
      <c r="W61" t="s">
        <v>29</v>
      </c>
    </row>
    <row r="62" spans="1:24">
      <c r="A62" t="s">
        <v>365</v>
      </c>
      <c r="B62" s="2">
        <v>43928</v>
      </c>
      <c r="C62" t="s">
        <v>66</v>
      </c>
      <c r="D62" s="2">
        <v>43930</v>
      </c>
      <c r="E62" s="2">
        <v>44286</v>
      </c>
      <c r="G62" t="s">
        <v>366</v>
      </c>
      <c r="H62" t="s">
        <v>259</v>
      </c>
      <c r="J62">
        <v>0</v>
      </c>
      <c r="K62" t="s">
        <v>68</v>
      </c>
      <c r="L62" t="s">
        <v>29</v>
      </c>
      <c r="M62" t="s">
        <v>367</v>
      </c>
      <c r="N62" t="s">
        <v>31</v>
      </c>
      <c r="O62" t="s">
        <v>368</v>
      </c>
      <c r="P62" t="s">
        <v>369</v>
      </c>
      <c r="Q62" t="s">
        <v>29</v>
      </c>
      <c r="R62" t="s">
        <v>29</v>
      </c>
      <c r="S62" t="s">
        <v>370</v>
      </c>
      <c r="T62" t="s">
        <v>29</v>
      </c>
      <c r="U62" t="s">
        <v>29</v>
      </c>
      <c r="W62" t="s">
        <v>29</v>
      </c>
    </row>
    <row r="63" spans="1:24">
      <c r="A63" t="s">
        <v>371</v>
      </c>
      <c r="B63" s="2">
        <v>43929</v>
      </c>
      <c r="C63" t="s">
        <v>42</v>
      </c>
      <c r="D63" s="2">
        <v>43930</v>
      </c>
      <c r="E63" s="2">
        <v>44300</v>
      </c>
      <c r="F63" s="2">
        <v>43930</v>
      </c>
      <c r="G63" t="s">
        <v>372</v>
      </c>
      <c r="H63" t="s">
        <v>252</v>
      </c>
      <c r="J63">
        <v>0</v>
      </c>
      <c r="K63" t="s">
        <v>59</v>
      </c>
      <c r="L63" t="s">
        <v>29</v>
      </c>
      <c r="M63" t="s">
        <v>308</v>
      </c>
      <c r="N63" t="s">
        <v>31</v>
      </c>
      <c r="O63" t="s">
        <v>101</v>
      </c>
      <c r="P63" t="s">
        <v>102</v>
      </c>
      <c r="Q63" t="s">
        <v>29</v>
      </c>
      <c r="R63" t="s">
        <v>29</v>
      </c>
      <c r="S63" t="s">
        <v>34</v>
      </c>
      <c r="T63" t="s">
        <v>29</v>
      </c>
      <c r="U63" t="s">
        <v>29</v>
      </c>
      <c r="W63" t="s">
        <v>29</v>
      </c>
      <c r="X63" t="s">
        <v>29</v>
      </c>
    </row>
    <row r="64" spans="1:24">
      <c r="A64" t="s">
        <v>373</v>
      </c>
      <c r="B64" s="2">
        <v>43930</v>
      </c>
      <c r="C64" t="s">
        <v>42</v>
      </c>
      <c r="D64" s="2">
        <v>43931</v>
      </c>
      <c r="E64" s="2">
        <v>43951</v>
      </c>
      <c r="G64" t="s">
        <v>115</v>
      </c>
      <c r="H64" t="s">
        <v>116</v>
      </c>
      <c r="I64" t="s">
        <v>117</v>
      </c>
      <c r="J64">
        <v>432000</v>
      </c>
      <c r="K64" t="s">
        <v>37</v>
      </c>
      <c r="L64" t="s">
        <v>29</v>
      </c>
      <c r="M64" t="s">
        <v>374</v>
      </c>
      <c r="N64" t="s">
        <v>31</v>
      </c>
      <c r="O64" t="s">
        <v>47</v>
      </c>
      <c r="P64" t="s">
        <v>48</v>
      </c>
      <c r="Q64" t="s">
        <v>119</v>
      </c>
      <c r="R64" t="s">
        <v>111</v>
      </c>
      <c r="S64" t="s">
        <v>120</v>
      </c>
      <c r="T64" t="s">
        <v>111</v>
      </c>
      <c r="U64" t="s">
        <v>112</v>
      </c>
      <c r="V64" t="s">
        <v>375</v>
      </c>
      <c r="W64" t="s">
        <v>29</v>
      </c>
    </row>
    <row r="65" spans="1:24">
      <c r="A65" t="s">
        <v>376</v>
      </c>
      <c r="B65" s="2">
        <v>43931</v>
      </c>
      <c r="C65" t="s">
        <v>42</v>
      </c>
      <c r="D65" s="2">
        <v>43934</v>
      </c>
      <c r="E65" s="2">
        <v>43951</v>
      </c>
      <c r="F65" s="2">
        <v>43934</v>
      </c>
      <c r="G65" t="s">
        <v>377</v>
      </c>
      <c r="H65" t="s">
        <v>27</v>
      </c>
      <c r="J65">
        <v>90000</v>
      </c>
      <c r="K65" t="s">
        <v>378</v>
      </c>
      <c r="L65" t="s">
        <v>29</v>
      </c>
      <c r="M65" t="s">
        <v>379</v>
      </c>
      <c r="N65" t="s">
        <v>62</v>
      </c>
      <c r="O65" t="s">
        <v>139</v>
      </c>
      <c r="P65" t="s">
        <v>380</v>
      </c>
      <c r="Q65" t="s">
        <v>34</v>
      </c>
      <c r="R65" t="s">
        <v>29</v>
      </c>
      <c r="S65" t="s">
        <v>29</v>
      </c>
      <c r="T65" t="s">
        <v>29</v>
      </c>
      <c r="U65" t="s">
        <v>29</v>
      </c>
      <c r="W65" t="s">
        <v>29</v>
      </c>
      <c r="X65" t="s">
        <v>29</v>
      </c>
    </row>
    <row r="66" spans="1:24">
      <c r="A66" t="s">
        <v>381</v>
      </c>
      <c r="B66" s="2">
        <v>43936</v>
      </c>
      <c r="C66" t="s">
        <v>42</v>
      </c>
      <c r="D66" s="2">
        <v>44001</v>
      </c>
      <c r="E66" s="2">
        <v>44039</v>
      </c>
      <c r="G66" t="s">
        <v>382</v>
      </c>
      <c r="H66" t="s">
        <v>27</v>
      </c>
      <c r="J66">
        <v>2970000</v>
      </c>
      <c r="K66" t="s">
        <v>68</v>
      </c>
      <c r="L66" t="s">
        <v>29</v>
      </c>
      <c r="M66" t="s">
        <v>383</v>
      </c>
      <c r="N66" t="s">
        <v>31</v>
      </c>
      <c r="O66" t="s">
        <v>47</v>
      </c>
      <c r="P66" t="s">
        <v>48</v>
      </c>
      <c r="Q66" t="s">
        <v>49</v>
      </c>
      <c r="R66" t="s">
        <v>111</v>
      </c>
      <c r="S66" t="s">
        <v>29</v>
      </c>
      <c r="T66" t="s">
        <v>29</v>
      </c>
      <c r="U66" t="s">
        <v>112</v>
      </c>
      <c r="V66" t="s">
        <v>384</v>
      </c>
      <c r="W66" t="s">
        <v>29</v>
      </c>
    </row>
    <row r="67" spans="1:24">
      <c r="A67" t="s">
        <v>385</v>
      </c>
      <c r="B67" s="2">
        <v>43937</v>
      </c>
      <c r="C67" t="s">
        <v>66</v>
      </c>
      <c r="D67" s="2">
        <v>43938</v>
      </c>
      <c r="E67" s="2">
        <v>43944</v>
      </c>
      <c r="F67" s="2">
        <v>43938</v>
      </c>
      <c r="G67" t="s">
        <v>386</v>
      </c>
      <c r="H67" t="s">
        <v>27</v>
      </c>
      <c r="J67">
        <v>560000</v>
      </c>
      <c r="K67" t="s">
        <v>44</v>
      </c>
      <c r="L67" t="s">
        <v>387</v>
      </c>
      <c r="M67" t="s">
        <v>388</v>
      </c>
      <c r="N67" t="s">
        <v>389</v>
      </c>
      <c r="O67" t="s">
        <v>32</v>
      </c>
      <c r="P67" t="s">
        <v>96</v>
      </c>
      <c r="Q67" t="s">
        <v>390</v>
      </c>
      <c r="R67" t="s">
        <v>29</v>
      </c>
      <c r="S67" t="s">
        <v>29</v>
      </c>
      <c r="T67" t="s">
        <v>29</v>
      </c>
      <c r="U67" t="s">
        <v>29</v>
      </c>
      <c r="W67" t="s">
        <v>29</v>
      </c>
      <c r="X67" t="s">
        <v>29</v>
      </c>
    </row>
    <row r="68" spans="1:24">
      <c r="A68" t="s">
        <v>391</v>
      </c>
      <c r="B68" s="2">
        <v>43938</v>
      </c>
      <c r="C68" t="s">
        <v>42</v>
      </c>
      <c r="D68" s="2">
        <v>43938</v>
      </c>
      <c r="E68" s="2">
        <v>44316</v>
      </c>
      <c r="G68" t="s">
        <v>392</v>
      </c>
      <c r="H68" t="s">
        <v>116</v>
      </c>
      <c r="I68" t="s">
        <v>393</v>
      </c>
      <c r="J68">
        <v>0</v>
      </c>
      <c r="K68" t="s">
        <v>37</v>
      </c>
      <c r="L68" t="s">
        <v>29</v>
      </c>
      <c r="M68" t="s">
        <v>394</v>
      </c>
      <c r="N68" t="s">
        <v>395</v>
      </c>
      <c r="O68" t="s">
        <v>396</v>
      </c>
      <c r="P68" t="s">
        <v>397</v>
      </c>
      <c r="Q68" t="s">
        <v>29</v>
      </c>
      <c r="R68" t="s">
        <v>29</v>
      </c>
      <c r="S68" t="s">
        <v>398</v>
      </c>
      <c r="T68" t="s">
        <v>29</v>
      </c>
      <c r="U68" t="s">
        <v>29</v>
      </c>
      <c r="W68" t="s">
        <v>29</v>
      </c>
    </row>
    <row r="69" spans="1:24">
      <c r="A69" t="s">
        <v>399</v>
      </c>
      <c r="B69" s="2">
        <v>43938</v>
      </c>
      <c r="C69" t="s">
        <v>42</v>
      </c>
      <c r="D69" s="2">
        <v>43941</v>
      </c>
      <c r="E69" s="2">
        <v>44012</v>
      </c>
      <c r="F69" s="2">
        <v>43980</v>
      </c>
      <c r="G69" t="s">
        <v>400</v>
      </c>
      <c r="H69" t="s">
        <v>116</v>
      </c>
      <c r="I69" t="s">
        <v>401</v>
      </c>
      <c r="J69">
        <v>92788490</v>
      </c>
      <c r="K69" t="s">
        <v>189</v>
      </c>
      <c r="L69" t="s">
        <v>29</v>
      </c>
      <c r="M69" t="s">
        <v>402</v>
      </c>
      <c r="N69" t="s">
        <v>31</v>
      </c>
      <c r="O69" t="s">
        <v>191</v>
      </c>
      <c r="P69" t="s">
        <v>403</v>
      </c>
      <c r="Q69" t="s">
        <v>404</v>
      </c>
      <c r="R69" t="s">
        <v>29</v>
      </c>
      <c r="S69" t="s">
        <v>405</v>
      </c>
      <c r="T69" t="s">
        <v>29</v>
      </c>
      <c r="U69" t="s">
        <v>29</v>
      </c>
      <c r="W69" t="s">
        <v>29</v>
      </c>
      <c r="X69" t="s">
        <v>29</v>
      </c>
    </row>
    <row r="70" spans="1:24">
      <c r="A70" t="s">
        <v>406</v>
      </c>
      <c r="B70" s="2">
        <v>43941</v>
      </c>
      <c r="C70" t="s">
        <v>42</v>
      </c>
      <c r="D70" s="2">
        <v>43943</v>
      </c>
      <c r="E70" s="2">
        <v>44012</v>
      </c>
      <c r="F70" s="2">
        <v>43984</v>
      </c>
      <c r="G70" t="s">
        <v>407</v>
      </c>
      <c r="H70" t="s">
        <v>73</v>
      </c>
      <c r="J70">
        <v>41718360</v>
      </c>
      <c r="K70" t="s">
        <v>189</v>
      </c>
      <c r="L70" t="s">
        <v>29</v>
      </c>
      <c r="M70" t="s">
        <v>402</v>
      </c>
      <c r="N70" t="s">
        <v>31</v>
      </c>
      <c r="O70" t="s">
        <v>408</v>
      </c>
      <c r="P70" t="s">
        <v>409</v>
      </c>
      <c r="Q70" t="s">
        <v>404</v>
      </c>
      <c r="R70" t="s">
        <v>29</v>
      </c>
      <c r="S70" t="s">
        <v>405</v>
      </c>
      <c r="T70" t="s">
        <v>29</v>
      </c>
      <c r="U70" t="s">
        <v>29</v>
      </c>
      <c r="W70" t="s">
        <v>29</v>
      </c>
      <c r="X70" t="s">
        <v>29</v>
      </c>
    </row>
    <row r="71" spans="1:24">
      <c r="A71" t="s">
        <v>410</v>
      </c>
      <c r="B71" s="2">
        <v>43944</v>
      </c>
      <c r="C71" t="s">
        <v>42</v>
      </c>
      <c r="D71" s="2">
        <v>43945</v>
      </c>
      <c r="E71" s="2">
        <v>43962</v>
      </c>
      <c r="G71" t="s">
        <v>411</v>
      </c>
      <c r="H71" t="s">
        <v>54</v>
      </c>
      <c r="J71">
        <v>0</v>
      </c>
      <c r="K71" t="s">
        <v>44</v>
      </c>
      <c r="L71" t="s">
        <v>29</v>
      </c>
      <c r="M71" t="s">
        <v>412</v>
      </c>
      <c r="N71" t="s">
        <v>31</v>
      </c>
      <c r="O71" t="s">
        <v>47</v>
      </c>
      <c r="P71" t="s">
        <v>48</v>
      </c>
      <c r="Q71" t="s">
        <v>49</v>
      </c>
      <c r="R71" t="s">
        <v>81</v>
      </c>
      <c r="S71" t="s">
        <v>29</v>
      </c>
      <c r="T71" t="s">
        <v>29</v>
      </c>
      <c r="U71" t="s">
        <v>29</v>
      </c>
      <c r="W71" t="s">
        <v>29</v>
      </c>
    </row>
    <row r="72" spans="1:24">
      <c r="A72" t="s">
        <v>413</v>
      </c>
      <c r="B72" s="2">
        <v>43945</v>
      </c>
      <c r="C72" t="s">
        <v>42</v>
      </c>
      <c r="D72" s="2">
        <v>43948</v>
      </c>
      <c r="E72" s="2">
        <v>44316</v>
      </c>
      <c r="F72" s="2">
        <v>43948</v>
      </c>
      <c r="G72" t="s">
        <v>372</v>
      </c>
      <c r="H72" t="s">
        <v>252</v>
      </c>
      <c r="J72">
        <v>0</v>
      </c>
      <c r="K72" t="s">
        <v>79</v>
      </c>
      <c r="L72" t="s">
        <v>29</v>
      </c>
      <c r="M72" t="s">
        <v>414</v>
      </c>
      <c r="N72" t="s">
        <v>31</v>
      </c>
      <c r="O72" t="s">
        <v>101</v>
      </c>
      <c r="P72" t="s">
        <v>102</v>
      </c>
      <c r="Q72" t="s">
        <v>29</v>
      </c>
      <c r="R72" t="s">
        <v>29</v>
      </c>
      <c r="S72" t="s">
        <v>34</v>
      </c>
      <c r="T72" t="s">
        <v>29</v>
      </c>
      <c r="U72" t="s">
        <v>29</v>
      </c>
      <c r="W72" t="s">
        <v>29</v>
      </c>
      <c r="X72" t="s">
        <v>29</v>
      </c>
    </row>
    <row r="73" spans="1:24">
      <c r="A73" t="s">
        <v>415</v>
      </c>
      <c r="B73" s="2">
        <v>43945</v>
      </c>
      <c r="C73" t="s">
        <v>42</v>
      </c>
      <c r="D73" s="2">
        <v>43948</v>
      </c>
      <c r="E73" s="2">
        <v>43969</v>
      </c>
      <c r="F73" s="2">
        <v>43948</v>
      </c>
      <c r="G73" t="s">
        <v>416</v>
      </c>
      <c r="H73" t="s">
        <v>54</v>
      </c>
      <c r="J73">
        <v>0</v>
      </c>
      <c r="K73" t="s">
        <v>37</v>
      </c>
      <c r="L73" t="s">
        <v>29</v>
      </c>
      <c r="M73" t="s">
        <v>417</v>
      </c>
      <c r="N73" t="s">
        <v>31</v>
      </c>
      <c r="O73" t="s">
        <v>32</v>
      </c>
      <c r="P73" t="s">
        <v>33</v>
      </c>
      <c r="Q73" t="s">
        <v>76</v>
      </c>
      <c r="R73" t="s">
        <v>29</v>
      </c>
      <c r="S73" t="s">
        <v>29</v>
      </c>
      <c r="T73" t="s">
        <v>29</v>
      </c>
      <c r="U73" t="s">
        <v>29</v>
      </c>
      <c r="W73" t="s">
        <v>29</v>
      </c>
      <c r="X73" t="s">
        <v>29</v>
      </c>
    </row>
    <row r="74" spans="1:24">
      <c r="A74" t="s">
        <v>418</v>
      </c>
      <c r="B74" s="2">
        <v>43945</v>
      </c>
      <c r="C74" t="s">
        <v>42</v>
      </c>
      <c r="D74" s="2">
        <v>43966</v>
      </c>
      <c r="E74" s="2">
        <v>43976</v>
      </c>
      <c r="G74" t="s">
        <v>419</v>
      </c>
      <c r="H74" t="s">
        <v>54</v>
      </c>
      <c r="J74">
        <v>315000</v>
      </c>
      <c r="K74" t="s">
        <v>208</v>
      </c>
      <c r="L74" t="s">
        <v>29</v>
      </c>
      <c r="M74" t="s">
        <v>420</v>
      </c>
      <c r="N74" t="s">
        <v>210</v>
      </c>
      <c r="O74" t="s">
        <v>32</v>
      </c>
      <c r="P74" t="s">
        <v>211</v>
      </c>
      <c r="Q74" t="s">
        <v>34</v>
      </c>
      <c r="R74" t="s">
        <v>29</v>
      </c>
      <c r="S74" t="s">
        <v>29</v>
      </c>
      <c r="T74" t="s">
        <v>29</v>
      </c>
      <c r="U74" t="s">
        <v>29</v>
      </c>
      <c r="W74" t="s">
        <v>29</v>
      </c>
    </row>
    <row r="75" spans="1:24">
      <c r="A75" t="s">
        <v>421</v>
      </c>
      <c r="B75" s="2">
        <v>43945</v>
      </c>
      <c r="C75" t="s">
        <v>42</v>
      </c>
      <c r="D75" s="2">
        <v>43948</v>
      </c>
      <c r="E75" s="2">
        <v>43969</v>
      </c>
      <c r="F75" s="2">
        <v>43948</v>
      </c>
      <c r="G75" t="s">
        <v>422</v>
      </c>
      <c r="H75" t="s">
        <v>27</v>
      </c>
      <c r="J75">
        <v>600000</v>
      </c>
      <c r="K75" t="s">
        <v>222</v>
      </c>
      <c r="L75" t="s">
        <v>29</v>
      </c>
      <c r="M75" t="s">
        <v>423</v>
      </c>
      <c r="N75" t="s">
        <v>62</v>
      </c>
      <c r="O75" t="s">
        <v>32</v>
      </c>
      <c r="P75" t="s">
        <v>33</v>
      </c>
      <c r="Q75" t="s">
        <v>34</v>
      </c>
      <c r="R75" t="s">
        <v>29</v>
      </c>
      <c r="S75" t="s">
        <v>29</v>
      </c>
      <c r="T75" t="s">
        <v>29</v>
      </c>
      <c r="U75" t="s">
        <v>29</v>
      </c>
      <c r="W75" t="s">
        <v>29</v>
      </c>
      <c r="X75" t="s">
        <v>29</v>
      </c>
    </row>
    <row r="76" spans="1:24">
      <c r="A76" t="s">
        <v>424</v>
      </c>
      <c r="B76" s="2">
        <v>43945</v>
      </c>
      <c r="C76" t="s">
        <v>42</v>
      </c>
      <c r="D76" s="2">
        <v>43958</v>
      </c>
      <c r="E76" s="2">
        <v>44063</v>
      </c>
      <c r="F76" s="2">
        <v>43958</v>
      </c>
      <c r="G76" t="s">
        <v>425</v>
      </c>
      <c r="H76" t="s">
        <v>27</v>
      </c>
      <c r="J76">
        <v>87000</v>
      </c>
      <c r="K76" t="s">
        <v>105</v>
      </c>
      <c r="L76" t="s">
        <v>29</v>
      </c>
      <c r="M76" t="s">
        <v>133</v>
      </c>
      <c r="N76" t="s">
        <v>426</v>
      </c>
      <c r="O76" t="s">
        <v>32</v>
      </c>
      <c r="P76" t="s">
        <v>33</v>
      </c>
      <c r="Q76" t="s">
        <v>34</v>
      </c>
      <c r="R76" t="s">
        <v>29</v>
      </c>
      <c r="S76" t="s">
        <v>29</v>
      </c>
      <c r="T76" t="s">
        <v>29</v>
      </c>
      <c r="U76" t="s">
        <v>29</v>
      </c>
      <c r="W76" t="s">
        <v>29</v>
      </c>
      <c r="X76" t="s">
        <v>29</v>
      </c>
    </row>
    <row r="77" spans="1:24">
      <c r="A77" t="s">
        <v>427</v>
      </c>
      <c r="B77" s="2">
        <v>43948</v>
      </c>
      <c r="C77" t="s">
        <v>42</v>
      </c>
      <c r="D77" s="2">
        <v>43949</v>
      </c>
      <c r="E77" s="2">
        <v>44316</v>
      </c>
      <c r="G77" t="s">
        <v>428</v>
      </c>
      <c r="H77" t="s">
        <v>116</v>
      </c>
      <c r="I77" t="s">
        <v>429</v>
      </c>
      <c r="J77">
        <v>6360625</v>
      </c>
      <c r="K77" t="s">
        <v>44</v>
      </c>
      <c r="L77" t="s">
        <v>214</v>
      </c>
      <c r="M77" t="s">
        <v>430</v>
      </c>
      <c r="N77" t="s">
        <v>31</v>
      </c>
      <c r="O77" t="s">
        <v>191</v>
      </c>
      <c r="P77" t="s">
        <v>431</v>
      </c>
      <c r="Q77" t="s">
        <v>432</v>
      </c>
      <c r="R77" t="s">
        <v>29</v>
      </c>
      <c r="S77" t="s">
        <v>433</v>
      </c>
      <c r="T77" t="s">
        <v>29</v>
      </c>
      <c r="U77" t="s">
        <v>29</v>
      </c>
      <c r="W77" t="s">
        <v>29</v>
      </c>
    </row>
    <row r="78" spans="1:24">
      <c r="A78" t="s">
        <v>434</v>
      </c>
      <c r="B78" s="2">
        <v>43948</v>
      </c>
      <c r="C78" t="s">
        <v>42</v>
      </c>
      <c r="D78" s="2">
        <v>43951</v>
      </c>
      <c r="E78" s="2">
        <v>43980</v>
      </c>
      <c r="G78" t="s">
        <v>435</v>
      </c>
      <c r="H78" t="s">
        <v>27</v>
      </c>
      <c r="I78" t="s">
        <v>436</v>
      </c>
      <c r="J78">
        <v>3424000</v>
      </c>
      <c r="K78" t="s">
        <v>44</v>
      </c>
      <c r="L78" t="s">
        <v>29</v>
      </c>
      <c r="M78" t="s">
        <v>45</v>
      </c>
      <c r="N78" t="s">
        <v>437</v>
      </c>
      <c r="O78" t="s">
        <v>47</v>
      </c>
      <c r="P78" t="s">
        <v>48</v>
      </c>
      <c r="Q78" t="s">
        <v>49</v>
      </c>
      <c r="R78" t="s">
        <v>111</v>
      </c>
      <c r="S78" t="s">
        <v>29</v>
      </c>
      <c r="T78" t="s">
        <v>29</v>
      </c>
      <c r="U78" t="s">
        <v>112</v>
      </c>
      <c r="V78" t="s">
        <v>438</v>
      </c>
      <c r="W78" t="s">
        <v>29</v>
      </c>
    </row>
    <row r="79" spans="1:24">
      <c r="A79" t="s">
        <v>439</v>
      </c>
      <c r="B79" s="2">
        <v>43949</v>
      </c>
      <c r="C79" t="s">
        <v>42</v>
      </c>
      <c r="D79" s="2">
        <v>43951</v>
      </c>
      <c r="E79" s="2">
        <v>44316</v>
      </c>
      <c r="G79" t="s">
        <v>440</v>
      </c>
      <c r="H79" t="s">
        <v>116</v>
      </c>
      <c r="I79" t="s">
        <v>393</v>
      </c>
      <c r="J79">
        <v>0</v>
      </c>
      <c r="K79" t="s">
        <v>37</v>
      </c>
      <c r="L79" t="s">
        <v>29</v>
      </c>
      <c r="M79" t="s">
        <v>394</v>
      </c>
      <c r="N79" t="s">
        <v>395</v>
      </c>
      <c r="O79" t="s">
        <v>396</v>
      </c>
      <c r="P79" t="s">
        <v>441</v>
      </c>
      <c r="Q79" t="s">
        <v>29</v>
      </c>
      <c r="R79" t="s">
        <v>29</v>
      </c>
      <c r="S79" t="s">
        <v>442</v>
      </c>
      <c r="T79" t="s">
        <v>29</v>
      </c>
      <c r="U79" t="s">
        <v>29</v>
      </c>
      <c r="W79" t="s">
        <v>29</v>
      </c>
    </row>
    <row r="80" spans="1:24">
      <c r="A80" t="s">
        <v>443</v>
      </c>
      <c r="B80" s="2">
        <v>43949</v>
      </c>
      <c r="C80" t="s">
        <v>42</v>
      </c>
      <c r="D80" s="2">
        <v>43952</v>
      </c>
      <c r="E80" s="2">
        <v>43959</v>
      </c>
      <c r="F80" s="2">
        <v>43951</v>
      </c>
      <c r="G80" t="s">
        <v>444</v>
      </c>
      <c r="H80" t="s">
        <v>27</v>
      </c>
      <c r="J80">
        <v>658150</v>
      </c>
      <c r="K80" t="s">
        <v>222</v>
      </c>
      <c r="L80" t="s">
        <v>29</v>
      </c>
      <c r="M80" t="s">
        <v>445</v>
      </c>
      <c r="N80" t="s">
        <v>446</v>
      </c>
      <c r="O80" t="s">
        <v>128</v>
      </c>
      <c r="P80" t="s">
        <v>129</v>
      </c>
      <c r="Q80" t="s">
        <v>130</v>
      </c>
      <c r="R80" t="s">
        <v>29</v>
      </c>
      <c r="S80" t="s">
        <v>34</v>
      </c>
      <c r="T80" t="s">
        <v>29</v>
      </c>
      <c r="U80" t="s">
        <v>29</v>
      </c>
      <c r="W80" t="s">
        <v>29</v>
      </c>
      <c r="X80" t="s">
        <v>29</v>
      </c>
    </row>
    <row r="81" spans="1:24">
      <c r="A81" t="s">
        <v>447</v>
      </c>
      <c r="B81" s="2">
        <v>43949</v>
      </c>
      <c r="C81" t="s">
        <v>66</v>
      </c>
      <c r="D81" s="2">
        <v>43951</v>
      </c>
      <c r="E81" s="2">
        <v>43952</v>
      </c>
      <c r="G81" t="s">
        <v>448</v>
      </c>
      <c r="H81" t="s">
        <v>166</v>
      </c>
      <c r="I81" t="s">
        <v>449</v>
      </c>
      <c r="J81">
        <v>0</v>
      </c>
      <c r="K81" t="s">
        <v>450</v>
      </c>
      <c r="L81" t="s">
        <v>29</v>
      </c>
      <c r="M81" t="s">
        <v>451</v>
      </c>
      <c r="N81" t="s">
        <v>31</v>
      </c>
      <c r="O81" t="s">
        <v>32</v>
      </c>
      <c r="P81" t="s">
        <v>211</v>
      </c>
      <c r="Q81" t="s">
        <v>34</v>
      </c>
      <c r="R81" t="s">
        <v>29</v>
      </c>
      <c r="S81" t="s">
        <v>29</v>
      </c>
      <c r="T81" t="s">
        <v>29</v>
      </c>
      <c r="U81" t="s">
        <v>29</v>
      </c>
      <c r="W81" t="s">
        <v>29</v>
      </c>
    </row>
    <row r="82" spans="1:24">
      <c r="A82" t="s">
        <v>452</v>
      </c>
      <c r="B82" s="2">
        <v>43949</v>
      </c>
      <c r="C82" t="s">
        <v>42</v>
      </c>
      <c r="D82" s="2">
        <v>43958</v>
      </c>
      <c r="E82" s="2">
        <v>43980</v>
      </c>
      <c r="F82" s="2">
        <v>43962</v>
      </c>
      <c r="G82" t="s">
        <v>453</v>
      </c>
      <c r="H82" t="s">
        <v>54</v>
      </c>
      <c r="J82">
        <v>500</v>
      </c>
      <c r="K82" t="s">
        <v>454</v>
      </c>
      <c r="L82" t="s">
        <v>29</v>
      </c>
      <c r="M82" t="s">
        <v>455</v>
      </c>
      <c r="N82" t="s">
        <v>31</v>
      </c>
      <c r="O82" t="s">
        <v>139</v>
      </c>
      <c r="P82" t="s">
        <v>456</v>
      </c>
      <c r="Q82" t="s">
        <v>34</v>
      </c>
      <c r="R82" t="s">
        <v>29</v>
      </c>
      <c r="S82" t="s">
        <v>29</v>
      </c>
      <c r="T82" t="s">
        <v>29</v>
      </c>
      <c r="U82" t="s">
        <v>29</v>
      </c>
      <c r="W82" t="s">
        <v>29</v>
      </c>
      <c r="X82" t="s">
        <v>29</v>
      </c>
    </row>
    <row r="83" spans="1:24">
      <c r="A83" t="s">
        <v>457</v>
      </c>
      <c r="B83" s="2">
        <v>43949</v>
      </c>
      <c r="C83" t="s">
        <v>42</v>
      </c>
      <c r="D83" s="2">
        <v>43973</v>
      </c>
      <c r="E83" s="2">
        <v>44015</v>
      </c>
      <c r="G83" t="s">
        <v>458</v>
      </c>
      <c r="H83" t="s">
        <v>27</v>
      </c>
      <c r="J83">
        <v>2925000</v>
      </c>
      <c r="K83" t="s">
        <v>59</v>
      </c>
      <c r="L83" t="s">
        <v>459</v>
      </c>
      <c r="M83" t="s">
        <v>460</v>
      </c>
      <c r="N83" t="s">
        <v>461</v>
      </c>
      <c r="O83" t="s">
        <v>47</v>
      </c>
      <c r="P83" t="s">
        <v>48</v>
      </c>
      <c r="Q83" t="s">
        <v>49</v>
      </c>
      <c r="R83" t="s">
        <v>111</v>
      </c>
      <c r="S83" t="s">
        <v>29</v>
      </c>
      <c r="T83" t="s">
        <v>29</v>
      </c>
      <c r="U83" t="s">
        <v>112</v>
      </c>
      <c r="V83" t="s">
        <v>462</v>
      </c>
      <c r="W83" t="s">
        <v>463</v>
      </c>
    </row>
    <row r="84" spans="1:24">
      <c r="A84" t="s">
        <v>464</v>
      </c>
      <c r="B84" s="2">
        <v>43952</v>
      </c>
      <c r="C84" t="s">
        <v>42</v>
      </c>
      <c r="D84" s="2">
        <v>44012</v>
      </c>
      <c r="E84" s="2">
        <v>44134</v>
      </c>
      <c r="G84" t="s">
        <v>465</v>
      </c>
      <c r="H84" t="s">
        <v>27</v>
      </c>
      <c r="J84">
        <v>1300000</v>
      </c>
      <c r="K84" t="s">
        <v>37</v>
      </c>
      <c r="L84" t="s">
        <v>29</v>
      </c>
      <c r="M84" t="s">
        <v>202</v>
      </c>
      <c r="N84" t="s">
        <v>466</v>
      </c>
      <c r="O84" t="s">
        <v>47</v>
      </c>
      <c r="P84" t="s">
        <v>48</v>
      </c>
      <c r="Q84" t="s">
        <v>49</v>
      </c>
      <c r="R84" t="s">
        <v>467</v>
      </c>
      <c r="S84" t="s">
        <v>29</v>
      </c>
      <c r="T84" t="s">
        <v>29</v>
      </c>
      <c r="U84" t="s">
        <v>50</v>
      </c>
      <c r="V84" t="s">
        <v>468</v>
      </c>
      <c r="W84" t="s">
        <v>469</v>
      </c>
    </row>
    <row r="85" spans="1:24">
      <c r="A85" t="s">
        <v>470</v>
      </c>
      <c r="B85" s="2">
        <v>43952</v>
      </c>
      <c r="C85" t="s">
        <v>66</v>
      </c>
      <c r="D85" s="2">
        <v>43959</v>
      </c>
      <c r="E85" s="2">
        <v>43973</v>
      </c>
      <c r="F85" s="2">
        <v>43959</v>
      </c>
      <c r="G85" t="s">
        <v>471</v>
      </c>
      <c r="H85" t="s">
        <v>27</v>
      </c>
      <c r="J85">
        <v>48000</v>
      </c>
      <c r="K85" t="s">
        <v>68</v>
      </c>
      <c r="L85" t="s">
        <v>29</v>
      </c>
      <c r="M85" t="s">
        <v>354</v>
      </c>
      <c r="N85" t="s">
        <v>355</v>
      </c>
      <c r="O85" t="s">
        <v>32</v>
      </c>
      <c r="P85" t="s">
        <v>33</v>
      </c>
      <c r="Q85" t="s">
        <v>34</v>
      </c>
      <c r="R85" t="s">
        <v>29</v>
      </c>
      <c r="S85" t="s">
        <v>29</v>
      </c>
      <c r="T85" t="s">
        <v>29</v>
      </c>
      <c r="U85" t="s">
        <v>29</v>
      </c>
      <c r="W85" t="s">
        <v>29</v>
      </c>
      <c r="X85" t="s">
        <v>29</v>
      </c>
    </row>
    <row r="86" spans="1:24">
      <c r="A86" t="s">
        <v>472</v>
      </c>
      <c r="B86" s="2">
        <v>43952</v>
      </c>
      <c r="C86" t="s">
        <v>42</v>
      </c>
      <c r="D86" s="2">
        <v>43958</v>
      </c>
      <c r="E86" s="2">
        <v>43965</v>
      </c>
      <c r="F86" s="2">
        <v>43959</v>
      </c>
      <c r="G86" t="s">
        <v>473</v>
      </c>
      <c r="H86" t="s">
        <v>54</v>
      </c>
      <c r="J86">
        <v>0</v>
      </c>
      <c r="K86" t="s">
        <v>37</v>
      </c>
      <c r="L86" t="s">
        <v>29</v>
      </c>
      <c r="M86" t="s">
        <v>474</v>
      </c>
      <c r="N86" t="s">
        <v>31</v>
      </c>
      <c r="O86" t="s">
        <v>128</v>
      </c>
      <c r="P86" t="s">
        <v>129</v>
      </c>
      <c r="Q86" t="s">
        <v>130</v>
      </c>
      <c r="R86" t="s">
        <v>29</v>
      </c>
      <c r="S86" t="s">
        <v>29</v>
      </c>
      <c r="T86" t="s">
        <v>29</v>
      </c>
      <c r="U86" t="s">
        <v>29</v>
      </c>
      <c r="W86" t="s">
        <v>29</v>
      </c>
      <c r="X86" t="s">
        <v>29</v>
      </c>
    </row>
    <row r="87" spans="1:24">
      <c r="A87" t="s">
        <v>475</v>
      </c>
      <c r="B87" s="2">
        <v>43958</v>
      </c>
      <c r="C87" t="s">
        <v>42</v>
      </c>
      <c r="D87" s="2">
        <v>43997</v>
      </c>
      <c r="E87" s="2">
        <v>44018</v>
      </c>
      <c r="F87" s="2">
        <v>43976</v>
      </c>
      <c r="G87" t="s">
        <v>476</v>
      </c>
      <c r="H87" t="s">
        <v>27</v>
      </c>
      <c r="J87">
        <v>750000</v>
      </c>
      <c r="K87" t="s">
        <v>477</v>
      </c>
      <c r="L87" t="s">
        <v>29</v>
      </c>
      <c r="M87" t="s">
        <v>478</v>
      </c>
      <c r="N87" t="s">
        <v>479</v>
      </c>
      <c r="O87" t="s">
        <v>32</v>
      </c>
      <c r="P87" t="s">
        <v>480</v>
      </c>
      <c r="Q87" t="s">
        <v>34</v>
      </c>
      <c r="R87" t="s">
        <v>29</v>
      </c>
      <c r="S87" t="s">
        <v>29</v>
      </c>
      <c r="T87" t="s">
        <v>29</v>
      </c>
      <c r="U87" t="s">
        <v>29</v>
      </c>
      <c r="W87" t="s">
        <v>481</v>
      </c>
      <c r="X87" t="s">
        <v>29</v>
      </c>
    </row>
    <row r="88" spans="1:24">
      <c r="A88" t="s">
        <v>482</v>
      </c>
      <c r="B88" s="2">
        <v>43959</v>
      </c>
      <c r="C88" t="s">
        <v>66</v>
      </c>
      <c r="D88" s="2">
        <v>43965</v>
      </c>
      <c r="E88" s="2">
        <v>43979</v>
      </c>
      <c r="F88" s="2">
        <v>43965</v>
      </c>
      <c r="G88" t="s">
        <v>483</v>
      </c>
      <c r="H88" t="s">
        <v>27</v>
      </c>
      <c r="J88">
        <v>48000</v>
      </c>
      <c r="K88" t="s">
        <v>68</v>
      </c>
      <c r="L88" t="s">
        <v>29</v>
      </c>
      <c r="M88" t="s">
        <v>133</v>
      </c>
      <c r="N88" t="s">
        <v>484</v>
      </c>
      <c r="O88" t="s">
        <v>32</v>
      </c>
      <c r="P88" t="s">
        <v>33</v>
      </c>
      <c r="Q88" t="s">
        <v>34</v>
      </c>
      <c r="R88" t="s">
        <v>29</v>
      </c>
      <c r="S88" t="s">
        <v>29</v>
      </c>
      <c r="T88" t="s">
        <v>29</v>
      </c>
      <c r="U88" t="s">
        <v>29</v>
      </c>
      <c r="W88" t="s">
        <v>29</v>
      </c>
      <c r="X88" t="s">
        <v>29</v>
      </c>
    </row>
    <row r="89" spans="1:24">
      <c r="A89" t="s">
        <v>485</v>
      </c>
      <c r="B89" s="2">
        <v>43959</v>
      </c>
      <c r="C89" t="s">
        <v>66</v>
      </c>
      <c r="D89" s="2">
        <v>43965</v>
      </c>
      <c r="E89" s="2">
        <v>43979</v>
      </c>
      <c r="F89" s="2">
        <v>43965</v>
      </c>
      <c r="G89" t="s">
        <v>283</v>
      </c>
      <c r="H89" t="s">
        <v>27</v>
      </c>
      <c r="J89">
        <v>24000</v>
      </c>
      <c r="K89" t="s">
        <v>68</v>
      </c>
      <c r="L89" t="s">
        <v>29</v>
      </c>
      <c r="M89" t="s">
        <v>133</v>
      </c>
      <c r="N89" t="s">
        <v>284</v>
      </c>
      <c r="O89" t="s">
        <v>32</v>
      </c>
      <c r="P89" t="s">
        <v>33</v>
      </c>
      <c r="Q89" t="s">
        <v>34</v>
      </c>
      <c r="R89" t="s">
        <v>29</v>
      </c>
      <c r="S89" t="s">
        <v>29</v>
      </c>
      <c r="T89" t="s">
        <v>29</v>
      </c>
      <c r="U89" t="s">
        <v>29</v>
      </c>
      <c r="W89" t="s">
        <v>29</v>
      </c>
      <c r="X89" t="s">
        <v>29</v>
      </c>
    </row>
    <row r="90" spans="1:24">
      <c r="A90" t="s">
        <v>486</v>
      </c>
      <c r="B90" s="2">
        <v>43962</v>
      </c>
      <c r="C90" t="s">
        <v>66</v>
      </c>
      <c r="D90" s="2">
        <v>43963</v>
      </c>
      <c r="E90" s="2">
        <v>43976</v>
      </c>
      <c r="F90" s="2">
        <v>43963</v>
      </c>
      <c r="G90" t="s">
        <v>487</v>
      </c>
      <c r="H90" t="s">
        <v>54</v>
      </c>
      <c r="J90">
        <v>0</v>
      </c>
      <c r="K90" t="s">
        <v>222</v>
      </c>
      <c r="L90" t="s">
        <v>29</v>
      </c>
      <c r="M90" t="s">
        <v>281</v>
      </c>
      <c r="N90" t="s">
        <v>31</v>
      </c>
      <c r="O90" t="s">
        <v>32</v>
      </c>
      <c r="P90" t="s">
        <v>33</v>
      </c>
      <c r="Q90" t="s">
        <v>488</v>
      </c>
      <c r="R90" t="s">
        <v>29</v>
      </c>
      <c r="S90" t="s">
        <v>29</v>
      </c>
      <c r="T90" t="s">
        <v>29</v>
      </c>
      <c r="U90" t="s">
        <v>29</v>
      </c>
      <c r="W90" t="s">
        <v>29</v>
      </c>
      <c r="X90" t="s">
        <v>29</v>
      </c>
    </row>
    <row r="91" spans="1:24">
      <c r="A91" t="s">
        <v>489</v>
      </c>
      <c r="B91" s="2">
        <v>43963</v>
      </c>
      <c r="C91" t="s">
        <v>42</v>
      </c>
      <c r="D91" s="2">
        <v>43964</v>
      </c>
      <c r="E91" s="2">
        <v>43973</v>
      </c>
      <c r="G91" t="s">
        <v>490</v>
      </c>
      <c r="H91" t="s">
        <v>54</v>
      </c>
      <c r="J91">
        <v>0</v>
      </c>
      <c r="K91" t="s">
        <v>246</v>
      </c>
      <c r="L91" t="s">
        <v>29</v>
      </c>
      <c r="M91" t="s">
        <v>491</v>
      </c>
      <c r="N91" t="s">
        <v>31</v>
      </c>
      <c r="O91" t="s">
        <v>101</v>
      </c>
      <c r="P91" t="s">
        <v>361</v>
      </c>
      <c r="Q91" t="s">
        <v>29</v>
      </c>
      <c r="R91" t="s">
        <v>29</v>
      </c>
      <c r="S91" t="s">
        <v>266</v>
      </c>
      <c r="T91" t="s">
        <v>29</v>
      </c>
      <c r="U91" t="s">
        <v>29</v>
      </c>
      <c r="W91" t="s">
        <v>29</v>
      </c>
    </row>
    <row r="92" spans="1:24">
      <c r="A92" t="s">
        <v>492</v>
      </c>
      <c r="B92" s="2">
        <v>43963</v>
      </c>
      <c r="D92" s="2">
        <v>43965</v>
      </c>
      <c r="E92" s="2">
        <v>43994</v>
      </c>
      <c r="F92" s="2">
        <v>43965</v>
      </c>
      <c r="G92" t="s">
        <v>493</v>
      </c>
      <c r="H92" t="s">
        <v>494</v>
      </c>
      <c r="J92">
        <v>108000000</v>
      </c>
      <c r="K92" t="s">
        <v>477</v>
      </c>
      <c r="L92" t="s">
        <v>29</v>
      </c>
      <c r="M92" t="s">
        <v>495</v>
      </c>
      <c r="N92" t="s">
        <v>496</v>
      </c>
      <c r="O92" t="s">
        <v>191</v>
      </c>
      <c r="P92" t="s">
        <v>497</v>
      </c>
      <c r="Q92" t="s">
        <v>498</v>
      </c>
      <c r="R92" t="s">
        <v>29</v>
      </c>
      <c r="S92" t="s">
        <v>29</v>
      </c>
      <c r="T92" t="s">
        <v>29</v>
      </c>
      <c r="U92" t="s">
        <v>29</v>
      </c>
      <c r="W92" t="s">
        <v>29</v>
      </c>
      <c r="X92" t="s">
        <v>29</v>
      </c>
    </row>
    <row r="93" spans="1:24">
      <c r="A93" t="s">
        <v>499</v>
      </c>
      <c r="B93" s="2">
        <v>43963</v>
      </c>
      <c r="C93" t="s">
        <v>66</v>
      </c>
      <c r="D93" s="2">
        <v>43966</v>
      </c>
      <c r="E93" s="2">
        <v>43973</v>
      </c>
      <c r="G93" t="s">
        <v>500</v>
      </c>
      <c r="H93" t="s">
        <v>27</v>
      </c>
      <c r="J93">
        <v>162000</v>
      </c>
      <c r="K93" t="s">
        <v>208</v>
      </c>
      <c r="L93" t="s">
        <v>29</v>
      </c>
      <c r="M93" t="s">
        <v>501</v>
      </c>
      <c r="N93" t="s">
        <v>502</v>
      </c>
      <c r="O93" t="s">
        <v>47</v>
      </c>
      <c r="P93" t="s">
        <v>63</v>
      </c>
      <c r="Q93" t="s">
        <v>34</v>
      </c>
      <c r="R93" t="s">
        <v>29</v>
      </c>
      <c r="S93" t="s">
        <v>29</v>
      </c>
      <c r="T93" t="s">
        <v>29</v>
      </c>
      <c r="U93" t="s">
        <v>29</v>
      </c>
      <c r="W93" t="s">
        <v>29</v>
      </c>
    </row>
    <row r="94" spans="1:24">
      <c r="A94" t="s">
        <v>503</v>
      </c>
      <c r="B94" s="2">
        <v>43964</v>
      </c>
      <c r="D94" s="2">
        <v>43980</v>
      </c>
      <c r="E94" s="2">
        <v>44012</v>
      </c>
      <c r="F94" s="2">
        <v>43986</v>
      </c>
      <c r="G94" t="s">
        <v>504</v>
      </c>
      <c r="H94" t="s">
        <v>494</v>
      </c>
      <c r="J94">
        <v>345000</v>
      </c>
      <c r="K94" t="s">
        <v>477</v>
      </c>
      <c r="L94" t="s">
        <v>29</v>
      </c>
      <c r="M94" t="s">
        <v>505</v>
      </c>
      <c r="N94" t="s">
        <v>31</v>
      </c>
      <c r="O94" t="s">
        <v>47</v>
      </c>
      <c r="P94" t="s">
        <v>75</v>
      </c>
      <c r="Q94" t="s">
        <v>506</v>
      </c>
      <c r="R94" t="s">
        <v>29</v>
      </c>
      <c r="S94" t="s">
        <v>442</v>
      </c>
      <c r="T94" t="s">
        <v>29</v>
      </c>
      <c r="U94" t="s">
        <v>29</v>
      </c>
      <c r="W94" t="s">
        <v>29</v>
      </c>
      <c r="X94" t="s">
        <v>29</v>
      </c>
    </row>
    <row r="95" spans="1:24">
      <c r="A95" t="s">
        <v>507</v>
      </c>
      <c r="B95" s="2">
        <v>43964</v>
      </c>
      <c r="C95" t="s">
        <v>66</v>
      </c>
      <c r="D95" s="2">
        <v>43966</v>
      </c>
      <c r="E95" s="2">
        <v>44043</v>
      </c>
      <c r="G95" t="s">
        <v>508</v>
      </c>
      <c r="H95" t="s">
        <v>27</v>
      </c>
      <c r="J95">
        <v>1287360</v>
      </c>
      <c r="K95" t="s">
        <v>68</v>
      </c>
      <c r="L95" t="s">
        <v>29</v>
      </c>
      <c r="M95" t="s">
        <v>509</v>
      </c>
      <c r="N95" t="s">
        <v>31</v>
      </c>
      <c r="O95" t="s">
        <v>47</v>
      </c>
      <c r="P95" t="s">
        <v>75</v>
      </c>
      <c r="Q95" t="s">
        <v>510</v>
      </c>
      <c r="R95" t="s">
        <v>29</v>
      </c>
      <c r="S95" t="s">
        <v>29</v>
      </c>
      <c r="T95" t="s">
        <v>29</v>
      </c>
      <c r="U95" t="s">
        <v>29</v>
      </c>
      <c r="W95" t="s">
        <v>29</v>
      </c>
    </row>
    <row r="96" spans="1:24">
      <c r="A96" t="s">
        <v>511</v>
      </c>
      <c r="B96" s="2">
        <v>43965</v>
      </c>
      <c r="C96" t="s">
        <v>42</v>
      </c>
      <c r="D96" s="2">
        <v>43972</v>
      </c>
      <c r="E96" s="2">
        <v>43986</v>
      </c>
      <c r="F96" s="2">
        <v>43972</v>
      </c>
      <c r="G96" t="s">
        <v>471</v>
      </c>
      <c r="H96" t="s">
        <v>27</v>
      </c>
      <c r="J96">
        <v>48000</v>
      </c>
      <c r="K96" t="s">
        <v>68</v>
      </c>
      <c r="L96" t="s">
        <v>29</v>
      </c>
      <c r="M96" t="s">
        <v>354</v>
      </c>
      <c r="N96" t="s">
        <v>355</v>
      </c>
      <c r="O96" t="s">
        <v>32</v>
      </c>
      <c r="P96" t="s">
        <v>33</v>
      </c>
      <c r="Q96" t="s">
        <v>34</v>
      </c>
      <c r="R96" t="s">
        <v>29</v>
      </c>
      <c r="S96" t="s">
        <v>29</v>
      </c>
      <c r="T96" t="s">
        <v>29</v>
      </c>
      <c r="U96" t="s">
        <v>29</v>
      </c>
      <c r="W96" t="s">
        <v>29</v>
      </c>
      <c r="X96" t="s">
        <v>29</v>
      </c>
    </row>
    <row r="97" spans="1:24">
      <c r="A97" t="s">
        <v>512</v>
      </c>
      <c r="B97" s="2">
        <v>43965</v>
      </c>
      <c r="C97" t="s">
        <v>42</v>
      </c>
      <c r="D97" s="2">
        <v>43976</v>
      </c>
      <c r="E97" s="2">
        <v>43990</v>
      </c>
      <c r="F97" s="2">
        <v>43976</v>
      </c>
      <c r="G97" t="s">
        <v>513</v>
      </c>
      <c r="H97" t="s">
        <v>27</v>
      </c>
      <c r="J97">
        <v>444000</v>
      </c>
      <c r="K97" t="s">
        <v>514</v>
      </c>
      <c r="L97" t="s">
        <v>29</v>
      </c>
      <c r="M97" t="s">
        <v>515</v>
      </c>
      <c r="N97" t="s">
        <v>31</v>
      </c>
      <c r="O97" t="s">
        <v>32</v>
      </c>
      <c r="P97" t="s">
        <v>33</v>
      </c>
      <c r="Q97" t="s">
        <v>34</v>
      </c>
      <c r="R97" t="s">
        <v>29</v>
      </c>
      <c r="S97" t="s">
        <v>29</v>
      </c>
      <c r="T97" t="s">
        <v>29</v>
      </c>
      <c r="U97" t="s">
        <v>29</v>
      </c>
      <c r="W97" t="s">
        <v>29</v>
      </c>
      <c r="X97" t="s">
        <v>29</v>
      </c>
    </row>
    <row r="98" spans="1:24">
      <c r="A98" t="s">
        <v>516</v>
      </c>
      <c r="B98" s="2">
        <v>43969</v>
      </c>
      <c r="C98" t="s">
        <v>42</v>
      </c>
      <c r="D98" s="2">
        <v>43972</v>
      </c>
      <c r="E98" s="2">
        <v>43986</v>
      </c>
      <c r="F98" s="2">
        <v>43979</v>
      </c>
      <c r="G98" t="s">
        <v>517</v>
      </c>
      <c r="H98" t="s">
        <v>27</v>
      </c>
      <c r="J98">
        <v>645910</v>
      </c>
      <c r="K98" t="s">
        <v>37</v>
      </c>
      <c r="L98" t="s">
        <v>29</v>
      </c>
      <c r="M98" t="s">
        <v>518</v>
      </c>
      <c r="N98" t="s">
        <v>519</v>
      </c>
      <c r="O98" t="s">
        <v>128</v>
      </c>
      <c r="P98" t="s">
        <v>129</v>
      </c>
      <c r="Q98" t="s">
        <v>130</v>
      </c>
      <c r="R98" t="s">
        <v>29</v>
      </c>
      <c r="S98" t="s">
        <v>34</v>
      </c>
      <c r="T98" t="s">
        <v>29</v>
      </c>
      <c r="U98" t="s">
        <v>50</v>
      </c>
      <c r="V98" t="s">
        <v>520</v>
      </c>
      <c r="W98" t="s">
        <v>29</v>
      </c>
      <c r="X98" t="s">
        <v>29</v>
      </c>
    </row>
    <row r="99" spans="1:24">
      <c r="A99" t="s">
        <v>521</v>
      </c>
      <c r="B99" s="2">
        <v>43970</v>
      </c>
      <c r="C99" t="s">
        <v>66</v>
      </c>
      <c r="D99" s="2">
        <v>43973</v>
      </c>
      <c r="E99" s="2">
        <v>43973</v>
      </c>
      <c r="G99" t="s">
        <v>67</v>
      </c>
      <c r="H99" t="s">
        <v>54</v>
      </c>
      <c r="J99">
        <v>0</v>
      </c>
      <c r="K99" t="s">
        <v>37</v>
      </c>
      <c r="L99" t="s">
        <v>29</v>
      </c>
      <c r="M99" t="s">
        <v>522</v>
      </c>
      <c r="N99" t="s">
        <v>62</v>
      </c>
      <c r="O99" t="s">
        <v>32</v>
      </c>
      <c r="P99" t="s">
        <v>70</v>
      </c>
      <c r="Q99" t="s">
        <v>34</v>
      </c>
      <c r="R99" t="s">
        <v>29</v>
      </c>
      <c r="S99" t="s">
        <v>29</v>
      </c>
      <c r="T99" t="s">
        <v>29</v>
      </c>
      <c r="U99" t="s">
        <v>29</v>
      </c>
      <c r="W99" t="s">
        <v>29</v>
      </c>
    </row>
    <row r="100" spans="1:24">
      <c r="A100" t="s">
        <v>523</v>
      </c>
      <c r="B100" s="2">
        <v>43971</v>
      </c>
      <c r="C100" t="s">
        <v>42</v>
      </c>
      <c r="D100" s="2">
        <v>43973</v>
      </c>
      <c r="E100" s="2">
        <v>43987</v>
      </c>
      <c r="G100" t="s">
        <v>524</v>
      </c>
      <c r="H100" t="s">
        <v>166</v>
      </c>
      <c r="J100">
        <v>0</v>
      </c>
      <c r="K100" t="s">
        <v>525</v>
      </c>
      <c r="L100" t="s">
        <v>29</v>
      </c>
      <c r="M100" t="s">
        <v>526</v>
      </c>
      <c r="N100" t="s">
        <v>31</v>
      </c>
      <c r="O100" t="s">
        <v>47</v>
      </c>
      <c r="P100" t="s">
        <v>48</v>
      </c>
      <c r="Q100" t="s">
        <v>170</v>
      </c>
      <c r="R100" t="s">
        <v>29</v>
      </c>
      <c r="S100" t="s">
        <v>29</v>
      </c>
      <c r="T100" t="s">
        <v>29</v>
      </c>
      <c r="U100" t="s">
        <v>29</v>
      </c>
      <c r="W100" t="s">
        <v>29</v>
      </c>
    </row>
    <row r="101" spans="1:24">
      <c r="A101" t="s">
        <v>527</v>
      </c>
      <c r="B101" s="2">
        <v>43973</v>
      </c>
      <c r="C101" t="s">
        <v>66</v>
      </c>
      <c r="D101" s="2">
        <v>43976</v>
      </c>
      <c r="E101" s="2">
        <v>43978</v>
      </c>
      <c r="G101" t="s">
        <v>528</v>
      </c>
      <c r="H101" t="s">
        <v>166</v>
      </c>
      <c r="J101">
        <v>0</v>
      </c>
      <c r="K101" t="s">
        <v>37</v>
      </c>
      <c r="L101" t="s">
        <v>29</v>
      </c>
      <c r="M101" t="s">
        <v>529</v>
      </c>
      <c r="N101" t="s">
        <v>31</v>
      </c>
      <c r="O101" t="s">
        <v>32</v>
      </c>
      <c r="P101" t="s">
        <v>211</v>
      </c>
      <c r="Q101" t="s">
        <v>34</v>
      </c>
      <c r="R101" t="s">
        <v>29</v>
      </c>
      <c r="S101" t="s">
        <v>29</v>
      </c>
      <c r="T101" t="s">
        <v>29</v>
      </c>
      <c r="U101" t="s">
        <v>29</v>
      </c>
      <c r="W101" t="s">
        <v>29</v>
      </c>
    </row>
    <row r="102" spans="1:24">
      <c r="A102" t="s">
        <v>530</v>
      </c>
      <c r="B102" s="2">
        <v>43976</v>
      </c>
      <c r="C102" t="s">
        <v>66</v>
      </c>
      <c r="D102" s="2">
        <v>43978</v>
      </c>
      <c r="E102" s="2">
        <v>43992</v>
      </c>
      <c r="F102" s="2">
        <v>43978</v>
      </c>
      <c r="G102" t="s">
        <v>531</v>
      </c>
      <c r="H102" t="s">
        <v>27</v>
      </c>
      <c r="J102">
        <v>120000</v>
      </c>
      <c r="K102" t="s">
        <v>532</v>
      </c>
      <c r="L102" t="s">
        <v>29</v>
      </c>
      <c r="M102" t="s">
        <v>533</v>
      </c>
      <c r="N102" t="s">
        <v>534</v>
      </c>
      <c r="O102" t="s">
        <v>32</v>
      </c>
      <c r="P102" t="s">
        <v>33</v>
      </c>
      <c r="Q102" t="s">
        <v>34</v>
      </c>
      <c r="R102" t="s">
        <v>29</v>
      </c>
      <c r="S102" t="s">
        <v>29</v>
      </c>
      <c r="T102" t="s">
        <v>29</v>
      </c>
      <c r="U102" t="s">
        <v>29</v>
      </c>
      <c r="W102" t="s">
        <v>29</v>
      </c>
      <c r="X102" t="s">
        <v>29</v>
      </c>
    </row>
    <row r="103" spans="1:24">
      <c r="A103" t="s">
        <v>535</v>
      </c>
      <c r="B103" s="2">
        <v>43976</v>
      </c>
      <c r="C103" t="s">
        <v>42</v>
      </c>
      <c r="D103" s="2">
        <v>43979</v>
      </c>
      <c r="E103" s="2">
        <v>43987</v>
      </c>
      <c r="F103" s="2">
        <v>43979</v>
      </c>
      <c r="G103" t="s">
        <v>536</v>
      </c>
      <c r="H103" t="s">
        <v>27</v>
      </c>
      <c r="J103">
        <v>149250</v>
      </c>
      <c r="K103" t="s">
        <v>83</v>
      </c>
      <c r="L103" t="s">
        <v>29</v>
      </c>
      <c r="M103" t="s">
        <v>537</v>
      </c>
      <c r="N103" t="s">
        <v>538</v>
      </c>
      <c r="O103" t="s">
        <v>128</v>
      </c>
      <c r="P103" t="s">
        <v>129</v>
      </c>
      <c r="Q103" t="s">
        <v>130</v>
      </c>
      <c r="R103" t="s">
        <v>29</v>
      </c>
      <c r="S103" t="s">
        <v>34</v>
      </c>
      <c r="T103" t="s">
        <v>29</v>
      </c>
      <c r="U103" t="s">
        <v>29</v>
      </c>
      <c r="W103" t="s">
        <v>29</v>
      </c>
      <c r="X103" t="s">
        <v>29</v>
      </c>
    </row>
    <row r="104" spans="1:24">
      <c r="A104" t="s">
        <v>539</v>
      </c>
      <c r="B104" s="2">
        <v>43976</v>
      </c>
      <c r="C104" t="s">
        <v>42</v>
      </c>
      <c r="D104" s="2">
        <v>43977</v>
      </c>
      <c r="E104" s="2">
        <v>44025</v>
      </c>
      <c r="G104" t="s">
        <v>540</v>
      </c>
      <c r="H104" t="s">
        <v>252</v>
      </c>
      <c r="I104" t="s">
        <v>541</v>
      </c>
      <c r="J104">
        <v>0</v>
      </c>
      <c r="K104" t="s">
        <v>246</v>
      </c>
      <c r="L104" t="s">
        <v>542</v>
      </c>
      <c r="M104" t="s">
        <v>543</v>
      </c>
      <c r="N104" t="s">
        <v>544</v>
      </c>
      <c r="O104" t="s">
        <v>545</v>
      </c>
      <c r="P104" t="s">
        <v>546</v>
      </c>
      <c r="Q104" t="s">
        <v>29</v>
      </c>
      <c r="R104" t="s">
        <v>29</v>
      </c>
      <c r="S104" t="s">
        <v>547</v>
      </c>
      <c r="T104" t="s">
        <v>256</v>
      </c>
      <c r="U104" t="s">
        <v>29</v>
      </c>
      <c r="W104" t="s">
        <v>29</v>
      </c>
    </row>
    <row r="105" spans="1:24">
      <c r="A105" t="s">
        <v>548</v>
      </c>
      <c r="B105" s="2">
        <v>43978</v>
      </c>
      <c r="C105" t="s">
        <v>42</v>
      </c>
      <c r="D105" s="2">
        <v>43983</v>
      </c>
      <c r="E105" s="2">
        <v>44042</v>
      </c>
      <c r="G105" t="s">
        <v>549</v>
      </c>
      <c r="H105" t="s">
        <v>27</v>
      </c>
      <c r="J105">
        <v>2000000</v>
      </c>
      <c r="K105" t="s">
        <v>44</v>
      </c>
      <c r="L105" t="s">
        <v>29</v>
      </c>
      <c r="M105" t="s">
        <v>146</v>
      </c>
      <c r="N105" t="s">
        <v>147</v>
      </c>
      <c r="O105" t="s">
        <v>47</v>
      </c>
      <c r="P105" t="s">
        <v>48</v>
      </c>
      <c r="Q105" t="s">
        <v>49</v>
      </c>
      <c r="R105" t="s">
        <v>111</v>
      </c>
      <c r="S105" t="s">
        <v>29</v>
      </c>
      <c r="T105" t="s">
        <v>29</v>
      </c>
      <c r="U105" t="s">
        <v>112</v>
      </c>
      <c r="V105" t="s">
        <v>550</v>
      </c>
      <c r="W105" t="s">
        <v>29</v>
      </c>
    </row>
    <row r="106" spans="1:24">
      <c r="A106" t="s">
        <v>551</v>
      </c>
      <c r="B106" s="2">
        <v>43978</v>
      </c>
      <c r="C106" t="s">
        <v>42</v>
      </c>
      <c r="D106" s="2">
        <v>44012</v>
      </c>
      <c r="E106" s="2">
        <v>44134</v>
      </c>
      <c r="G106" t="s">
        <v>465</v>
      </c>
      <c r="H106" t="s">
        <v>27</v>
      </c>
      <c r="J106">
        <v>1300000</v>
      </c>
      <c r="K106" t="s">
        <v>37</v>
      </c>
      <c r="L106" t="s">
        <v>29</v>
      </c>
      <c r="M106" t="s">
        <v>202</v>
      </c>
      <c r="N106" t="s">
        <v>466</v>
      </c>
      <c r="O106" t="s">
        <v>47</v>
      </c>
      <c r="P106" t="s">
        <v>48</v>
      </c>
      <c r="Q106" t="s">
        <v>552</v>
      </c>
      <c r="R106" t="s">
        <v>29</v>
      </c>
      <c r="S106" t="s">
        <v>29</v>
      </c>
      <c r="T106" t="s">
        <v>29</v>
      </c>
      <c r="U106" t="s">
        <v>50</v>
      </c>
      <c r="V106" t="s">
        <v>553</v>
      </c>
      <c r="W106" t="s">
        <v>29</v>
      </c>
    </row>
    <row r="107" spans="1:24">
      <c r="A107" t="s">
        <v>554</v>
      </c>
      <c r="B107" s="2">
        <v>43978</v>
      </c>
      <c r="C107" t="s">
        <v>66</v>
      </c>
      <c r="D107" s="2">
        <v>43980</v>
      </c>
      <c r="E107" s="2">
        <v>43980</v>
      </c>
      <c r="G107" t="s">
        <v>555</v>
      </c>
      <c r="H107" t="s">
        <v>27</v>
      </c>
      <c r="J107">
        <v>1000000</v>
      </c>
      <c r="K107" t="s">
        <v>222</v>
      </c>
      <c r="L107" t="s">
        <v>29</v>
      </c>
      <c r="M107" t="s">
        <v>556</v>
      </c>
      <c r="N107" t="s">
        <v>31</v>
      </c>
      <c r="O107" t="s">
        <v>32</v>
      </c>
      <c r="P107" t="s">
        <v>70</v>
      </c>
      <c r="Q107" t="s">
        <v>557</v>
      </c>
      <c r="R107" t="s">
        <v>29</v>
      </c>
      <c r="S107" t="s">
        <v>34</v>
      </c>
      <c r="T107" t="s">
        <v>29</v>
      </c>
      <c r="U107" t="s">
        <v>29</v>
      </c>
      <c r="W107" t="s">
        <v>29</v>
      </c>
    </row>
    <row r="108" spans="1:24">
      <c r="A108" t="s">
        <v>558</v>
      </c>
      <c r="B108" s="2">
        <v>43978</v>
      </c>
      <c r="C108" t="s">
        <v>66</v>
      </c>
      <c r="D108" s="2">
        <v>43983</v>
      </c>
      <c r="E108" s="2">
        <v>43987</v>
      </c>
      <c r="G108" t="s">
        <v>559</v>
      </c>
      <c r="H108" t="s">
        <v>27</v>
      </c>
      <c r="J108">
        <v>22500</v>
      </c>
      <c r="K108" t="s">
        <v>246</v>
      </c>
      <c r="L108" t="s">
        <v>29</v>
      </c>
      <c r="M108" t="s">
        <v>560</v>
      </c>
      <c r="N108" t="s">
        <v>62</v>
      </c>
      <c r="O108" t="s">
        <v>32</v>
      </c>
      <c r="P108" t="s">
        <v>211</v>
      </c>
      <c r="Q108" t="s">
        <v>34</v>
      </c>
      <c r="R108" t="s">
        <v>29</v>
      </c>
      <c r="S108" t="s">
        <v>29</v>
      </c>
      <c r="T108" t="s">
        <v>29</v>
      </c>
      <c r="U108" t="s">
        <v>29</v>
      </c>
      <c r="W108" t="s">
        <v>29</v>
      </c>
    </row>
    <row r="109" spans="1:24">
      <c r="A109" t="s">
        <v>561</v>
      </c>
      <c r="B109" s="2">
        <v>43979</v>
      </c>
      <c r="C109" t="s">
        <v>42</v>
      </c>
      <c r="D109" s="2">
        <v>43983</v>
      </c>
      <c r="E109" s="2">
        <v>44012</v>
      </c>
      <c r="F109" s="2">
        <v>43984</v>
      </c>
      <c r="G109" t="s">
        <v>562</v>
      </c>
      <c r="H109" t="s">
        <v>494</v>
      </c>
      <c r="J109">
        <v>0</v>
      </c>
      <c r="K109" t="s">
        <v>189</v>
      </c>
      <c r="L109" t="s">
        <v>29</v>
      </c>
      <c r="M109" t="s">
        <v>563</v>
      </c>
      <c r="N109" t="s">
        <v>31</v>
      </c>
      <c r="O109" t="s">
        <v>408</v>
      </c>
      <c r="P109" t="s">
        <v>409</v>
      </c>
      <c r="Q109" t="s">
        <v>564</v>
      </c>
      <c r="R109" t="s">
        <v>29</v>
      </c>
      <c r="S109" t="s">
        <v>29</v>
      </c>
      <c r="T109" t="s">
        <v>29</v>
      </c>
      <c r="U109" t="s">
        <v>29</v>
      </c>
      <c r="W109" t="s">
        <v>29</v>
      </c>
      <c r="X109" t="s">
        <v>29</v>
      </c>
    </row>
    <row r="110" spans="1:24">
      <c r="A110" t="s">
        <v>565</v>
      </c>
      <c r="B110" s="2">
        <v>43979</v>
      </c>
      <c r="C110" t="s">
        <v>66</v>
      </c>
      <c r="D110" s="2">
        <v>43983</v>
      </c>
      <c r="E110" s="2">
        <v>43994</v>
      </c>
      <c r="G110" t="s">
        <v>566</v>
      </c>
      <c r="H110" t="s">
        <v>54</v>
      </c>
      <c r="J110">
        <v>0</v>
      </c>
      <c r="K110" t="s">
        <v>454</v>
      </c>
      <c r="L110" t="s">
        <v>29</v>
      </c>
      <c r="M110" t="s">
        <v>567</v>
      </c>
      <c r="N110" t="s">
        <v>31</v>
      </c>
      <c r="O110" t="s">
        <v>101</v>
      </c>
      <c r="P110" t="s">
        <v>361</v>
      </c>
      <c r="Q110" t="s">
        <v>29</v>
      </c>
      <c r="R110" t="s">
        <v>29</v>
      </c>
      <c r="S110" t="s">
        <v>266</v>
      </c>
      <c r="T110" t="s">
        <v>29</v>
      </c>
      <c r="U110" t="s">
        <v>29</v>
      </c>
      <c r="W110" t="s">
        <v>29</v>
      </c>
    </row>
    <row r="111" spans="1:24">
      <c r="A111" t="s">
        <v>568</v>
      </c>
      <c r="B111" s="2">
        <v>43979</v>
      </c>
      <c r="C111" t="s">
        <v>66</v>
      </c>
      <c r="D111" s="2">
        <v>43984</v>
      </c>
      <c r="E111" s="2">
        <v>43987</v>
      </c>
      <c r="G111" t="s">
        <v>569</v>
      </c>
      <c r="H111" t="s">
        <v>27</v>
      </c>
      <c r="J111">
        <v>17997</v>
      </c>
      <c r="K111" t="s">
        <v>83</v>
      </c>
      <c r="L111" t="s">
        <v>29</v>
      </c>
      <c r="M111" t="s">
        <v>570</v>
      </c>
      <c r="N111" t="s">
        <v>62</v>
      </c>
      <c r="O111" t="s">
        <v>32</v>
      </c>
      <c r="P111" t="s">
        <v>211</v>
      </c>
      <c r="Q111" t="s">
        <v>571</v>
      </c>
      <c r="R111" t="s">
        <v>29</v>
      </c>
      <c r="S111" t="s">
        <v>29</v>
      </c>
      <c r="T111" t="s">
        <v>29</v>
      </c>
      <c r="U111" t="s">
        <v>29</v>
      </c>
      <c r="W111" t="s">
        <v>29</v>
      </c>
    </row>
    <row r="112" spans="1:24">
      <c r="A112" t="s">
        <v>572</v>
      </c>
      <c r="B112" s="2">
        <v>43980</v>
      </c>
      <c r="C112" t="s">
        <v>42</v>
      </c>
      <c r="D112" s="2">
        <v>43997</v>
      </c>
      <c r="E112" s="2">
        <v>44074</v>
      </c>
      <c r="G112" t="s">
        <v>573</v>
      </c>
      <c r="H112" t="s">
        <v>27</v>
      </c>
      <c r="J112">
        <v>2872800</v>
      </c>
      <c r="K112" t="s">
        <v>68</v>
      </c>
      <c r="L112" t="s">
        <v>29</v>
      </c>
      <c r="M112" t="s">
        <v>574</v>
      </c>
      <c r="N112" t="s">
        <v>31</v>
      </c>
      <c r="O112" t="s">
        <v>47</v>
      </c>
      <c r="P112" t="s">
        <v>48</v>
      </c>
      <c r="Q112" t="s">
        <v>575</v>
      </c>
      <c r="R112" t="s">
        <v>29</v>
      </c>
      <c r="S112" t="s">
        <v>29</v>
      </c>
      <c r="T112" t="s">
        <v>29</v>
      </c>
      <c r="U112" t="s">
        <v>29</v>
      </c>
      <c r="W112" t="s">
        <v>29</v>
      </c>
    </row>
    <row r="113" spans="1:24">
      <c r="A113" t="s">
        <v>576</v>
      </c>
      <c r="B113" s="2">
        <v>43980</v>
      </c>
      <c r="C113" t="s">
        <v>66</v>
      </c>
      <c r="D113" s="2">
        <v>43985</v>
      </c>
      <c r="E113" s="2">
        <v>43999</v>
      </c>
      <c r="F113" s="2">
        <v>43985</v>
      </c>
      <c r="G113" t="s">
        <v>471</v>
      </c>
      <c r="H113" t="s">
        <v>27</v>
      </c>
      <c r="J113">
        <v>48000</v>
      </c>
      <c r="K113" t="s">
        <v>68</v>
      </c>
      <c r="L113" t="s">
        <v>29</v>
      </c>
      <c r="M113" t="s">
        <v>354</v>
      </c>
      <c r="N113" t="s">
        <v>355</v>
      </c>
      <c r="O113" t="s">
        <v>32</v>
      </c>
      <c r="P113" t="s">
        <v>33</v>
      </c>
      <c r="Q113" t="s">
        <v>34</v>
      </c>
      <c r="R113" t="s">
        <v>29</v>
      </c>
      <c r="S113" t="s">
        <v>29</v>
      </c>
      <c r="T113" t="s">
        <v>29</v>
      </c>
      <c r="U113" t="s">
        <v>29</v>
      </c>
      <c r="W113" t="s">
        <v>29</v>
      </c>
      <c r="X113" t="s">
        <v>29</v>
      </c>
    </row>
    <row r="114" spans="1:24">
      <c r="A114" t="s">
        <v>577</v>
      </c>
      <c r="B114" s="2">
        <v>43980</v>
      </c>
      <c r="C114" t="s">
        <v>66</v>
      </c>
      <c r="D114" s="2">
        <v>43983</v>
      </c>
      <c r="E114" s="2">
        <v>44104</v>
      </c>
      <c r="G114" t="s">
        <v>245</v>
      </c>
      <c r="H114" t="s">
        <v>27</v>
      </c>
      <c r="J114">
        <v>3031080</v>
      </c>
      <c r="K114" t="s">
        <v>246</v>
      </c>
      <c r="L114" t="s">
        <v>29</v>
      </c>
      <c r="M114" t="s">
        <v>247</v>
      </c>
      <c r="N114" t="s">
        <v>248</v>
      </c>
      <c r="O114" t="s">
        <v>47</v>
      </c>
      <c r="P114" t="s">
        <v>75</v>
      </c>
      <c r="Q114" t="s">
        <v>92</v>
      </c>
      <c r="R114" t="s">
        <v>29</v>
      </c>
      <c r="S114" t="s">
        <v>29</v>
      </c>
      <c r="T114" t="s">
        <v>29</v>
      </c>
      <c r="U114" t="s">
        <v>29</v>
      </c>
      <c r="W114" t="s">
        <v>29</v>
      </c>
    </row>
    <row r="115" spans="1:24">
      <c r="A115" t="s">
        <v>578</v>
      </c>
      <c r="B115" s="2">
        <v>43985</v>
      </c>
      <c r="C115" t="s">
        <v>42</v>
      </c>
      <c r="D115" s="2">
        <v>43994</v>
      </c>
      <c r="E115" s="2">
        <v>44012</v>
      </c>
      <c r="G115" t="s">
        <v>579</v>
      </c>
      <c r="H115" t="s">
        <v>54</v>
      </c>
      <c r="J115">
        <v>0</v>
      </c>
      <c r="K115" t="s">
        <v>44</v>
      </c>
      <c r="L115" t="s">
        <v>29</v>
      </c>
      <c r="M115" t="s">
        <v>55</v>
      </c>
      <c r="N115" t="s">
        <v>31</v>
      </c>
      <c r="O115" t="s">
        <v>47</v>
      </c>
      <c r="P115" t="s">
        <v>48</v>
      </c>
      <c r="Q115" t="s">
        <v>49</v>
      </c>
      <c r="R115" t="s">
        <v>81</v>
      </c>
      <c r="S115" t="s">
        <v>29</v>
      </c>
      <c r="T115" t="s">
        <v>29</v>
      </c>
      <c r="U115" t="s">
        <v>29</v>
      </c>
      <c r="W115" t="s">
        <v>580</v>
      </c>
    </row>
    <row r="116" spans="1:24">
      <c r="A116" t="s">
        <v>581</v>
      </c>
      <c r="B116" s="2">
        <v>43986</v>
      </c>
      <c r="C116" t="s">
        <v>66</v>
      </c>
      <c r="D116" s="2">
        <v>43990</v>
      </c>
      <c r="E116" s="2">
        <v>44004</v>
      </c>
      <c r="F116" s="2">
        <v>43990</v>
      </c>
      <c r="G116" t="s">
        <v>582</v>
      </c>
      <c r="H116" t="s">
        <v>27</v>
      </c>
      <c r="J116">
        <v>91200</v>
      </c>
      <c r="K116" t="s">
        <v>68</v>
      </c>
      <c r="L116" t="s">
        <v>29</v>
      </c>
      <c r="M116" t="s">
        <v>354</v>
      </c>
      <c r="N116" t="s">
        <v>583</v>
      </c>
      <c r="O116" t="s">
        <v>32</v>
      </c>
      <c r="P116" t="s">
        <v>33</v>
      </c>
      <c r="Q116" t="s">
        <v>34</v>
      </c>
      <c r="R116" t="s">
        <v>29</v>
      </c>
      <c r="S116" t="s">
        <v>29</v>
      </c>
      <c r="T116" t="s">
        <v>29</v>
      </c>
      <c r="U116" t="s">
        <v>29</v>
      </c>
      <c r="W116" t="s">
        <v>29</v>
      </c>
      <c r="X116" t="s">
        <v>29</v>
      </c>
    </row>
    <row r="117" spans="1:24">
      <c r="A117" t="s">
        <v>584</v>
      </c>
      <c r="B117" s="2">
        <v>43987</v>
      </c>
      <c r="C117" t="s">
        <v>42</v>
      </c>
      <c r="D117" s="2">
        <v>44012</v>
      </c>
      <c r="E117" s="2">
        <v>44134</v>
      </c>
      <c r="G117" t="s">
        <v>465</v>
      </c>
      <c r="H117" t="s">
        <v>27</v>
      </c>
      <c r="J117">
        <v>1850000</v>
      </c>
      <c r="K117" t="s">
        <v>37</v>
      </c>
      <c r="L117" t="s">
        <v>29</v>
      </c>
      <c r="M117" t="s">
        <v>202</v>
      </c>
      <c r="N117" t="s">
        <v>585</v>
      </c>
      <c r="O117" t="s">
        <v>47</v>
      </c>
      <c r="P117" t="s">
        <v>48</v>
      </c>
      <c r="Q117" t="s">
        <v>586</v>
      </c>
      <c r="R117" t="s">
        <v>29</v>
      </c>
      <c r="S117" t="s">
        <v>29</v>
      </c>
      <c r="T117" t="s">
        <v>29</v>
      </c>
      <c r="U117" t="s">
        <v>29</v>
      </c>
      <c r="W117" t="s">
        <v>29</v>
      </c>
    </row>
    <row r="118" spans="1:24">
      <c r="A118" t="s">
        <v>587</v>
      </c>
      <c r="B118" s="2">
        <v>43987</v>
      </c>
      <c r="C118" t="s">
        <v>42</v>
      </c>
      <c r="D118" s="2">
        <v>43991</v>
      </c>
      <c r="E118" s="2">
        <v>43998</v>
      </c>
      <c r="F118" s="2">
        <v>43991</v>
      </c>
      <c r="G118" t="s">
        <v>588</v>
      </c>
      <c r="H118" t="s">
        <v>54</v>
      </c>
      <c r="J118">
        <v>0</v>
      </c>
      <c r="K118" t="s">
        <v>37</v>
      </c>
      <c r="L118" t="s">
        <v>29</v>
      </c>
      <c r="M118" t="s">
        <v>474</v>
      </c>
      <c r="N118" t="s">
        <v>31</v>
      </c>
      <c r="O118" t="s">
        <v>128</v>
      </c>
      <c r="P118" t="s">
        <v>129</v>
      </c>
      <c r="Q118" t="s">
        <v>130</v>
      </c>
      <c r="R118" t="s">
        <v>29</v>
      </c>
      <c r="S118" t="s">
        <v>29</v>
      </c>
      <c r="T118" t="s">
        <v>29</v>
      </c>
      <c r="U118" t="s">
        <v>29</v>
      </c>
      <c r="W118" t="s">
        <v>29</v>
      </c>
      <c r="X118" t="s">
        <v>29</v>
      </c>
    </row>
    <row r="119" spans="1:24">
      <c r="A119" t="s">
        <v>589</v>
      </c>
      <c r="B119" s="2">
        <v>43990</v>
      </c>
      <c r="C119" t="s">
        <v>42</v>
      </c>
      <c r="D119" s="2">
        <v>44013</v>
      </c>
      <c r="E119" s="2">
        <v>44104</v>
      </c>
      <c r="G119" t="s">
        <v>590</v>
      </c>
      <c r="H119" t="s">
        <v>27</v>
      </c>
      <c r="J119">
        <v>1512000</v>
      </c>
      <c r="K119" t="s">
        <v>68</v>
      </c>
      <c r="L119" t="s">
        <v>29</v>
      </c>
      <c r="M119" t="s">
        <v>591</v>
      </c>
      <c r="N119" t="s">
        <v>31</v>
      </c>
      <c r="O119" t="s">
        <v>47</v>
      </c>
      <c r="P119" t="s">
        <v>48</v>
      </c>
      <c r="Q119" t="s">
        <v>49</v>
      </c>
      <c r="R119" t="s">
        <v>111</v>
      </c>
      <c r="S119" t="s">
        <v>29</v>
      </c>
      <c r="T119" t="s">
        <v>29</v>
      </c>
      <c r="U119" t="s">
        <v>112</v>
      </c>
      <c r="V119" t="s">
        <v>592</v>
      </c>
      <c r="W119" t="s">
        <v>29</v>
      </c>
    </row>
    <row r="120" spans="1:24">
      <c r="A120" t="s">
        <v>593</v>
      </c>
      <c r="B120" s="2">
        <v>43990</v>
      </c>
      <c r="C120" t="s">
        <v>42</v>
      </c>
      <c r="D120" s="2">
        <v>43991</v>
      </c>
      <c r="E120" s="2">
        <v>43998</v>
      </c>
      <c r="G120" t="s">
        <v>594</v>
      </c>
      <c r="H120" t="s">
        <v>252</v>
      </c>
      <c r="J120">
        <v>0</v>
      </c>
      <c r="K120" t="s">
        <v>37</v>
      </c>
      <c r="L120" t="s">
        <v>29</v>
      </c>
      <c r="M120" t="s">
        <v>595</v>
      </c>
      <c r="N120" t="s">
        <v>31</v>
      </c>
      <c r="O120" t="s">
        <v>596</v>
      </c>
      <c r="P120" t="s">
        <v>597</v>
      </c>
      <c r="Q120" t="s">
        <v>29</v>
      </c>
      <c r="R120" t="s">
        <v>29</v>
      </c>
      <c r="S120" t="s">
        <v>598</v>
      </c>
      <c r="T120" t="s">
        <v>111</v>
      </c>
      <c r="U120" t="s">
        <v>112</v>
      </c>
      <c r="V120" t="s">
        <v>599</v>
      </c>
      <c r="W120" t="s">
        <v>29</v>
      </c>
    </row>
    <row r="121" spans="1:24">
      <c r="A121" t="s">
        <v>600</v>
      </c>
      <c r="B121" s="2">
        <v>43990</v>
      </c>
      <c r="C121" t="s">
        <v>66</v>
      </c>
      <c r="D121" s="2">
        <v>43992</v>
      </c>
      <c r="E121" s="2">
        <v>44286</v>
      </c>
      <c r="G121" t="s">
        <v>601</v>
      </c>
      <c r="H121" t="s">
        <v>252</v>
      </c>
      <c r="J121">
        <v>3240000</v>
      </c>
      <c r="K121" t="s">
        <v>532</v>
      </c>
      <c r="L121" t="s">
        <v>29</v>
      </c>
      <c r="M121" t="s">
        <v>602</v>
      </c>
      <c r="N121" t="s">
        <v>603</v>
      </c>
      <c r="O121" t="s">
        <v>604</v>
      </c>
      <c r="P121" t="s">
        <v>605</v>
      </c>
      <c r="Q121" t="s">
        <v>29</v>
      </c>
      <c r="R121" t="s">
        <v>29</v>
      </c>
      <c r="S121" t="s">
        <v>34</v>
      </c>
      <c r="T121" t="s">
        <v>29</v>
      </c>
      <c r="U121" t="s">
        <v>29</v>
      </c>
      <c r="W121" t="s">
        <v>29</v>
      </c>
    </row>
    <row r="122" spans="1:24">
      <c r="A122" t="s">
        <v>606</v>
      </c>
      <c r="B122" s="2">
        <v>43990</v>
      </c>
      <c r="C122" t="s">
        <v>42</v>
      </c>
      <c r="D122" s="2">
        <v>43992</v>
      </c>
      <c r="E122" s="2">
        <v>44006</v>
      </c>
      <c r="F122" s="2">
        <v>43992</v>
      </c>
      <c r="G122" t="s">
        <v>607</v>
      </c>
      <c r="H122" t="s">
        <v>27</v>
      </c>
      <c r="J122">
        <v>120000</v>
      </c>
      <c r="K122" t="s">
        <v>532</v>
      </c>
      <c r="L122" t="s">
        <v>29</v>
      </c>
      <c r="M122" t="s">
        <v>608</v>
      </c>
      <c r="N122" t="s">
        <v>534</v>
      </c>
      <c r="O122" t="s">
        <v>32</v>
      </c>
      <c r="P122" t="s">
        <v>33</v>
      </c>
      <c r="Q122" t="s">
        <v>34</v>
      </c>
      <c r="R122" t="s">
        <v>29</v>
      </c>
      <c r="S122" t="s">
        <v>29</v>
      </c>
      <c r="T122" t="s">
        <v>29</v>
      </c>
      <c r="U122" t="s">
        <v>29</v>
      </c>
      <c r="W122" t="s">
        <v>29</v>
      </c>
      <c r="X122" t="s">
        <v>29</v>
      </c>
    </row>
    <row r="123" spans="1:24">
      <c r="A123" t="s">
        <v>609</v>
      </c>
      <c r="B123" s="2">
        <v>43990</v>
      </c>
      <c r="C123" t="s">
        <v>66</v>
      </c>
      <c r="D123" s="2">
        <v>43994</v>
      </c>
      <c r="E123" s="2">
        <v>44008</v>
      </c>
      <c r="F123" s="2">
        <v>43994</v>
      </c>
      <c r="G123" t="s">
        <v>610</v>
      </c>
      <c r="H123" t="s">
        <v>27</v>
      </c>
      <c r="J123">
        <v>48000</v>
      </c>
      <c r="K123" t="s">
        <v>68</v>
      </c>
      <c r="L123" t="s">
        <v>29</v>
      </c>
      <c r="M123" t="s">
        <v>133</v>
      </c>
      <c r="N123" t="s">
        <v>484</v>
      </c>
      <c r="O123" t="s">
        <v>32</v>
      </c>
      <c r="P123" t="s">
        <v>33</v>
      </c>
      <c r="Q123" t="s">
        <v>34</v>
      </c>
      <c r="R123" t="s">
        <v>29</v>
      </c>
      <c r="S123" t="s">
        <v>29</v>
      </c>
      <c r="T123" t="s">
        <v>29</v>
      </c>
      <c r="U123" t="s">
        <v>29</v>
      </c>
      <c r="W123" t="s">
        <v>29</v>
      </c>
      <c r="X123" t="s">
        <v>29</v>
      </c>
    </row>
    <row r="124" spans="1:24">
      <c r="A124" t="s">
        <v>611</v>
      </c>
      <c r="B124" s="2">
        <v>43992</v>
      </c>
      <c r="C124" t="s">
        <v>66</v>
      </c>
      <c r="D124" s="2">
        <v>43993</v>
      </c>
      <c r="E124" s="2">
        <v>44008</v>
      </c>
      <c r="G124" t="s">
        <v>612</v>
      </c>
      <c r="H124" t="s">
        <v>54</v>
      </c>
      <c r="I124" t="s">
        <v>613</v>
      </c>
      <c r="J124">
        <v>0</v>
      </c>
      <c r="K124" t="s">
        <v>68</v>
      </c>
      <c r="L124" t="s">
        <v>29</v>
      </c>
      <c r="M124" t="s">
        <v>509</v>
      </c>
      <c r="N124" t="s">
        <v>31</v>
      </c>
      <c r="O124" t="s">
        <v>47</v>
      </c>
      <c r="P124" t="s">
        <v>75</v>
      </c>
      <c r="Q124" t="s">
        <v>510</v>
      </c>
      <c r="R124" t="s">
        <v>29</v>
      </c>
      <c r="S124" t="s">
        <v>29</v>
      </c>
      <c r="T124" t="s">
        <v>29</v>
      </c>
      <c r="U124" t="s">
        <v>29</v>
      </c>
      <c r="W124" t="s">
        <v>29</v>
      </c>
    </row>
    <row r="125" spans="1:24">
      <c r="A125" t="s">
        <v>614</v>
      </c>
      <c r="B125" s="2">
        <v>43992</v>
      </c>
      <c r="C125" t="s">
        <v>66</v>
      </c>
      <c r="D125" s="2">
        <v>44004</v>
      </c>
      <c r="E125" s="2">
        <v>44043</v>
      </c>
      <c r="G125" t="s">
        <v>615</v>
      </c>
      <c r="H125" t="s">
        <v>27</v>
      </c>
      <c r="J125">
        <v>800000</v>
      </c>
      <c r="K125" t="s">
        <v>44</v>
      </c>
      <c r="L125" t="s">
        <v>29</v>
      </c>
      <c r="M125" t="s">
        <v>616</v>
      </c>
      <c r="N125" t="s">
        <v>31</v>
      </c>
      <c r="O125" t="s">
        <v>47</v>
      </c>
      <c r="P125" t="s">
        <v>75</v>
      </c>
      <c r="Q125" t="s">
        <v>617</v>
      </c>
      <c r="R125" t="s">
        <v>29</v>
      </c>
      <c r="S125" t="s">
        <v>29</v>
      </c>
      <c r="T125" t="s">
        <v>29</v>
      </c>
      <c r="U125" t="s">
        <v>29</v>
      </c>
      <c r="W125" t="s">
        <v>29</v>
      </c>
    </row>
    <row r="126" spans="1:24">
      <c r="A126" t="s">
        <v>618</v>
      </c>
      <c r="B126" s="2">
        <v>43992</v>
      </c>
      <c r="C126" t="s">
        <v>66</v>
      </c>
      <c r="D126" s="2">
        <v>43997</v>
      </c>
      <c r="E126" s="2">
        <v>44012</v>
      </c>
      <c r="G126" t="s">
        <v>619</v>
      </c>
      <c r="H126" t="s">
        <v>27</v>
      </c>
      <c r="J126">
        <v>202500</v>
      </c>
      <c r="K126" t="s">
        <v>246</v>
      </c>
      <c r="L126" t="s">
        <v>29</v>
      </c>
      <c r="M126" t="s">
        <v>247</v>
      </c>
      <c r="N126" t="s">
        <v>620</v>
      </c>
      <c r="O126" t="s">
        <v>47</v>
      </c>
      <c r="P126" t="s">
        <v>621</v>
      </c>
      <c r="Q126" t="s">
        <v>34</v>
      </c>
      <c r="R126" t="s">
        <v>29</v>
      </c>
      <c r="S126" t="s">
        <v>29</v>
      </c>
      <c r="T126" t="s">
        <v>29</v>
      </c>
      <c r="U126" t="s">
        <v>29</v>
      </c>
      <c r="W126" t="s">
        <v>622</v>
      </c>
    </row>
    <row r="127" spans="1:24">
      <c r="A127" t="s">
        <v>623</v>
      </c>
      <c r="B127" s="2">
        <v>43992</v>
      </c>
      <c r="C127" t="s">
        <v>66</v>
      </c>
      <c r="D127" s="2">
        <v>43993</v>
      </c>
      <c r="E127" s="2">
        <v>44007</v>
      </c>
      <c r="F127" t="s">
        <v>624</v>
      </c>
      <c r="G127" t="s">
        <v>416</v>
      </c>
      <c r="H127" t="s">
        <v>54</v>
      </c>
      <c r="J127">
        <v>0</v>
      </c>
      <c r="K127" t="s">
        <v>37</v>
      </c>
      <c r="L127" t="s">
        <v>29</v>
      </c>
      <c r="M127" t="s">
        <v>417</v>
      </c>
      <c r="N127" t="s">
        <v>31</v>
      </c>
      <c r="O127" t="s">
        <v>32</v>
      </c>
      <c r="P127" t="s">
        <v>33</v>
      </c>
      <c r="Q127" t="s">
        <v>625</v>
      </c>
      <c r="R127" t="s">
        <v>29</v>
      </c>
      <c r="S127" t="s">
        <v>29</v>
      </c>
      <c r="T127" t="s">
        <v>29</v>
      </c>
      <c r="U127" t="s">
        <v>29</v>
      </c>
      <c r="W127" t="s">
        <v>29</v>
      </c>
      <c r="X127" t="s">
        <v>29</v>
      </c>
    </row>
    <row r="128" spans="1:24">
      <c r="A128" t="s">
        <v>626</v>
      </c>
      <c r="B128" s="2">
        <v>43993</v>
      </c>
      <c r="C128" t="s">
        <v>66</v>
      </c>
      <c r="D128" s="2">
        <v>43997</v>
      </c>
      <c r="E128" s="2">
        <v>44012</v>
      </c>
      <c r="G128" t="s">
        <v>627</v>
      </c>
      <c r="H128" t="s">
        <v>54</v>
      </c>
      <c r="J128">
        <v>0</v>
      </c>
      <c r="K128" t="s">
        <v>222</v>
      </c>
      <c r="L128" t="s">
        <v>29</v>
      </c>
      <c r="M128" t="s">
        <v>628</v>
      </c>
      <c r="N128" t="s">
        <v>62</v>
      </c>
      <c r="O128" t="s">
        <v>139</v>
      </c>
      <c r="P128" t="s">
        <v>380</v>
      </c>
      <c r="Q128" t="s">
        <v>34</v>
      </c>
      <c r="R128" t="s">
        <v>29</v>
      </c>
      <c r="S128" t="s">
        <v>29</v>
      </c>
      <c r="T128" t="s">
        <v>29</v>
      </c>
      <c r="U128" t="s">
        <v>29</v>
      </c>
      <c r="W128" t="s">
        <v>29</v>
      </c>
    </row>
    <row r="129" spans="1:24">
      <c r="A129" t="s">
        <v>629</v>
      </c>
      <c r="B129" s="2">
        <v>43997</v>
      </c>
      <c r="C129" t="s">
        <v>66</v>
      </c>
      <c r="D129" s="2">
        <v>43999</v>
      </c>
      <c r="E129" s="2">
        <v>44013</v>
      </c>
      <c r="F129" s="2">
        <v>43999</v>
      </c>
      <c r="G129" t="s">
        <v>471</v>
      </c>
      <c r="H129" t="s">
        <v>27</v>
      </c>
      <c r="J129">
        <v>48000</v>
      </c>
      <c r="K129" t="s">
        <v>68</v>
      </c>
      <c r="L129" t="s">
        <v>29</v>
      </c>
      <c r="M129" t="s">
        <v>354</v>
      </c>
      <c r="N129" t="s">
        <v>355</v>
      </c>
      <c r="O129" t="s">
        <v>32</v>
      </c>
      <c r="P129" t="s">
        <v>33</v>
      </c>
      <c r="Q129" t="s">
        <v>34</v>
      </c>
      <c r="R129" t="s">
        <v>29</v>
      </c>
      <c r="S129" t="s">
        <v>29</v>
      </c>
      <c r="T129" t="s">
        <v>29</v>
      </c>
      <c r="U129" t="s">
        <v>29</v>
      </c>
      <c r="W129" t="s">
        <v>29</v>
      </c>
      <c r="X129" t="s">
        <v>29</v>
      </c>
    </row>
    <row r="130" spans="1:24">
      <c r="A130" t="s">
        <v>630</v>
      </c>
      <c r="B130" s="2">
        <v>43998</v>
      </c>
      <c r="C130" t="s">
        <v>42</v>
      </c>
      <c r="D130" s="2">
        <v>43999</v>
      </c>
      <c r="E130" s="2">
        <v>44025</v>
      </c>
      <c r="F130" s="2">
        <v>43999</v>
      </c>
      <c r="G130" t="s">
        <v>631</v>
      </c>
      <c r="H130" t="s">
        <v>116</v>
      </c>
      <c r="I130" t="s">
        <v>632</v>
      </c>
      <c r="J130">
        <v>0</v>
      </c>
      <c r="K130" t="s">
        <v>246</v>
      </c>
      <c r="L130" t="s">
        <v>542</v>
      </c>
      <c r="M130" t="s">
        <v>633</v>
      </c>
      <c r="N130" t="s">
        <v>634</v>
      </c>
      <c r="O130" t="s">
        <v>635</v>
      </c>
      <c r="P130" t="s">
        <v>636</v>
      </c>
      <c r="Q130" t="s">
        <v>29</v>
      </c>
      <c r="R130" t="s">
        <v>29</v>
      </c>
      <c r="S130" t="s">
        <v>442</v>
      </c>
      <c r="T130" t="s">
        <v>29</v>
      </c>
      <c r="U130" t="s">
        <v>29</v>
      </c>
      <c r="W130" t="s">
        <v>29</v>
      </c>
      <c r="X130" t="s">
        <v>29</v>
      </c>
    </row>
    <row r="131" spans="1:24">
      <c r="A131" t="s">
        <v>637</v>
      </c>
      <c r="B131" s="2">
        <v>43998</v>
      </c>
      <c r="C131" t="s">
        <v>66</v>
      </c>
      <c r="D131" s="2">
        <v>44001</v>
      </c>
      <c r="E131" s="2">
        <v>44012</v>
      </c>
      <c r="G131" t="s">
        <v>638</v>
      </c>
      <c r="H131" t="s">
        <v>27</v>
      </c>
      <c r="J131">
        <v>708000</v>
      </c>
      <c r="K131" t="s">
        <v>639</v>
      </c>
      <c r="L131" t="s">
        <v>29</v>
      </c>
      <c r="M131" t="s">
        <v>640</v>
      </c>
      <c r="N131" t="s">
        <v>62</v>
      </c>
      <c r="O131" t="s">
        <v>139</v>
      </c>
      <c r="P131" t="s">
        <v>380</v>
      </c>
      <c r="Q131" t="s">
        <v>34</v>
      </c>
      <c r="R131" t="s">
        <v>29</v>
      </c>
      <c r="S131" t="s">
        <v>29</v>
      </c>
      <c r="T131" t="s">
        <v>29</v>
      </c>
      <c r="U131" t="s">
        <v>29</v>
      </c>
      <c r="W131" t="s">
        <v>29</v>
      </c>
    </row>
    <row r="132" spans="1:24">
      <c r="A132" t="s">
        <v>641</v>
      </c>
      <c r="B132" s="2">
        <v>44000</v>
      </c>
      <c r="C132" t="s">
        <v>42</v>
      </c>
      <c r="D132" s="2">
        <v>44004</v>
      </c>
      <c r="E132" s="2">
        <v>44012</v>
      </c>
      <c r="G132" t="s">
        <v>642</v>
      </c>
      <c r="H132" t="s">
        <v>494</v>
      </c>
      <c r="J132">
        <v>1050000</v>
      </c>
      <c r="K132" t="s">
        <v>44</v>
      </c>
      <c r="L132" t="s">
        <v>29</v>
      </c>
      <c r="M132" t="s">
        <v>643</v>
      </c>
      <c r="N132" t="s">
        <v>31</v>
      </c>
      <c r="O132" t="s">
        <v>47</v>
      </c>
      <c r="P132" t="s">
        <v>48</v>
      </c>
      <c r="Q132" t="s">
        <v>644</v>
      </c>
      <c r="R132" t="s">
        <v>29</v>
      </c>
      <c r="S132" t="s">
        <v>29</v>
      </c>
      <c r="T132" t="s">
        <v>29</v>
      </c>
      <c r="U132" t="s">
        <v>29</v>
      </c>
      <c r="W132" t="s">
        <v>29</v>
      </c>
    </row>
    <row r="133" spans="1:24">
      <c r="A133" t="s">
        <v>645</v>
      </c>
      <c r="B133" s="2">
        <v>44001</v>
      </c>
      <c r="C133" t="s">
        <v>42</v>
      </c>
      <c r="D133" s="2">
        <v>44005</v>
      </c>
      <c r="E133" s="2">
        <v>44022</v>
      </c>
      <c r="G133" t="s">
        <v>646</v>
      </c>
      <c r="H133" t="s">
        <v>27</v>
      </c>
      <c r="J133">
        <v>2245000</v>
      </c>
      <c r="K133" t="s">
        <v>83</v>
      </c>
      <c r="L133" t="s">
        <v>29</v>
      </c>
      <c r="M133" t="s">
        <v>647</v>
      </c>
      <c r="N133" t="s">
        <v>31</v>
      </c>
      <c r="O133" t="s">
        <v>47</v>
      </c>
      <c r="P133" t="s">
        <v>48</v>
      </c>
      <c r="Q133" t="s">
        <v>49</v>
      </c>
      <c r="R133" t="s">
        <v>111</v>
      </c>
      <c r="S133" t="s">
        <v>29</v>
      </c>
      <c r="T133" t="s">
        <v>29</v>
      </c>
      <c r="U133" t="s">
        <v>112</v>
      </c>
      <c r="V133" t="s">
        <v>648</v>
      </c>
      <c r="W133" t="s">
        <v>649</v>
      </c>
    </row>
    <row r="134" spans="1:24">
      <c r="A134" t="s">
        <v>650</v>
      </c>
      <c r="B134" s="2">
        <v>44001</v>
      </c>
      <c r="C134" t="s">
        <v>42</v>
      </c>
      <c r="D134" s="2">
        <v>44004</v>
      </c>
      <c r="E134" s="2">
        <v>44008</v>
      </c>
      <c r="F134" t="s">
        <v>651</v>
      </c>
      <c r="G134" t="s">
        <v>652</v>
      </c>
      <c r="H134" t="s">
        <v>54</v>
      </c>
      <c r="J134">
        <v>0</v>
      </c>
      <c r="K134" t="s">
        <v>653</v>
      </c>
      <c r="L134" t="s">
        <v>654</v>
      </c>
      <c r="M134" t="s">
        <v>655</v>
      </c>
      <c r="N134" t="s">
        <v>31</v>
      </c>
      <c r="O134" t="s">
        <v>32</v>
      </c>
      <c r="P134" t="s">
        <v>656</v>
      </c>
      <c r="Q134" t="s">
        <v>34</v>
      </c>
      <c r="R134" t="s">
        <v>29</v>
      </c>
      <c r="S134" t="s">
        <v>29</v>
      </c>
      <c r="T134" t="s">
        <v>29</v>
      </c>
      <c r="U134" t="s">
        <v>29</v>
      </c>
      <c r="W134" t="s">
        <v>29</v>
      </c>
      <c r="X134" t="s">
        <v>29</v>
      </c>
    </row>
    <row r="135" spans="1:24">
      <c r="A135" t="s">
        <v>657</v>
      </c>
      <c r="B135" s="2">
        <v>44001</v>
      </c>
      <c r="C135" t="s">
        <v>66</v>
      </c>
      <c r="D135" s="2">
        <v>44006</v>
      </c>
      <c r="E135" s="2">
        <v>44020</v>
      </c>
      <c r="F135" s="2">
        <v>44006</v>
      </c>
      <c r="G135" t="s">
        <v>283</v>
      </c>
      <c r="H135" t="s">
        <v>27</v>
      </c>
      <c r="J135">
        <v>24000</v>
      </c>
      <c r="K135" t="s">
        <v>68</v>
      </c>
      <c r="L135" t="s">
        <v>29</v>
      </c>
      <c r="M135" t="s">
        <v>133</v>
      </c>
      <c r="N135" t="s">
        <v>658</v>
      </c>
      <c r="O135" t="s">
        <v>32</v>
      </c>
      <c r="P135" t="s">
        <v>33</v>
      </c>
      <c r="Q135" t="s">
        <v>34</v>
      </c>
      <c r="R135" t="s">
        <v>29</v>
      </c>
      <c r="S135" t="s">
        <v>29</v>
      </c>
      <c r="T135" t="s">
        <v>29</v>
      </c>
      <c r="U135" t="s">
        <v>29</v>
      </c>
      <c r="W135" t="s">
        <v>29</v>
      </c>
      <c r="X135" t="s">
        <v>29</v>
      </c>
    </row>
    <row r="136" spans="1:24">
      <c r="A136" t="s">
        <v>659</v>
      </c>
      <c r="B136" s="2">
        <v>44001</v>
      </c>
      <c r="C136" t="s">
        <v>42</v>
      </c>
      <c r="D136" s="2">
        <v>44006</v>
      </c>
      <c r="E136" s="2">
        <v>44012</v>
      </c>
      <c r="G136" t="s">
        <v>115</v>
      </c>
      <c r="H136" t="s">
        <v>116</v>
      </c>
      <c r="I136" t="s">
        <v>117</v>
      </c>
      <c r="J136">
        <v>1296000</v>
      </c>
      <c r="K136" t="s">
        <v>37</v>
      </c>
      <c r="L136" t="s">
        <v>29</v>
      </c>
      <c r="M136" t="s">
        <v>374</v>
      </c>
      <c r="N136" t="s">
        <v>31</v>
      </c>
      <c r="O136" t="s">
        <v>47</v>
      </c>
      <c r="P136" t="s">
        <v>158</v>
      </c>
      <c r="Q136" t="s">
        <v>660</v>
      </c>
      <c r="R136" t="s">
        <v>111</v>
      </c>
      <c r="S136" t="s">
        <v>661</v>
      </c>
      <c r="T136" t="s">
        <v>111</v>
      </c>
      <c r="U136" t="s">
        <v>112</v>
      </c>
      <c r="V136" t="s">
        <v>662</v>
      </c>
      <c r="W136" t="s">
        <v>29</v>
      </c>
    </row>
    <row r="137" spans="1:24">
      <c r="A137" t="s">
        <v>663</v>
      </c>
      <c r="B137" s="2">
        <v>44005</v>
      </c>
      <c r="C137" t="s">
        <v>66</v>
      </c>
      <c r="D137" s="2">
        <v>44007</v>
      </c>
      <c r="E137" s="2">
        <v>44742</v>
      </c>
      <c r="G137" t="s">
        <v>664</v>
      </c>
      <c r="H137" t="s">
        <v>27</v>
      </c>
      <c r="J137">
        <v>180000</v>
      </c>
      <c r="K137" t="s">
        <v>208</v>
      </c>
      <c r="L137" t="s">
        <v>29</v>
      </c>
      <c r="M137" t="s">
        <v>501</v>
      </c>
      <c r="N137" t="s">
        <v>502</v>
      </c>
      <c r="O137" t="s">
        <v>47</v>
      </c>
      <c r="P137" t="s">
        <v>63</v>
      </c>
      <c r="Q137" t="s">
        <v>34</v>
      </c>
      <c r="R137" t="s">
        <v>29</v>
      </c>
      <c r="S137" t="s">
        <v>29</v>
      </c>
      <c r="T137" t="s">
        <v>29</v>
      </c>
      <c r="U137" t="s">
        <v>29</v>
      </c>
      <c r="W137" t="s">
        <v>29</v>
      </c>
    </row>
    <row r="138" spans="1:24">
      <c r="A138" t="s">
        <v>665</v>
      </c>
      <c r="B138" s="2">
        <v>44006</v>
      </c>
      <c r="C138" t="s">
        <v>66</v>
      </c>
      <c r="D138" s="2">
        <v>44007</v>
      </c>
      <c r="E138" s="2">
        <v>44008</v>
      </c>
      <c r="G138" t="s">
        <v>666</v>
      </c>
      <c r="H138" t="s">
        <v>54</v>
      </c>
      <c r="J138">
        <v>0</v>
      </c>
      <c r="K138" t="s">
        <v>242</v>
      </c>
      <c r="L138" t="s">
        <v>29</v>
      </c>
      <c r="M138" t="s">
        <v>243</v>
      </c>
      <c r="N138" t="s">
        <v>62</v>
      </c>
      <c r="O138" t="s">
        <v>47</v>
      </c>
      <c r="P138" t="s">
        <v>63</v>
      </c>
      <c r="Q138" t="s">
        <v>34</v>
      </c>
      <c r="R138" t="s">
        <v>29</v>
      </c>
      <c r="S138" t="s">
        <v>34</v>
      </c>
      <c r="T138" t="s">
        <v>29</v>
      </c>
      <c r="U138" t="s">
        <v>29</v>
      </c>
      <c r="W138" t="s">
        <v>29</v>
      </c>
    </row>
    <row r="139" spans="1:24">
      <c r="A139" t="s">
        <v>667</v>
      </c>
      <c r="B139" s="2">
        <v>44006</v>
      </c>
      <c r="C139" t="s">
        <v>66</v>
      </c>
      <c r="D139" s="2">
        <v>44011</v>
      </c>
      <c r="E139" s="2">
        <v>44032</v>
      </c>
      <c r="F139" s="2">
        <v>44011</v>
      </c>
      <c r="G139" t="s">
        <v>668</v>
      </c>
      <c r="H139" t="s">
        <v>54</v>
      </c>
      <c r="J139">
        <v>0</v>
      </c>
      <c r="K139" t="s">
        <v>669</v>
      </c>
      <c r="L139" t="s">
        <v>29</v>
      </c>
      <c r="M139" t="s">
        <v>670</v>
      </c>
      <c r="N139" t="s">
        <v>31</v>
      </c>
      <c r="O139" t="s">
        <v>32</v>
      </c>
      <c r="P139" t="s">
        <v>33</v>
      </c>
      <c r="Q139" t="s">
        <v>34</v>
      </c>
      <c r="R139" t="s">
        <v>29</v>
      </c>
      <c r="S139" t="s">
        <v>29</v>
      </c>
      <c r="T139" t="s">
        <v>29</v>
      </c>
      <c r="U139" t="s">
        <v>29</v>
      </c>
      <c r="W139" t="s">
        <v>29</v>
      </c>
      <c r="X139" t="s">
        <v>29</v>
      </c>
    </row>
    <row r="140" spans="1:24">
      <c r="A140" t="s">
        <v>671</v>
      </c>
      <c r="B140" s="2">
        <v>44007</v>
      </c>
      <c r="C140" t="s">
        <v>42</v>
      </c>
      <c r="D140" s="2">
        <v>44011</v>
      </c>
      <c r="E140" s="2">
        <v>44042</v>
      </c>
      <c r="G140" t="s">
        <v>458</v>
      </c>
      <c r="H140" t="s">
        <v>27</v>
      </c>
      <c r="J140">
        <v>560000</v>
      </c>
      <c r="K140" t="s">
        <v>37</v>
      </c>
      <c r="L140" t="s">
        <v>29</v>
      </c>
      <c r="M140" t="s">
        <v>202</v>
      </c>
      <c r="N140" t="s">
        <v>672</v>
      </c>
      <c r="O140" t="s">
        <v>47</v>
      </c>
      <c r="P140" t="s">
        <v>48</v>
      </c>
      <c r="Q140" t="s">
        <v>49</v>
      </c>
      <c r="R140" t="s">
        <v>81</v>
      </c>
      <c r="S140" t="s">
        <v>29</v>
      </c>
      <c r="T140" t="s">
        <v>29</v>
      </c>
      <c r="U140" t="s">
        <v>29</v>
      </c>
      <c r="W140" t="s">
        <v>29</v>
      </c>
    </row>
    <row r="141" spans="1:24">
      <c r="A141" t="s">
        <v>673</v>
      </c>
      <c r="B141" s="2">
        <v>44007</v>
      </c>
      <c r="C141" t="s">
        <v>42</v>
      </c>
      <c r="D141" s="2">
        <v>44018</v>
      </c>
      <c r="E141" s="2">
        <v>44025</v>
      </c>
      <c r="F141" s="2">
        <v>44021</v>
      </c>
      <c r="G141" t="s">
        <v>674</v>
      </c>
      <c r="H141" t="s">
        <v>27</v>
      </c>
      <c r="J141">
        <v>1401980</v>
      </c>
      <c r="K141" t="s">
        <v>222</v>
      </c>
      <c r="L141" t="s">
        <v>29</v>
      </c>
      <c r="M141" t="s">
        <v>445</v>
      </c>
      <c r="N141" t="s">
        <v>446</v>
      </c>
      <c r="O141" t="s">
        <v>128</v>
      </c>
      <c r="P141" t="s">
        <v>129</v>
      </c>
      <c r="Q141" t="s">
        <v>130</v>
      </c>
      <c r="R141" t="s">
        <v>29</v>
      </c>
      <c r="S141" t="s">
        <v>34</v>
      </c>
      <c r="T141" t="s">
        <v>29</v>
      </c>
      <c r="U141" t="s">
        <v>29</v>
      </c>
      <c r="W141" t="s">
        <v>29</v>
      </c>
      <c r="X141" t="s">
        <v>29</v>
      </c>
    </row>
    <row r="142" spans="1:24">
      <c r="A142" t="s">
        <v>675</v>
      </c>
      <c r="B142" s="2">
        <v>44008</v>
      </c>
      <c r="C142" t="s">
        <v>42</v>
      </c>
      <c r="D142" s="2">
        <v>44011</v>
      </c>
      <c r="E142" s="2">
        <v>44028</v>
      </c>
      <c r="G142" t="s">
        <v>676</v>
      </c>
      <c r="H142" t="s">
        <v>87</v>
      </c>
      <c r="J142">
        <v>0</v>
      </c>
      <c r="K142" t="s">
        <v>68</v>
      </c>
      <c r="L142" t="s">
        <v>29</v>
      </c>
      <c r="M142" t="s">
        <v>88</v>
      </c>
      <c r="N142" t="s">
        <v>677</v>
      </c>
      <c r="O142" t="s">
        <v>47</v>
      </c>
      <c r="P142" t="s">
        <v>75</v>
      </c>
      <c r="Q142" t="s">
        <v>678</v>
      </c>
      <c r="R142" t="s">
        <v>29</v>
      </c>
      <c r="S142" t="s">
        <v>34</v>
      </c>
      <c r="T142" t="s">
        <v>29</v>
      </c>
      <c r="U142" t="s">
        <v>29</v>
      </c>
      <c r="W142" t="s">
        <v>29</v>
      </c>
    </row>
    <row r="143" spans="1:24">
      <c r="A143" t="s">
        <v>679</v>
      </c>
      <c r="B143" s="2">
        <v>44008</v>
      </c>
      <c r="C143" t="s">
        <v>66</v>
      </c>
      <c r="D143" s="2">
        <v>44011</v>
      </c>
      <c r="E143" s="2">
        <v>44029</v>
      </c>
      <c r="G143" t="s">
        <v>680</v>
      </c>
      <c r="H143" t="s">
        <v>27</v>
      </c>
      <c r="J143">
        <v>500000</v>
      </c>
      <c r="K143" t="s">
        <v>28</v>
      </c>
      <c r="L143" t="s">
        <v>29</v>
      </c>
      <c r="M143" t="s">
        <v>681</v>
      </c>
      <c r="N143" t="s">
        <v>31</v>
      </c>
      <c r="O143" t="s">
        <v>47</v>
      </c>
      <c r="P143" t="s">
        <v>75</v>
      </c>
      <c r="Q143" t="s">
        <v>34</v>
      </c>
      <c r="R143" t="s">
        <v>29</v>
      </c>
      <c r="S143" t="s">
        <v>29</v>
      </c>
      <c r="T143" t="s">
        <v>29</v>
      </c>
      <c r="U143" t="s">
        <v>29</v>
      </c>
      <c r="W143" t="s">
        <v>29</v>
      </c>
    </row>
    <row r="144" spans="1:24">
      <c r="A144" t="s">
        <v>682</v>
      </c>
      <c r="B144" s="2">
        <v>44011</v>
      </c>
      <c r="C144" t="s">
        <v>66</v>
      </c>
      <c r="D144" s="2">
        <v>44013</v>
      </c>
      <c r="E144" s="2">
        <v>44042</v>
      </c>
      <c r="G144" t="s">
        <v>683</v>
      </c>
      <c r="H144" t="s">
        <v>27</v>
      </c>
      <c r="I144" t="s">
        <v>684</v>
      </c>
      <c r="J144">
        <v>81882</v>
      </c>
      <c r="K144" t="s">
        <v>124</v>
      </c>
      <c r="L144" t="s">
        <v>29</v>
      </c>
      <c r="M144" t="s">
        <v>685</v>
      </c>
      <c r="N144" t="s">
        <v>31</v>
      </c>
      <c r="O144" t="s">
        <v>47</v>
      </c>
      <c r="P144" t="s">
        <v>75</v>
      </c>
      <c r="Q144" t="s">
        <v>686</v>
      </c>
      <c r="R144" t="s">
        <v>29</v>
      </c>
      <c r="S144" t="s">
        <v>29</v>
      </c>
      <c r="T144" t="s">
        <v>29</v>
      </c>
      <c r="U144" t="s">
        <v>29</v>
      </c>
      <c r="W144" t="s">
        <v>29</v>
      </c>
    </row>
    <row r="145" spans="1:24">
      <c r="A145" t="s">
        <v>687</v>
      </c>
      <c r="B145" s="2">
        <v>44013</v>
      </c>
      <c r="C145" t="s">
        <v>66</v>
      </c>
      <c r="D145" s="2">
        <v>44018</v>
      </c>
      <c r="E145" s="2">
        <v>44032</v>
      </c>
      <c r="F145" s="2">
        <v>44018</v>
      </c>
      <c r="G145" t="s">
        <v>471</v>
      </c>
      <c r="H145" t="s">
        <v>27</v>
      </c>
      <c r="J145">
        <v>48000</v>
      </c>
      <c r="K145" t="s">
        <v>68</v>
      </c>
      <c r="L145" t="s">
        <v>29</v>
      </c>
      <c r="M145" t="s">
        <v>354</v>
      </c>
      <c r="N145" t="s">
        <v>355</v>
      </c>
      <c r="O145" t="s">
        <v>32</v>
      </c>
      <c r="P145" t="s">
        <v>33</v>
      </c>
      <c r="Q145" t="s">
        <v>34</v>
      </c>
      <c r="R145" t="s">
        <v>29</v>
      </c>
      <c r="S145" t="s">
        <v>29</v>
      </c>
      <c r="T145" t="s">
        <v>29</v>
      </c>
      <c r="U145" t="s">
        <v>29</v>
      </c>
      <c r="W145" t="s">
        <v>29</v>
      </c>
      <c r="X145" t="s">
        <v>29</v>
      </c>
    </row>
    <row r="146" spans="1:24">
      <c r="A146" t="s">
        <v>688</v>
      </c>
      <c r="B146" s="2">
        <v>44013</v>
      </c>
      <c r="C146" t="s">
        <v>66</v>
      </c>
      <c r="D146" s="2">
        <v>44018</v>
      </c>
      <c r="E146" s="2">
        <v>44034</v>
      </c>
      <c r="F146" s="2">
        <v>44018</v>
      </c>
      <c r="G146" t="s">
        <v>86</v>
      </c>
      <c r="H146" t="s">
        <v>87</v>
      </c>
      <c r="J146">
        <v>0</v>
      </c>
      <c r="K146" t="s">
        <v>68</v>
      </c>
      <c r="L146" t="s">
        <v>29</v>
      </c>
      <c r="M146" t="s">
        <v>88</v>
      </c>
      <c r="N146" t="s">
        <v>89</v>
      </c>
      <c r="O146" t="s">
        <v>90</v>
      </c>
      <c r="P146" t="s">
        <v>91</v>
      </c>
      <c r="Q146" t="s">
        <v>510</v>
      </c>
      <c r="R146" t="s">
        <v>29</v>
      </c>
      <c r="S146" t="s">
        <v>34</v>
      </c>
      <c r="T146" t="s">
        <v>29</v>
      </c>
      <c r="U146" t="s">
        <v>29</v>
      </c>
      <c r="W146" t="s">
        <v>29</v>
      </c>
      <c r="X146" t="s">
        <v>29</v>
      </c>
    </row>
    <row r="147" spans="1:24">
      <c r="A147" t="s">
        <v>689</v>
      </c>
      <c r="B147" s="2">
        <v>44013</v>
      </c>
      <c r="D147" s="2">
        <v>44018</v>
      </c>
      <c r="E147" s="2">
        <v>44043</v>
      </c>
      <c r="F147" s="2">
        <v>44020</v>
      </c>
      <c r="G147" t="s">
        <v>690</v>
      </c>
      <c r="H147" t="s">
        <v>27</v>
      </c>
      <c r="J147">
        <v>1520000</v>
      </c>
      <c r="K147" t="s">
        <v>37</v>
      </c>
      <c r="L147" t="s">
        <v>29</v>
      </c>
      <c r="M147" t="s">
        <v>162</v>
      </c>
      <c r="N147" t="s">
        <v>31</v>
      </c>
      <c r="O147" t="s">
        <v>47</v>
      </c>
      <c r="P147" t="s">
        <v>158</v>
      </c>
      <c r="Q147" t="s">
        <v>49</v>
      </c>
      <c r="R147" t="s">
        <v>111</v>
      </c>
      <c r="S147" t="s">
        <v>29</v>
      </c>
      <c r="T147" t="s">
        <v>29</v>
      </c>
      <c r="U147" t="s">
        <v>112</v>
      </c>
      <c r="V147" t="s">
        <v>691</v>
      </c>
      <c r="W147" t="s">
        <v>29</v>
      </c>
      <c r="X147" t="s">
        <v>29</v>
      </c>
    </row>
    <row r="148" spans="1:24">
      <c r="A148" t="s">
        <v>692</v>
      </c>
      <c r="B148" s="2">
        <v>44014</v>
      </c>
      <c r="C148" t="s">
        <v>42</v>
      </c>
      <c r="D148" s="2">
        <v>44019</v>
      </c>
      <c r="E148" s="2">
        <v>44104</v>
      </c>
      <c r="F148" s="2">
        <v>44046</v>
      </c>
      <c r="G148" t="s">
        <v>693</v>
      </c>
      <c r="H148" t="s">
        <v>27</v>
      </c>
      <c r="J148">
        <v>720000</v>
      </c>
      <c r="K148" t="s">
        <v>79</v>
      </c>
      <c r="L148" t="s">
        <v>29</v>
      </c>
      <c r="M148" t="s">
        <v>694</v>
      </c>
      <c r="N148" t="s">
        <v>695</v>
      </c>
      <c r="O148" t="s">
        <v>47</v>
      </c>
      <c r="P148" t="s">
        <v>48</v>
      </c>
      <c r="Q148" t="s">
        <v>49</v>
      </c>
      <c r="R148" t="s">
        <v>111</v>
      </c>
      <c r="S148" t="s">
        <v>29</v>
      </c>
      <c r="T148" t="s">
        <v>29</v>
      </c>
      <c r="U148" t="s">
        <v>112</v>
      </c>
      <c r="V148" t="s">
        <v>696</v>
      </c>
      <c r="W148" t="s">
        <v>29</v>
      </c>
      <c r="X148" t="s">
        <v>29</v>
      </c>
    </row>
    <row r="149" spans="1:24">
      <c r="A149" t="s">
        <v>697</v>
      </c>
      <c r="B149" s="2">
        <v>44015</v>
      </c>
      <c r="C149" t="s">
        <v>66</v>
      </c>
      <c r="D149" s="2">
        <v>44018</v>
      </c>
      <c r="E149" s="2">
        <v>44022</v>
      </c>
      <c r="F149" s="2">
        <v>44020</v>
      </c>
      <c r="G149" t="s">
        <v>698</v>
      </c>
      <c r="H149" t="s">
        <v>54</v>
      </c>
      <c r="J149">
        <v>0</v>
      </c>
      <c r="K149" t="s">
        <v>83</v>
      </c>
      <c r="L149" t="s">
        <v>29</v>
      </c>
      <c r="M149" t="s">
        <v>699</v>
      </c>
      <c r="N149" t="s">
        <v>31</v>
      </c>
      <c r="O149" t="s">
        <v>47</v>
      </c>
      <c r="P149" t="s">
        <v>48</v>
      </c>
      <c r="Q149" t="s">
        <v>34</v>
      </c>
      <c r="R149" t="s">
        <v>29</v>
      </c>
      <c r="S149" t="s">
        <v>29</v>
      </c>
      <c r="T149" t="s">
        <v>29</v>
      </c>
      <c r="U149" t="s">
        <v>29</v>
      </c>
      <c r="W149" t="s">
        <v>29</v>
      </c>
      <c r="X149" t="s">
        <v>29</v>
      </c>
    </row>
    <row r="150" spans="1:24">
      <c r="A150" t="s">
        <v>700</v>
      </c>
      <c r="B150" s="2">
        <v>44019</v>
      </c>
      <c r="C150" t="s">
        <v>42</v>
      </c>
      <c r="D150" s="2">
        <v>44020</v>
      </c>
      <c r="E150" s="2">
        <v>44043</v>
      </c>
      <c r="F150" s="2">
        <v>44078</v>
      </c>
      <c r="G150" t="s">
        <v>701</v>
      </c>
      <c r="H150" t="s">
        <v>27</v>
      </c>
      <c r="J150">
        <v>754180</v>
      </c>
      <c r="K150" t="s">
        <v>124</v>
      </c>
      <c r="L150" t="s">
        <v>29</v>
      </c>
      <c r="M150" t="s">
        <v>702</v>
      </c>
      <c r="N150" t="s">
        <v>31</v>
      </c>
      <c r="O150" t="s">
        <v>47</v>
      </c>
      <c r="P150" t="s">
        <v>75</v>
      </c>
      <c r="Q150" t="s">
        <v>49</v>
      </c>
      <c r="R150" t="s">
        <v>81</v>
      </c>
      <c r="S150" t="s">
        <v>29</v>
      </c>
      <c r="T150" t="s">
        <v>29</v>
      </c>
      <c r="U150" t="s">
        <v>29</v>
      </c>
      <c r="W150" t="s">
        <v>703</v>
      </c>
      <c r="X150" t="s">
        <v>29</v>
      </c>
    </row>
    <row r="151" spans="1:24">
      <c r="A151" t="s">
        <v>704</v>
      </c>
      <c r="B151" s="2">
        <v>44019</v>
      </c>
      <c r="C151" t="s">
        <v>66</v>
      </c>
      <c r="D151" s="2">
        <v>44022</v>
      </c>
      <c r="E151" s="2">
        <v>44029</v>
      </c>
      <c r="F151" s="2">
        <v>44026</v>
      </c>
      <c r="G151" t="s">
        <v>705</v>
      </c>
      <c r="H151" t="s">
        <v>27</v>
      </c>
      <c r="J151">
        <v>752515</v>
      </c>
      <c r="K151" t="s">
        <v>68</v>
      </c>
      <c r="L151" t="s">
        <v>29</v>
      </c>
      <c r="M151" t="s">
        <v>706</v>
      </c>
      <c r="N151" t="s">
        <v>31</v>
      </c>
      <c r="O151" t="s">
        <v>47</v>
      </c>
      <c r="P151" t="s">
        <v>621</v>
      </c>
      <c r="Q151" t="s">
        <v>92</v>
      </c>
      <c r="R151" t="s">
        <v>29</v>
      </c>
      <c r="S151" t="s">
        <v>29</v>
      </c>
      <c r="T151" t="s">
        <v>29</v>
      </c>
      <c r="U151" t="s">
        <v>29</v>
      </c>
      <c r="W151" t="s">
        <v>29</v>
      </c>
      <c r="X151" t="s">
        <v>29</v>
      </c>
    </row>
    <row r="152" spans="1:24">
      <c r="A152" t="s">
        <v>707</v>
      </c>
      <c r="B152" s="2">
        <v>44019</v>
      </c>
      <c r="C152" t="s">
        <v>66</v>
      </c>
      <c r="D152" s="2">
        <v>44025</v>
      </c>
      <c r="E152" s="2">
        <v>44104</v>
      </c>
      <c r="F152" s="2">
        <v>44025</v>
      </c>
      <c r="G152" t="s">
        <v>708</v>
      </c>
      <c r="H152" t="s">
        <v>54</v>
      </c>
      <c r="I152" t="s">
        <v>709</v>
      </c>
      <c r="J152">
        <v>0</v>
      </c>
      <c r="K152" t="s">
        <v>710</v>
      </c>
      <c r="L152" t="s">
        <v>29</v>
      </c>
      <c r="M152" t="s">
        <v>711</v>
      </c>
      <c r="N152" t="s">
        <v>31</v>
      </c>
      <c r="O152" t="s">
        <v>101</v>
      </c>
      <c r="P152" t="s">
        <v>169</v>
      </c>
      <c r="Q152" t="s">
        <v>29</v>
      </c>
      <c r="R152" t="s">
        <v>29</v>
      </c>
      <c r="S152" t="s">
        <v>712</v>
      </c>
      <c r="T152" t="s">
        <v>29</v>
      </c>
      <c r="U152" t="s">
        <v>29</v>
      </c>
      <c r="W152" t="s">
        <v>29</v>
      </c>
      <c r="X152" t="s">
        <v>29</v>
      </c>
    </row>
    <row r="153" spans="1:24">
      <c r="A153" t="s">
        <v>713</v>
      </c>
      <c r="B153" s="2">
        <v>44019</v>
      </c>
      <c r="C153" t="s">
        <v>42</v>
      </c>
      <c r="D153" s="2">
        <v>44057</v>
      </c>
      <c r="E153" s="2">
        <v>44092</v>
      </c>
      <c r="F153" s="2">
        <v>44092</v>
      </c>
      <c r="G153" t="s">
        <v>714</v>
      </c>
      <c r="H153" t="s">
        <v>27</v>
      </c>
      <c r="J153">
        <v>200000</v>
      </c>
      <c r="K153" t="s">
        <v>715</v>
      </c>
      <c r="L153" t="s">
        <v>29</v>
      </c>
      <c r="M153" t="s">
        <v>716</v>
      </c>
      <c r="N153" t="s">
        <v>717</v>
      </c>
      <c r="O153" t="s">
        <v>718</v>
      </c>
      <c r="P153" t="s">
        <v>719</v>
      </c>
      <c r="Q153" t="s">
        <v>29</v>
      </c>
      <c r="R153" t="s">
        <v>29</v>
      </c>
      <c r="S153" t="s">
        <v>29</v>
      </c>
      <c r="T153" t="s">
        <v>256</v>
      </c>
      <c r="U153" t="s">
        <v>50</v>
      </c>
      <c r="V153" t="s">
        <v>720</v>
      </c>
      <c r="W153" t="s">
        <v>29</v>
      </c>
      <c r="X153" t="s">
        <v>29</v>
      </c>
    </row>
    <row r="154" spans="1:24">
      <c r="A154" t="s">
        <v>721</v>
      </c>
      <c r="B154" s="2">
        <v>44020</v>
      </c>
      <c r="C154" t="s">
        <v>42</v>
      </c>
      <c r="D154" s="2">
        <v>44025</v>
      </c>
      <c r="E154" s="2">
        <v>44043</v>
      </c>
      <c r="F154" s="2">
        <v>44025</v>
      </c>
      <c r="G154" t="s">
        <v>722</v>
      </c>
      <c r="H154" t="s">
        <v>54</v>
      </c>
      <c r="J154">
        <v>4000</v>
      </c>
      <c r="K154" t="s">
        <v>454</v>
      </c>
      <c r="L154" t="s">
        <v>29</v>
      </c>
      <c r="M154" t="s">
        <v>455</v>
      </c>
      <c r="N154" t="s">
        <v>31</v>
      </c>
      <c r="O154" t="s">
        <v>139</v>
      </c>
      <c r="P154" t="s">
        <v>456</v>
      </c>
      <c r="Q154" t="s">
        <v>723</v>
      </c>
      <c r="R154" t="s">
        <v>29</v>
      </c>
      <c r="S154" t="s">
        <v>29</v>
      </c>
      <c r="T154" t="s">
        <v>29</v>
      </c>
      <c r="U154" t="s">
        <v>29</v>
      </c>
      <c r="W154" t="s">
        <v>29</v>
      </c>
      <c r="X154" t="s">
        <v>29</v>
      </c>
    </row>
    <row r="155" spans="1:24">
      <c r="A155" t="s">
        <v>724</v>
      </c>
      <c r="B155" s="2">
        <v>44021</v>
      </c>
      <c r="C155" t="s">
        <v>42</v>
      </c>
      <c r="D155" s="2">
        <v>44022</v>
      </c>
      <c r="E155" s="2">
        <v>44036</v>
      </c>
      <c r="F155" s="2">
        <v>44022</v>
      </c>
      <c r="G155" t="s">
        <v>283</v>
      </c>
      <c r="H155" t="s">
        <v>27</v>
      </c>
      <c r="J155">
        <v>24000</v>
      </c>
      <c r="K155" t="s">
        <v>68</v>
      </c>
      <c r="L155" t="s">
        <v>29</v>
      </c>
      <c r="M155" t="s">
        <v>133</v>
      </c>
      <c r="N155" t="s">
        <v>284</v>
      </c>
      <c r="O155" t="s">
        <v>32</v>
      </c>
      <c r="P155" t="s">
        <v>33</v>
      </c>
      <c r="Q155" t="s">
        <v>34</v>
      </c>
      <c r="R155" t="s">
        <v>29</v>
      </c>
      <c r="S155" t="s">
        <v>29</v>
      </c>
      <c r="T155" t="s">
        <v>29</v>
      </c>
      <c r="U155" t="s">
        <v>29</v>
      </c>
      <c r="W155" t="s">
        <v>29</v>
      </c>
      <c r="X155" t="s">
        <v>29</v>
      </c>
    </row>
    <row r="156" spans="1:24">
      <c r="A156" t="s">
        <v>725</v>
      </c>
      <c r="B156" s="2">
        <v>44022</v>
      </c>
      <c r="C156" t="s">
        <v>66</v>
      </c>
      <c r="D156" s="2">
        <v>44025</v>
      </c>
      <c r="E156" s="2">
        <v>44027</v>
      </c>
      <c r="F156" s="2">
        <v>44025</v>
      </c>
      <c r="G156" t="s">
        <v>726</v>
      </c>
      <c r="H156" t="s">
        <v>166</v>
      </c>
      <c r="J156">
        <v>0</v>
      </c>
      <c r="K156" t="s">
        <v>68</v>
      </c>
      <c r="L156" t="s">
        <v>29</v>
      </c>
      <c r="M156" t="s">
        <v>727</v>
      </c>
      <c r="N156" t="s">
        <v>31</v>
      </c>
      <c r="O156" t="s">
        <v>32</v>
      </c>
      <c r="P156" t="s">
        <v>211</v>
      </c>
      <c r="Q156" t="s">
        <v>728</v>
      </c>
      <c r="R156" t="s">
        <v>29</v>
      </c>
      <c r="S156" t="s">
        <v>729</v>
      </c>
      <c r="T156" t="s">
        <v>29</v>
      </c>
      <c r="U156" t="s">
        <v>29</v>
      </c>
      <c r="W156" t="s">
        <v>29</v>
      </c>
      <c r="X156" t="s">
        <v>29</v>
      </c>
    </row>
    <row r="157" spans="1:24">
      <c r="A157" t="s">
        <v>730</v>
      </c>
      <c r="B157" s="2">
        <v>44022</v>
      </c>
      <c r="C157" t="s">
        <v>42</v>
      </c>
      <c r="D157" s="2">
        <v>44029</v>
      </c>
      <c r="E157" s="2">
        <v>44424</v>
      </c>
      <c r="G157" t="s">
        <v>731</v>
      </c>
      <c r="H157" t="s">
        <v>259</v>
      </c>
      <c r="I157" t="s">
        <v>732</v>
      </c>
      <c r="J157">
        <v>960000</v>
      </c>
      <c r="K157" t="s">
        <v>733</v>
      </c>
      <c r="L157" t="s">
        <v>29</v>
      </c>
      <c r="M157" t="s">
        <v>734</v>
      </c>
      <c r="N157" t="s">
        <v>735</v>
      </c>
      <c r="O157" t="s">
        <v>191</v>
      </c>
      <c r="P157" t="s">
        <v>736</v>
      </c>
      <c r="Q157" t="s">
        <v>29</v>
      </c>
      <c r="R157" t="s">
        <v>29</v>
      </c>
      <c r="S157" t="s">
        <v>737</v>
      </c>
      <c r="T157" t="s">
        <v>29</v>
      </c>
      <c r="U157" t="s">
        <v>29</v>
      </c>
      <c r="W157" t="s">
        <v>29</v>
      </c>
    </row>
    <row r="158" spans="1:24">
      <c r="A158" t="s">
        <v>738</v>
      </c>
      <c r="B158" s="2">
        <v>44027</v>
      </c>
      <c r="C158" t="s">
        <v>66</v>
      </c>
      <c r="D158" s="2">
        <v>44032</v>
      </c>
      <c r="E158" s="2">
        <v>44050</v>
      </c>
      <c r="F158" s="2">
        <v>44032</v>
      </c>
      <c r="G158" t="s">
        <v>739</v>
      </c>
      <c r="H158" t="s">
        <v>54</v>
      </c>
      <c r="I158" t="s">
        <v>740</v>
      </c>
      <c r="J158">
        <v>0</v>
      </c>
      <c r="K158" t="s">
        <v>83</v>
      </c>
      <c r="L158" t="s">
        <v>29</v>
      </c>
      <c r="M158" t="s">
        <v>741</v>
      </c>
      <c r="N158" t="s">
        <v>31</v>
      </c>
      <c r="O158" t="s">
        <v>101</v>
      </c>
      <c r="P158" t="s">
        <v>169</v>
      </c>
      <c r="Q158" t="s">
        <v>29</v>
      </c>
      <c r="R158" t="s">
        <v>29</v>
      </c>
      <c r="S158" t="s">
        <v>742</v>
      </c>
      <c r="T158" t="s">
        <v>29</v>
      </c>
      <c r="U158" t="s">
        <v>29</v>
      </c>
      <c r="W158" t="s">
        <v>29</v>
      </c>
      <c r="X158" t="s">
        <v>29</v>
      </c>
    </row>
    <row r="159" spans="1:24">
      <c r="A159" t="s">
        <v>743</v>
      </c>
      <c r="B159" s="2">
        <v>44028</v>
      </c>
      <c r="C159" t="s">
        <v>42</v>
      </c>
      <c r="D159" s="2">
        <v>44029</v>
      </c>
      <c r="E159" s="2">
        <v>44032</v>
      </c>
      <c r="F159" s="2">
        <v>44029</v>
      </c>
      <c r="G159" t="s">
        <v>744</v>
      </c>
      <c r="H159" t="s">
        <v>54</v>
      </c>
      <c r="J159">
        <v>0</v>
      </c>
      <c r="K159" t="s">
        <v>68</v>
      </c>
      <c r="L159" t="s">
        <v>29</v>
      </c>
      <c r="M159" t="s">
        <v>745</v>
      </c>
      <c r="N159" t="s">
        <v>31</v>
      </c>
      <c r="O159" t="s">
        <v>32</v>
      </c>
      <c r="P159" t="s">
        <v>211</v>
      </c>
      <c r="Q159" t="s">
        <v>34</v>
      </c>
      <c r="R159" t="s">
        <v>29</v>
      </c>
      <c r="S159" t="s">
        <v>34</v>
      </c>
      <c r="T159" t="s">
        <v>29</v>
      </c>
      <c r="U159" t="s">
        <v>29</v>
      </c>
      <c r="W159" t="s">
        <v>29</v>
      </c>
      <c r="X159" t="s">
        <v>29</v>
      </c>
    </row>
    <row r="160" spans="1:24">
      <c r="A160" t="s">
        <v>746</v>
      </c>
      <c r="B160" s="2">
        <v>44028</v>
      </c>
      <c r="C160" t="s">
        <v>66</v>
      </c>
      <c r="D160" s="2">
        <v>44032</v>
      </c>
      <c r="E160" s="2">
        <v>44046</v>
      </c>
      <c r="F160" s="2">
        <v>44032</v>
      </c>
      <c r="G160" t="s">
        <v>747</v>
      </c>
      <c r="H160" t="s">
        <v>27</v>
      </c>
      <c r="J160">
        <v>118000</v>
      </c>
      <c r="K160" t="s">
        <v>246</v>
      </c>
      <c r="L160" t="s">
        <v>29</v>
      </c>
      <c r="M160" t="s">
        <v>748</v>
      </c>
      <c r="N160" t="s">
        <v>62</v>
      </c>
      <c r="O160" t="s">
        <v>32</v>
      </c>
      <c r="P160" t="s">
        <v>33</v>
      </c>
      <c r="Q160" t="s">
        <v>34</v>
      </c>
      <c r="R160" t="s">
        <v>29</v>
      </c>
      <c r="S160" t="s">
        <v>29</v>
      </c>
      <c r="T160" t="s">
        <v>29</v>
      </c>
      <c r="U160" t="s">
        <v>29</v>
      </c>
      <c r="W160" t="s">
        <v>29</v>
      </c>
      <c r="X160" t="s">
        <v>29</v>
      </c>
    </row>
    <row r="161" spans="1:24">
      <c r="A161" t="s">
        <v>749</v>
      </c>
      <c r="B161" s="2">
        <v>44032</v>
      </c>
      <c r="C161" t="s">
        <v>42</v>
      </c>
      <c r="D161" s="2">
        <v>44032</v>
      </c>
      <c r="E161" s="2">
        <v>44039</v>
      </c>
      <c r="F161" s="2">
        <v>44033</v>
      </c>
      <c r="G161" t="s">
        <v>94</v>
      </c>
      <c r="H161" t="s">
        <v>27</v>
      </c>
      <c r="J161">
        <v>6700000</v>
      </c>
      <c r="K161" t="s">
        <v>83</v>
      </c>
      <c r="L161" t="s">
        <v>29</v>
      </c>
      <c r="M161" t="s">
        <v>750</v>
      </c>
      <c r="N161" t="s">
        <v>62</v>
      </c>
      <c r="O161" t="s">
        <v>32</v>
      </c>
      <c r="P161" t="s">
        <v>96</v>
      </c>
      <c r="Q161" t="s">
        <v>34</v>
      </c>
      <c r="R161" t="s">
        <v>29</v>
      </c>
      <c r="S161" t="s">
        <v>34</v>
      </c>
      <c r="T161" t="s">
        <v>29</v>
      </c>
      <c r="U161" t="s">
        <v>29</v>
      </c>
      <c r="W161" t="s">
        <v>29</v>
      </c>
      <c r="X161" t="s">
        <v>29</v>
      </c>
    </row>
    <row r="162" spans="1:24">
      <c r="A162" t="s">
        <v>751</v>
      </c>
      <c r="B162" s="2">
        <v>44032</v>
      </c>
      <c r="C162" t="s">
        <v>42</v>
      </c>
      <c r="D162" s="2">
        <v>44033</v>
      </c>
      <c r="E162" s="2">
        <v>44043</v>
      </c>
      <c r="F162" s="2">
        <v>44033</v>
      </c>
      <c r="G162" t="s">
        <v>752</v>
      </c>
      <c r="H162" t="s">
        <v>54</v>
      </c>
      <c r="J162">
        <v>0</v>
      </c>
      <c r="K162" t="s">
        <v>83</v>
      </c>
      <c r="L162" t="s">
        <v>29</v>
      </c>
      <c r="M162" t="s">
        <v>699</v>
      </c>
      <c r="N162" t="s">
        <v>31</v>
      </c>
      <c r="O162" t="s">
        <v>47</v>
      </c>
      <c r="P162" t="s">
        <v>48</v>
      </c>
      <c r="Q162" t="s">
        <v>34</v>
      </c>
      <c r="R162" t="s">
        <v>29</v>
      </c>
      <c r="S162" t="s">
        <v>29</v>
      </c>
      <c r="T162" t="s">
        <v>29</v>
      </c>
      <c r="U162" t="s">
        <v>29</v>
      </c>
      <c r="W162" t="s">
        <v>29</v>
      </c>
      <c r="X162" t="s">
        <v>29</v>
      </c>
    </row>
    <row r="163" spans="1:24">
      <c r="A163" t="s">
        <v>753</v>
      </c>
      <c r="B163" s="2">
        <v>44032</v>
      </c>
      <c r="C163" t="s">
        <v>42</v>
      </c>
      <c r="D163" s="2">
        <v>44033</v>
      </c>
      <c r="E163" s="2">
        <v>44043</v>
      </c>
      <c r="F163" s="2">
        <v>44034</v>
      </c>
      <c r="G163" t="s">
        <v>754</v>
      </c>
      <c r="H163" t="s">
        <v>54</v>
      </c>
      <c r="J163">
        <v>0</v>
      </c>
      <c r="K163" t="s">
        <v>68</v>
      </c>
      <c r="L163" t="s">
        <v>29</v>
      </c>
      <c r="M163" t="s">
        <v>755</v>
      </c>
      <c r="N163" t="s">
        <v>756</v>
      </c>
      <c r="O163" t="s">
        <v>47</v>
      </c>
      <c r="P163" t="s">
        <v>48</v>
      </c>
      <c r="Q163" t="s">
        <v>34</v>
      </c>
      <c r="R163" t="s">
        <v>29</v>
      </c>
      <c r="S163" t="s">
        <v>29</v>
      </c>
      <c r="T163" t="s">
        <v>29</v>
      </c>
      <c r="U163" t="s">
        <v>29</v>
      </c>
      <c r="W163" t="s">
        <v>29</v>
      </c>
      <c r="X163" t="s">
        <v>29</v>
      </c>
    </row>
    <row r="164" spans="1:24">
      <c r="A164" t="s">
        <v>757</v>
      </c>
      <c r="B164" s="2">
        <v>44032</v>
      </c>
      <c r="C164" t="s">
        <v>42</v>
      </c>
      <c r="D164" s="2">
        <v>44039</v>
      </c>
      <c r="E164" s="2">
        <v>44050</v>
      </c>
      <c r="F164" s="2">
        <v>44042</v>
      </c>
      <c r="G164" t="s">
        <v>758</v>
      </c>
      <c r="H164" t="s">
        <v>27</v>
      </c>
      <c r="J164">
        <v>1502868</v>
      </c>
      <c r="K164" t="s">
        <v>68</v>
      </c>
      <c r="L164" t="s">
        <v>29</v>
      </c>
      <c r="M164" t="s">
        <v>287</v>
      </c>
      <c r="N164" t="s">
        <v>31</v>
      </c>
      <c r="O164" t="s">
        <v>47</v>
      </c>
      <c r="P164" t="s">
        <v>75</v>
      </c>
      <c r="Q164" t="s">
        <v>759</v>
      </c>
      <c r="R164" t="s">
        <v>29</v>
      </c>
      <c r="S164" t="s">
        <v>29</v>
      </c>
      <c r="T164" t="s">
        <v>29</v>
      </c>
      <c r="U164" t="s">
        <v>29</v>
      </c>
      <c r="W164" t="s">
        <v>29</v>
      </c>
      <c r="X164" t="s">
        <v>29</v>
      </c>
    </row>
    <row r="165" spans="1:24">
      <c r="A165" t="s">
        <v>760</v>
      </c>
      <c r="B165" s="2">
        <v>44032</v>
      </c>
      <c r="C165" t="s">
        <v>42</v>
      </c>
      <c r="D165" s="2">
        <v>44034</v>
      </c>
      <c r="E165" s="2">
        <v>44043</v>
      </c>
      <c r="F165" s="2">
        <v>44034</v>
      </c>
      <c r="G165" t="s">
        <v>761</v>
      </c>
      <c r="H165" t="s">
        <v>494</v>
      </c>
      <c r="J165">
        <v>0</v>
      </c>
      <c r="K165" t="s">
        <v>44</v>
      </c>
      <c r="L165" t="s">
        <v>29</v>
      </c>
      <c r="M165" t="s">
        <v>762</v>
      </c>
      <c r="N165" t="s">
        <v>31</v>
      </c>
      <c r="O165" t="s">
        <v>47</v>
      </c>
      <c r="P165" t="s">
        <v>48</v>
      </c>
      <c r="Q165" t="s">
        <v>763</v>
      </c>
      <c r="R165" t="s">
        <v>29</v>
      </c>
      <c r="S165" t="s">
        <v>34</v>
      </c>
      <c r="T165" t="s">
        <v>29</v>
      </c>
      <c r="U165" t="s">
        <v>29</v>
      </c>
      <c r="W165" t="s">
        <v>764</v>
      </c>
      <c r="X165" t="s">
        <v>765</v>
      </c>
    </row>
    <row r="166" spans="1:24">
      <c r="A166" t="s">
        <v>766</v>
      </c>
      <c r="B166" s="2">
        <v>44033</v>
      </c>
      <c r="C166" t="s">
        <v>42</v>
      </c>
      <c r="D166" s="2">
        <v>44039</v>
      </c>
      <c r="E166" s="2">
        <v>44043</v>
      </c>
      <c r="F166" s="2">
        <v>44034</v>
      </c>
      <c r="G166" t="s">
        <v>767</v>
      </c>
      <c r="H166" t="s">
        <v>54</v>
      </c>
      <c r="J166">
        <v>0</v>
      </c>
      <c r="K166" t="s">
        <v>37</v>
      </c>
      <c r="L166" t="s">
        <v>44</v>
      </c>
      <c r="M166" t="s">
        <v>768</v>
      </c>
      <c r="N166" t="s">
        <v>769</v>
      </c>
      <c r="O166" t="s">
        <v>128</v>
      </c>
      <c r="P166" t="s">
        <v>129</v>
      </c>
      <c r="Q166" t="s">
        <v>130</v>
      </c>
      <c r="R166" t="s">
        <v>29</v>
      </c>
      <c r="S166" t="s">
        <v>29</v>
      </c>
      <c r="T166" t="s">
        <v>29</v>
      </c>
      <c r="U166" t="s">
        <v>29</v>
      </c>
      <c r="W166" t="s">
        <v>29</v>
      </c>
      <c r="X166" t="s">
        <v>29</v>
      </c>
    </row>
    <row r="167" spans="1:24">
      <c r="A167" t="s">
        <v>770</v>
      </c>
      <c r="B167" s="2">
        <v>44033</v>
      </c>
      <c r="C167" t="s">
        <v>66</v>
      </c>
      <c r="D167" s="2">
        <v>44034</v>
      </c>
      <c r="E167" s="2">
        <v>44043</v>
      </c>
      <c r="F167" s="2">
        <v>44056</v>
      </c>
      <c r="G167" t="s">
        <v>771</v>
      </c>
      <c r="H167" t="s">
        <v>494</v>
      </c>
      <c r="I167" t="s">
        <v>772</v>
      </c>
      <c r="J167">
        <v>0</v>
      </c>
      <c r="K167" t="s">
        <v>773</v>
      </c>
      <c r="L167" t="s">
        <v>29</v>
      </c>
      <c r="M167" t="s">
        <v>774</v>
      </c>
      <c r="N167" t="s">
        <v>775</v>
      </c>
      <c r="O167" t="s">
        <v>32</v>
      </c>
      <c r="P167" t="s">
        <v>211</v>
      </c>
      <c r="Q167" t="s">
        <v>390</v>
      </c>
      <c r="R167" t="s">
        <v>29</v>
      </c>
      <c r="S167" t="s">
        <v>776</v>
      </c>
      <c r="T167" t="s">
        <v>29</v>
      </c>
      <c r="U167" t="s">
        <v>29</v>
      </c>
      <c r="W167" t="s">
        <v>29</v>
      </c>
      <c r="X167" t="s">
        <v>29</v>
      </c>
    </row>
    <row r="168" spans="1:24">
      <c r="A168" t="s">
        <v>777</v>
      </c>
      <c r="B168" s="2">
        <v>44033</v>
      </c>
      <c r="C168" t="s">
        <v>66</v>
      </c>
      <c r="D168" s="2">
        <v>44034</v>
      </c>
      <c r="E168" s="2">
        <v>44043</v>
      </c>
      <c r="F168" s="2">
        <v>44034</v>
      </c>
      <c r="G168" t="s">
        <v>778</v>
      </c>
      <c r="H168" t="s">
        <v>779</v>
      </c>
      <c r="J168">
        <v>0</v>
      </c>
      <c r="K168" t="s">
        <v>780</v>
      </c>
      <c r="L168" t="s">
        <v>29</v>
      </c>
      <c r="M168" t="s">
        <v>781</v>
      </c>
      <c r="N168" t="s">
        <v>62</v>
      </c>
      <c r="O168" t="s">
        <v>32</v>
      </c>
      <c r="P168" t="s">
        <v>211</v>
      </c>
      <c r="Q168" t="s">
        <v>390</v>
      </c>
      <c r="R168" t="s">
        <v>29</v>
      </c>
      <c r="S168" t="s">
        <v>776</v>
      </c>
      <c r="T168" t="s">
        <v>29</v>
      </c>
      <c r="U168" t="s">
        <v>29</v>
      </c>
      <c r="W168" t="s">
        <v>29</v>
      </c>
      <c r="X168" t="s">
        <v>29</v>
      </c>
    </row>
    <row r="169" spans="1:24">
      <c r="A169" t="s">
        <v>782</v>
      </c>
      <c r="B169" s="2">
        <v>44039</v>
      </c>
      <c r="C169" t="s">
        <v>42</v>
      </c>
      <c r="D169" s="2">
        <v>44041</v>
      </c>
      <c r="E169" s="2">
        <v>44057</v>
      </c>
      <c r="F169" s="2">
        <v>44041</v>
      </c>
      <c r="G169" t="s">
        <v>86</v>
      </c>
      <c r="H169" t="s">
        <v>87</v>
      </c>
      <c r="J169">
        <v>0</v>
      </c>
      <c r="K169" t="s">
        <v>68</v>
      </c>
      <c r="L169" t="s">
        <v>29</v>
      </c>
      <c r="M169" t="s">
        <v>88</v>
      </c>
      <c r="N169" t="s">
        <v>89</v>
      </c>
      <c r="O169" t="s">
        <v>90</v>
      </c>
      <c r="P169" t="s">
        <v>91</v>
      </c>
      <c r="Q169" t="s">
        <v>783</v>
      </c>
      <c r="R169" t="s">
        <v>29</v>
      </c>
      <c r="S169" t="s">
        <v>34</v>
      </c>
      <c r="T169" t="s">
        <v>29</v>
      </c>
      <c r="U169" t="s">
        <v>29</v>
      </c>
      <c r="W169" t="s">
        <v>29</v>
      </c>
      <c r="X169" t="s">
        <v>29</v>
      </c>
    </row>
    <row r="170" spans="1:24">
      <c r="A170" t="s">
        <v>784</v>
      </c>
      <c r="B170" s="2">
        <v>44040</v>
      </c>
      <c r="C170" t="s">
        <v>66</v>
      </c>
      <c r="D170" s="2">
        <v>44067</v>
      </c>
      <c r="E170" s="2">
        <v>44085</v>
      </c>
      <c r="F170" s="2">
        <v>44081</v>
      </c>
      <c r="G170" t="s">
        <v>785</v>
      </c>
      <c r="H170" t="s">
        <v>27</v>
      </c>
      <c r="I170" t="s">
        <v>786</v>
      </c>
      <c r="J170">
        <v>441200</v>
      </c>
      <c r="K170" t="s">
        <v>59</v>
      </c>
      <c r="L170" t="s">
        <v>29</v>
      </c>
      <c r="M170" t="s">
        <v>61</v>
      </c>
      <c r="N170" t="s">
        <v>786</v>
      </c>
      <c r="O170" t="s">
        <v>47</v>
      </c>
      <c r="P170" t="s">
        <v>63</v>
      </c>
      <c r="Q170" t="s">
        <v>787</v>
      </c>
      <c r="R170" t="s">
        <v>29</v>
      </c>
      <c r="S170" t="s">
        <v>29</v>
      </c>
      <c r="T170" t="s">
        <v>29</v>
      </c>
      <c r="U170" t="s">
        <v>29</v>
      </c>
      <c r="W170" t="s">
        <v>29</v>
      </c>
      <c r="X170" t="s">
        <v>29</v>
      </c>
    </row>
    <row r="171" spans="1:24">
      <c r="A171" t="s">
        <v>788</v>
      </c>
      <c r="B171" s="2">
        <v>44040</v>
      </c>
      <c r="C171" t="s">
        <v>42</v>
      </c>
      <c r="D171" s="2">
        <v>44041</v>
      </c>
      <c r="E171" s="2">
        <v>44050</v>
      </c>
      <c r="F171" s="2">
        <v>44041</v>
      </c>
      <c r="G171" t="s">
        <v>676</v>
      </c>
      <c r="H171" t="s">
        <v>87</v>
      </c>
      <c r="J171">
        <v>0</v>
      </c>
      <c r="K171" t="s">
        <v>68</v>
      </c>
      <c r="L171" t="s">
        <v>29</v>
      </c>
      <c r="M171" t="s">
        <v>88</v>
      </c>
      <c r="N171" t="s">
        <v>677</v>
      </c>
      <c r="O171" t="s">
        <v>47</v>
      </c>
      <c r="P171" t="s">
        <v>75</v>
      </c>
      <c r="Q171" t="s">
        <v>789</v>
      </c>
      <c r="R171" t="s">
        <v>29</v>
      </c>
      <c r="S171" t="s">
        <v>34</v>
      </c>
      <c r="T171" t="s">
        <v>29</v>
      </c>
      <c r="U171" t="s">
        <v>29</v>
      </c>
      <c r="W171" t="s">
        <v>29</v>
      </c>
      <c r="X171" t="s">
        <v>29</v>
      </c>
    </row>
    <row r="172" spans="1:24">
      <c r="A172" t="s">
        <v>790</v>
      </c>
      <c r="B172" s="2">
        <v>44041</v>
      </c>
      <c r="C172" t="s">
        <v>42</v>
      </c>
      <c r="D172" s="2">
        <v>44043</v>
      </c>
      <c r="E172" s="2">
        <v>44104</v>
      </c>
      <c r="F172" s="2">
        <v>44063</v>
      </c>
      <c r="G172" t="s">
        <v>791</v>
      </c>
      <c r="H172" t="s">
        <v>27</v>
      </c>
      <c r="J172">
        <v>780000</v>
      </c>
      <c r="K172" t="s">
        <v>37</v>
      </c>
      <c r="L172" t="s">
        <v>29</v>
      </c>
      <c r="M172" t="s">
        <v>202</v>
      </c>
      <c r="N172" t="s">
        <v>792</v>
      </c>
      <c r="O172" t="s">
        <v>47</v>
      </c>
      <c r="P172" t="s">
        <v>48</v>
      </c>
      <c r="Q172" t="s">
        <v>49</v>
      </c>
      <c r="R172" t="s">
        <v>81</v>
      </c>
      <c r="S172" t="s">
        <v>29</v>
      </c>
      <c r="T172" t="s">
        <v>29</v>
      </c>
      <c r="U172" t="s">
        <v>29</v>
      </c>
      <c r="W172" t="s">
        <v>29</v>
      </c>
      <c r="X172" t="s">
        <v>29</v>
      </c>
    </row>
    <row r="173" spans="1:24">
      <c r="A173" t="s">
        <v>793</v>
      </c>
      <c r="B173" s="2">
        <v>44041</v>
      </c>
      <c r="C173" t="s">
        <v>66</v>
      </c>
      <c r="D173" s="2">
        <v>44043</v>
      </c>
      <c r="E173" s="2">
        <v>44057</v>
      </c>
      <c r="F173" s="2">
        <v>44043</v>
      </c>
      <c r="G173" t="s">
        <v>794</v>
      </c>
      <c r="H173" t="s">
        <v>27</v>
      </c>
      <c r="J173">
        <v>88000</v>
      </c>
      <c r="K173" t="s">
        <v>795</v>
      </c>
      <c r="L173" t="s">
        <v>29</v>
      </c>
      <c r="M173" t="s">
        <v>796</v>
      </c>
      <c r="N173" t="s">
        <v>797</v>
      </c>
      <c r="O173" t="s">
        <v>32</v>
      </c>
      <c r="P173" t="s">
        <v>33</v>
      </c>
      <c r="Q173" t="s">
        <v>34</v>
      </c>
      <c r="R173" t="s">
        <v>29</v>
      </c>
      <c r="S173" t="s">
        <v>29</v>
      </c>
      <c r="T173" t="s">
        <v>29</v>
      </c>
      <c r="U173" t="s">
        <v>29</v>
      </c>
      <c r="W173" t="s">
        <v>29</v>
      </c>
      <c r="X173" t="s">
        <v>29</v>
      </c>
    </row>
    <row r="174" spans="1:24">
      <c r="A174" t="s">
        <v>798</v>
      </c>
      <c r="B174" s="2">
        <v>44041</v>
      </c>
      <c r="C174" t="s">
        <v>66</v>
      </c>
      <c r="D174" s="2">
        <v>44047</v>
      </c>
      <c r="E174" s="2">
        <v>44061</v>
      </c>
      <c r="F174" t="s">
        <v>187</v>
      </c>
      <c r="G174" t="s">
        <v>799</v>
      </c>
      <c r="H174" t="s">
        <v>27</v>
      </c>
      <c r="J174">
        <v>38200</v>
      </c>
      <c r="K174" t="s">
        <v>246</v>
      </c>
      <c r="L174" t="s">
        <v>29</v>
      </c>
      <c r="M174" t="s">
        <v>748</v>
      </c>
      <c r="N174" t="s">
        <v>62</v>
      </c>
      <c r="O174" t="s">
        <v>32</v>
      </c>
      <c r="P174" t="s">
        <v>33</v>
      </c>
      <c r="Q174" t="s">
        <v>34</v>
      </c>
      <c r="R174" t="s">
        <v>29</v>
      </c>
      <c r="S174" t="s">
        <v>29</v>
      </c>
      <c r="T174" t="s">
        <v>29</v>
      </c>
      <c r="U174" t="s">
        <v>29</v>
      </c>
      <c r="W174" t="s">
        <v>29</v>
      </c>
      <c r="X174" t="s">
        <v>29</v>
      </c>
    </row>
    <row r="175" spans="1:24">
      <c r="A175" t="s">
        <v>800</v>
      </c>
      <c r="B175" s="2">
        <v>44042</v>
      </c>
      <c r="C175" t="s">
        <v>42</v>
      </c>
      <c r="D175" s="2">
        <v>44046</v>
      </c>
      <c r="E175" s="2">
        <v>44104</v>
      </c>
      <c r="F175" s="2">
        <v>44046</v>
      </c>
      <c r="G175" t="s">
        <v>708</v>
      </c>
      <c r="H175" t="s">
        <v>54</v>
      </c>
      <c r="I175" t="s">
        <v>709</v>
      </c>
      <c r="J175">
        <v>0</v>
      </c>
      <c r="K175" t="s">
        <v>532</v>
      </c>
      <c r="L175" t="s">
        <v>29</v>
      </c>
      <c r="M175" t="s">
        <v>801</v>
      </c>
      <c r="N175" t="s">
        <v>31</v>
      </c>
      <c r="O175" t="s">
        <v>101</v>
      </c>
      <c r="P175" t="s">
        <v>169</v>
      </c>
      <c r="Q175" t="s">
        <v>29</v>
      </c>
      <c r="R175" t="s">
        <v>29</v>
      </c>
      <c r="S175" t="s">
        <v>266</v>
      </c>
      <c r="T175" t="s">
        <v>29</v>
      </c>
      <c r="U175" t="s">
        <v>29</v>
      </c>
      <c r="W175" t="s">
        <v>29</v>
      </c>
      <c r="X175" t="s">
        <v>29</v>
      </c>
    </row>
    <row r="176" spans="1:24">
      <c r="A176" t="s">
        <v>802</v>
      </c>
      <c r="B176" s="2">
        <v>44043</v>
      </c>
      <c r="C176" t="s">
        <v>66</v>
      </c>
      <c r="D176" s="2">
        <v>44050</v>
      </c>
      <c r="E176" s="2">
        <v>44057</v>
      </c>
      <c r="F176" s="2">
        <v>44057</v>
      </c>
      <c r="G176" t="s">
        <v>803</v>
      </c>
      <c r="H176" t="s">
        <v>27</v>
      </c>
      <c r="J176">
        <v>6396000</v>
      </c>
      <c r="K176" t="s">
        <v>208</v>
      </c>
      <c r="L176" t="s">
        <v>29</v>
      </c>
      <c r="M176" t="s">
        <v>804</v>
      </c>
      <c r="N176" t="s">
        <v>805</v>
      </c>
      <c r="O176" t="s">
        <v>32</v>
      </c>
      <c r="P176" t="s">
        <v>211</v>
      </c>
      <c r="Q176" t="s">
        <v>806</v>
      </c>
      <c r="R176" t="s">
        <v>29</v>
      </c>
      <c r="S176" t="s">
        <v>807</v>
      </c>
      <c r="T176" t="s">
        <v>29</v>
      </c>
      <c r="U176" t="s">
        <v>29</v>
      </c>
      <c r="W176" t="s">
        <v>808</v>
      </c>
      <c r="X176" t="s">
        <v>29</v>
      </c>
    </row>
    <row r="177" spans="1:24">
      <c r="A177" t="s">
        <v>809</v>
      </c>
      <c r="B177" s="2">
        <v>44043</v>
      </c>
      <c r="C177" t="s">
        <v>42</v>
      </c>
      <c r="D177" s="2">
        <v>44046</v>
      </c>
      <c r="E177" s="2">
        <v>44084</v>
      </c>
      <c r="F177" t="s">
        <v>624</v>
      </c>
      <c r="G177" t="s">
        <v>810</v>
      </c>
      <c r="H177" t="s">
        <v>27</v>
      </c>
      <c r="J177">
        <v>400000</v>
      </c>
      <c r="K177" t="s">
        <v>532</v>
      </c>
      <c r="L177" t="s">
        <v>29</v>
      </c>
      <c r="M177" t="s">
        <v>811</v>
      </c>
      <c r="N177" t="s">
        <v>812</v>
      </c>
      <c r="O177" t="s">
        <v>271</v>
      </c>
      <c r="P177" t="s">
        <v>813</v>
      </c>
      <c r="Q177" t="s">
        <v>29</v>
      </c>
      <c r="R177" t="s">
        <v>29</v>
      </c>
      <c r="S177" t="s">
        <v>266</v>
      </c>
      <c r="T177" t="s">
        <v>29</v>
      </c>
      <c r="U177" t="s">
        <v>29</v>
      </c>
      <c r="W177" t="s">
        <v>29</v>
      </c>
      <c r="X177" t="s">
        <v>29</v>
      </c>
    </row>
    <row r="178" spans="1:24">
      <c r="A178" t="s">
        <v>814</v>
      </c>
      <c r="B178" s="2">
        <v>44043</v>
      </c>
      <c r="C178" t="s">
        <v>42</v>
      </c>
      <c r="D178" s="2">
        <v>44047</v>
      </c>
      <c r="E178" s="2">
        <v>44054</v>
      </c>
      <c r="F178" s="2">
        <v>44049</v>
      </c>
      <c r="G178" t="s">
        <v>815</v>
      </c>
      <c r="H178" t="s">
        <v>27</v>
      </c>
      <c r="J178">
        <v>87080</v>
      </c>
      <c r="K178" t="s">
        <v>37</v>
      </c>
      <c r="L178" t="s">
        <v>29</v>
      </c>
      <c r="M178" t="s">
        <v>816</v>
      </c>
      <c r="N178" t="s">
        <v>817</v>
      </c>
      <c r="O178" t="s">
        <v>128</v>
      </c>
      <c r="P178" t="s">
        <v>129</v>
      </c>
      <c r="Q178" t="s">
        <v>130</v>
      </c>
      <c r="R178" t="s">
        <v>29</v>
      </c>
      <c r="S178" t="s">
        <v>34</v>
      </c>
      <c r="T178" t="s">
        <v>29</v>
      </c>
      <c r="U178" t="s">
        <v>29</v>
      </c>
      <c r="W178" t="s">
        <v>29</v>
      </c>
      <c r="X178" t="s">
        <v>29</v>
      </c>
    </row>
    <row r="179" spans="1:24">
      <c r="A179" t="s">
        <v>818</v>
      </c>
      <c r="B179" s="2">
        <v>44043</v>
      </c>
      <c r="C179" t="s">
        <v>42</v>
      </c>
      <c r="D179" s="2">
        <v>44047</v>
      </c>
      <c r="E179" s="2">
        <v>44054</v>
      </c>
      <c r="F179" s="2">
        <v>44049</v>
      </c>
      <c r="G179" t="s">
        <v>819</v>
      </c>
      <c r="H179" t="s">
        <v>54</v>
      </c>
      <c r="J179">
        <v>0</v>
      </c>
      <c r="K179" t="s">
        <v>37</v>
      </c>
      <c r="L179" t="s">
        <v>29</v>
      </c>
      <c r="M179" t="s">
        <v>820</v>
      </c>
      <c r="N179" t="s">
        <v>31</v>
      </c>
      <c r="O179" t="s">
        <v>128</v>
      </c>
      <c r="P179" t="s">
        <v>129</v>
      </c>
      <c r="Q179" t="s">
        <v>130</v>
      </c>
      <c r="R179" t="s">
        <v>29</v>
      </c>
      <c r="S179" t="s">
        <v>29</v>
      </c>
      <c r="T179" t="s">
        <v>29</v>
      </c>
      <c r="U179" t="s">
        <v>29</v>
      </c>
      <c r="W179" t="s">
        <v>29</v>
      </c>
      <c r="X179" t="s">
        <v>29</v>
      </c>
    </row>
    <row r="180" spans="1:24">
      <c r="A180" t="s">
        <v>821</v>
      </c>
      <c r="B180" s="2">
        <v>44046</v>
      </c>
      <c r="C180" t="s">
        <v>66</v>
      </c>
      <c r="D180" s="2">
        <v>44048</v>
      </c>
      <c r="E180" s="2">
        <v>44099</v>
      </c>
      <c r="F180" s="2">
        <v>44048</v>
      </c>
      <c r="G180" t="s">
        <v>822</v>
      </c>
      <c r="H180" t="s">
        <v>27</v>
      </c>
      <c r="J180">
        <v>540800</v>
      </c>
      <c r="K180" t="s">
        <v>68</v>
      </c>
      <c r="L180" t="s">
        <v>29</v>
      </c>
      <c r="M180" t="s">
        <v>354</v>
      </c>
      <c r="N180" t="s">
        <v>355</v>
      </c>
      <c r="O180" t="s">
        <v>32</v>
      </c>
      <c r="P180" t="s">
        <v>33</v>
      </c>
      <c r="Q180" t="s">
        <v>34</v>
      </c>
      <c r="R180" t="s">
        <v>29</v>
      </c>
      <c r="S180" t="s">
        <v>29</v>
      </c>
      <c r="T180" t="s">
        <v>29</v>
      </c>
      <c r="U180" t="s">
        <v>29</v>
      </c>
      <c r="W180" t="s">
        <v>29</v>
      </c>
      <c r="X180" t="s">
        <v>29</v>
      </c>
    </row>
    <row r="181" spans="1:24">
      <c r="A181" t="s">
        <v>823</v>
      </c>
      <c r="B181" s="2">
        <v>44048</v>
      </c>
      <c r="C181" t="s">
        <v>66</v>
      </c>
      <c r="D181" s="2">
        <v>44049</v>
      </c>
      <c r="E181" s="2">
        <v>44061</v>
      </c>
      <c r="F181" s="2">
        <v>44050</v>
      </c>
      <c r="G181" t="s">
        <v>241</v>
      </c>
      <c r="H181" t="s">
        <v>27</v>
      </c>
      <c r="J181">
        <v>154000</v>
      </c>
      <c r="K181" t="s">
        <v>242</v>
      </c>
      <c r="L181" t="s">
        <v>29</v>
      </c>
      <c r="M181" t="s">
        <v>243</v>
      </c>
      <c r="N181" t="s">
        <v>62</v>
      </c>
      <c r="O181" t="s">
        <v>47</v>
      </c>
      <c r="P181" t="s">
        <v>63</v>
      </c>
      <c r="Q181" t="s">
        <v>34</v>
      </c>
      <c r="R181" t="s">
        <v>29</v>
      </c>
      <c r="S181" t="s">
        <v>34</v>
      </c>
      <c r="T181" t="s">
        <v>29</v>
      </c>
      <c r="U181" t="s">
        <v>29</v>
      </c>
      <c r="W181" t="s">
        <v>29</v>
      </c>
      <c r="X181" t="s">
        <v>29</v>
      </c>
    </row>
    <row r="182" spans="1:24">
      <c r="A182" t="s">
        <v>824</v>
      </c>
      <c r="B182" s="2">
        <v>44049</v>
      </c>
      <c r="C182" t="s">
        <v>42</v>
      </c>
      <c r="D182" s="2">
        <v>44062</v>
      </c>
      <c r="E182" s="2">
        <v>44069</v>
      </c>
      <c r="F182" s="2">
        <v>44064</v>
      </c>
      <c r="G182" t="s">
        <v>825</v>
      </c>
      <c r="H182" t="s">
        <v>27</v>
      </c>
      <c r="J182">
        <v>382610</v>
      </c>
      <c r="K182" t="s">
        <v>826</v>
      </c>
      <c r="L182" t="s">
        <v>29</v>
      </c>
      <c r="M182" t="s">
        <v>827</v>
      </c>
      <c r="N182" t="s">
        <v>828</v>
      </c>
      <c r="O182" t="s">
        <v>128</v>
      </c>
      <c r="P182" t="s">
        <v>129</v>
      </c>
      <c r="Q182" t="s">
        <v>130</v>
      </c>
      <c r="R182" t="s">
        <v>29</v>
      </c>
      <c r="S182" t="s">
        <v>34</v>
      </c>
      <c r="T182" t="s">
        <v>29</v>
      </c>
      <c r="U182" t="s">
        <v>29</v>
      </c>
      <c r="W182" t="s">
        <v>29</v>
      </c>
      <c r="X182" t="s">
        <v>29</v>
      </c>
    </row>
    <row r="183" spans="1:24">
      <c r="A183" t="s">
        <v>829</v>
      </c>
      <c r="B183" s="2">
        <v>44049</v>
      </c>
      <c r="C183" t="s">
        <v>42</v>
      </c>
      <c r="D183" s="2">
        <v>44050</v>
      </c>
      <c r="E183" s="2">
        <v>44057</v>
      </c>
      <c r="F183" s="2">
        <v>44050</v>
      </c>
      <c r="G183" t="s">
        <v>830</v>
      </c>
      <c r="H183" t="s">
        <v>54</v>
      </c>
      <c r="J183">
        <v>648000</v>
      </c>
      <c r="K183" t="s">
        <v>44</v>
      </c>
      <c r="L183" t="s">
        <v>29</v>
      </c>
      <c r="M183" t="s">
        <v>45</v>
      </c>
      <c r="N183" t="s">
        <v>437</v>
      </c>
      <c r="O183" t="s">
        <v>47</v>
      </c>
      <c r="P183" t="s">
        <v>48</v>
      </c>
      <c r="Q183" t="s">
        <v>49</v>
      </c>
      <c r="R183" t="s">
        <v>111</v>
      </c>
      <c r="S183" t="s">
        <v>29</v>
      </c>
      <c r="T183" t="s">
        <v>29</v>
      </c>
      <c r="U183" t="s">
        <v>112</v>
      </c>
      <c r="V183" t="s">
        <v>831</v>
      </c>
      <c r="W183" t="s">
        <v>29</v>
      </c>
      <c r="X183" t="s">
        <v>29</v>
      </c>
    </row>
    <row r="184" spans="1:24">
      <c r="A184" t="s">
        <v>832</v>
      </c>
      <c r="B184" s="2">
        <v>44049</v>
      </c>
      <c r="C184" t="s">
        <v>66</v>
      </c>
      <c r="D184" s="2">
        <v>44050</v>
      </c>
      <c r="E184" s="2">
        <v>44054</v>
      </c>
      <c r="F184" s="2">
        <v>44050</v>
      </c>
      <c r="G184" t="s">
        <v>833</v>
      </c>
      <c r="H184" t="s">
        <v>27</v>
      </c>
      <c r="I184" t="s">
        <v>786</v>
      </c>
      <c r="J184">
        <v>6000000</v>
      </c>
      <c r="K184" t="s">
        <v>59</v>
      </c>
      <c r="L184" t="s">
        <v>29</v>
      </c>
      <c r="M184" t="s">
        <v>61</v>
      </c>
      <c r="N184" t="s">
        <v>786</v>
      </c>
      <c r="O184" t="s">
        <v>47</v>
      </c>
      <c r="P184" t="s">
        <v>63</v>
      </c>
      <c r="Q184" t="s">
        <v>834</v>
      </c>
      <c r="R184" t="s">
        <v>29</v>
      </c>
      <c r="S184" t="s">
        <v>29</v>
      </c>
      <c r="T184" t="s">
        <v>29</v>
      </c>
      <c r="U184" t="s">
        <v>29</v>
      </c>
      <c r="W184" t="s">
        <v>29</v>
      </c>
      <c r="X184" t="s">
        <v>29</v>
      </c>
    </row>
    <row r="185" spans="1:24">
      <c r="A185" t="s">
        <v>835</v>
      </c>
      <c r="B185" s="2">
        <v>44049</v>
      </c>
      <c r="C185" t="s">
        <v>42</v>
      </c>
      <c r="D185" s="2">
        <v>44050</v>
      </c>
      <c r="E185" s="2">
        <v>44074</v>
      </c>
      <c r="F185" s="2">
        <v>44054</v>
      </c>
      <c r="G185" t="s">
        <v>836</v>
      </c>
      <c r="H185" t="s">
        <v>116</v>
      </c>
      <c r="I185" t="s">
        <v>837</v>
      </c>
      <c r="J185">
        <v>106130</v>
      </c>
      <c r="K185" t="s">
        <v>68</v>
      </c>
      <c r="L185" t="s">
        <v>29</v>
      </c>
      <c r="M185" t="s">
        <v>838</v>
      </c>
      <c r="N185" t="s">
        <v>31</v>
      </c>
      <c r="O185" t="s">
        <v>47</v>
      </c>
      <c r="P185" t="s">
        <v>75</v>
      </c>
      <c r="Q185" t="s">
        <v>49</v>
      </c>
      <c r="R185" t="s">
        <v>81</v>
      </c>
      <c r="S185" t="s">
        <v>29</v>
      </c>
      <c r="T185" t="s">
        <v>29</v>
      </c>
      <c r="U185" t="s">
        <v>29</v>
      </c>
      <c r="W185" t="s">
        <v>29</v>
      </c>
      <c r="X185" t="s">
        <v>839</v>
      </c>
    </row>
    <row r="186" spans="1:24">
      <c r="A186" t="s">
        <v>840</v>
      </c>
      <c r="B186" s="2">
        <v>44050</v>
      </c>
      <c r="C186" t="s">
        <v>66</v>
      </c>
      <c r="D186" s="2">
        <v>44056</v>
      </c>
      <c r="E186" s="2">
        <v>44071</v>
      </c>
      <c r="F186" s="2">
        <v>44064</v>
      </c>
      <c r="G186" t="s">
        <v>458</v>
      </c>
      <c r="H186" t="s">
        <v>27</v>
      </c>
      <c r="J186">
        <v>302400</v>
      </c>
      <c r="K186" t="s">
        <v>780</v>
      </c>
      <c r="L186" t="s">
        <v>29</v>
      </c>
      <c r="M186" t="s">
        <v>841</v>
      </c>
      <c r="N186" t="s">
        <v>31</v>
      </c>
      <c r="O186" t="s">
        <v>47</v>
      </c>
      <c r="P186" t="s">
        <v>48</v>
      </c>
      <c r="Q186" t="s">
        <v>49</v>
      </c>
      <c r="R186" t="s">
        <v>81</v>
      </c>
      <c r="S186" t="s">
        <v>29</v>
      </c>
      <c r="T186" t="s">
        <v>29</v>
      </c>
      <c r="U186" t="s">
        <v>29</v>
      </c>
      <c r="W186" t="s">
        <v>29</v>
      </c>
      <c r="X186" t="s">
        <v>842</v>
      </c>
    </row>
    <row r="187" spans="1:24">
      <c r="A187" t="s">
        <v>843</v>
      </c>
      <c r="B187" s="2">
        <v>44060</v>
      </c>
      <c r="C187" t="s">
        <v>42</v>
      </c>
      <c r="D187" s="2">
        <v>44061</v>
      </c>
      <c r="E187" s="2">
        <v>44068</v>
      </c>
      <c r="F187" s="2">
        <v>44060</v>
      </c>
      <c r="G187" t="s">
        <v>844</v>
      </c>
      <c r="H187" t="s">
        <v>54</v>
      </c>
      <c r="J187">
        <v>0</v>
      </c>
      <c r="K187" t="s">
        <v>68</v>
      </c>
      <c r="L187" t="s">
        <v>29</v>
      </c>
      <c r="M187" t="s">
        <v>845</v>
      </c>
      <c r="N187" t="s">
        <v>31</v>
      </c>
      <c r="O187" t="s">
        <v>128</v>
      </c>
      <c r="P187" t="s">
        <v>129</v>
      </c>
      <c r="Q187" t="s">
        <v>130</v>
      </c>
      <c r="R187" t="s">
        <v>29</v>
      </c>
      <c r="S187" t="s">
        <v>29</v>
      </c>
      <c r="T187" t="s">
        <v>29</v>
      </c>
      <c r="U187" t="s">
        <v>29</v>
      </c>
      <c r="W187" t="s">
        <v>29</v>
      </c>
      <c r="X187" t="s">
        <v>29</v>
      </c>
    </row>
    <row r="188" spans="1:24">
      <c r="A188" t="s">
        <v>846</v>
      </c>
      <c r="B188" s="2">
        <v>44060</v>
      </c>
      <c r="C188" t="s">
        <v>42</v>
      </c>
      <c r="D188" s="2">
        <v>44064</v>
      </c>
      <c r="E188" s="2">
        <v>44286</v>
      </c>
      <c r="G188" t="s">
        <v>847</v>
      </c>
      <c r="H188" t="s">
        <v>259</v>
      </c>
      <c r="I188" t="s">
        <v>848</v>
      </c>
      <c r="J188">
        <v>0</v>
      </c>
      <c r="K188" t="s">
        <v>68</v>
      </c>
      <c r="L188" t="s">
        <v>29</v>
      </c>
      <c r="M188" t="s">
        <v>849</v>
      </c>
      <c r="N188" t="s">
        <v>31</v>
      </c>
      <c r="O188" t="s">
        <v>264</v>
      </c>
      <c r="P188" t="s">
        <v>850</v>
      </c>
      <c r="Q188" t="s">
        <v>29</v>
      </c>
      <c r="R188" t="s">
        <v>29</v>
      </c>
      <c r="S188" t="s">
        <v>851</v>
      </c>
      <c r="T188" t="s">
        <v>29</v>
      </c>
      <c r="U188" t="s">
        <v>29</v>
      </c>
      <c r="W188" t="s">
        <v>29</v>
      </c>
    </row>
    <row r="189" spans="1:24">
      <c r="A189" t="s">
        <v>852</v>
      </c>
      <c r="B189" s="2">
        <v>44060</v>
      </c>
      <c r="C189" t="s">
        <v>42</v>
      </c>
      <c r="D189" s="2">
        <v>44064</v>
      </c>
      <c r="E189" s="2">
        <v>44286</v>
      </c>
      <c r="G189" t="s">
        <v>853</v>
      </c>
      <c r="H189" t="s">
        <v>259</v>
      </c>
      <c r="I189" t="s">
        <v>848</v>
      </c>
      <c r="J189">
        <v>0</v>
      </c>
      <c r="K189" t="s">
        <v>68</v>
      </c>
      <c r="L189" t="s">
        <v>29</v>
      </c>
      <c r="M189" t="s">
        <v>854</v>
      </c>
      <c r="N189" t="s">
        <v>31</v>
      </c>
      <c r="O189" t="s">
        <v>264</v>
      </c>
      <c r="P189" t="s">
        <v>850</v>
      </c>
      <c r="Q189" t="s">
        <v>29</v>
      </c>
      <c r="R189" t="s">
        <v>29</v>
      </c>
      <c r="S189" t="s">
        <v>851</v>
      </c>
      <c r="T189" t="s">
        <v>29</v>
      </c>
      <c r="U189" t="s">
        <v>29</v>
      </c>
      <c r="W189" t="s">
        <v>29</v>
      </c>
    </row>
    <row r="190" spans="1:24">
      <c r="A190" t="s">
        <v>855</v>
      </c>
      <c r="B190" s="2">
        <v>44062</v>
      </c>
      <c r="C190" t="s">
        <v>66</v>
      </c>
      <c r="D190" s="2">
        <v>44063</v>
      </c>
      <c r="E190" s="2">
        <v>44067</v>
      </c>
      <c r="F190" s="2">
        <v>44064</v>
      </c>
      <c r="G190" t="s">
        <v>664</v>
      </c>
      <c r="H190" t="s">
        <v>27</v>
      </c>
      <c r="J190">
        <v>249400</v>
      </c>
      <c r="K190" t="s">
        <v>208</v>
      </c>
      <c r="L190" t="s">
        <v>29</v>
      </c>
      <c r="M190" t="s">
        <v>501</v>
      </c>
      <c r="N190" t="s">
        <v>502</v>
      </c>
      <c r="O190" t="s">
        <v>47</v>
      </c>
      <c r="P190" t="s">
        <v>63</v>
      </c>
      <c r="Q190" t="s">
        <v>34</v>
      </c>
      <c r="R190" t="s">
        <v>29</v>
      </c>
      <c r="S190" t="s">
        <v>29</v>
      </c>
      <c r="T190" t="s">
        <v>29</v>
      </c>
      <c r="U190" t="s">
        <v>29</v>
      </c>
      <c r="W190" t="s">
        <v>29</v>
      </c>
      <c r="X190" t="s">
        <v>29</v>
      </c>
    </row>
    <row r="191" spans="1:24">
      <c r="A191" t="s">
        <v>856</v>
      </c>
      <c r="B191" s="2">
        <v>44062</v>
      </c>
      <c r="C191" t="s">
        <v>42</v>
      </c>
      <c r="D191" s="2">
        <v>44063</v>
      </c>
      <c r="E191" s="2">
        <v>44286</v>
      </c>
      <c r="F191" s="2">
        <v>44067</v>
      </c>
      <c r="G191" t="s">
        <v>372</v>
      </c>
      <c r="H191" t="s">
        <v>252</v>
      </c>
      <c r="J191">
        <v>0</v>
      </c>
      <c r="K191" t="s">
        <v>79</v>
      </c>
      <c r="L191" t="s">
        <v>29</v>
      </c>
      <c r="M191" t="s">
        <v>414</v>
      </c>
      <c r="N191" t="s">
        <v>31</v>
      </c>
      <c r="O191" t="s">
        <v>101</v>
      </c>
      <c r="P191" t="s">
        <v>295</v>
      </c>
      <c r="Q191" t="s">
        <v>29</v>
      </c>
      <c r="R191" t="s">
        <v>29</v>
      </c>
      <c r="S191" t="s">
        <v>34</v>
      </c>
      <c r="T191" t="s">
        <v>29</v>
      </c>
      <c r="U191" t="s">
        <v>29</v>
      </c>
      <c r="W191" t="s">
        <v>29</v>
      </c>
      <c r="X191" t="s">
        <v>29</v>
      </c>
    </row>
    <row r="192" spans="1:24">
      <c r="A192" t="s">
        <v>857</v>
      </c>
      <c r="B192" s="2">
        <v>44062</v>
      </c>
      <c r="C192" t="s">
        <v>42</v>
      </c>
      <c r="D192" s="2">
        <v>44064</v>
      </c>
      <c r="E192" s="2">
        <v>44085</v>
      </c>
      <c r="G192" t="s">
        <v>858</v>
      </c>
      <c r="H192" t="s">
        <v>54</v>
      </c>
      <c r="J192">
        <v>0</v>
      </c>
      <c r="K192" t="s">
        <v>222</v>
      </c>
      <c r="L192" t="s">
        <v>29</v>
      </c>
      <c r="M192" t="s">
        <v>859</v>
      </c>
      <c r="N192" t="s">
        <v>860</v>
      </c>
      <c r="O192" t="s">
        <v>139</v>
      </c>
      <c r="P192" t="s">
        <v>380</v>
      </c>
      <c r="Q192" t="s">
        <v>861</v>
      </c>
      <c r="R192" t="s">
        <v>29</v>
      </c>
      <c r="S192" t="s">
        <v>29</v>
      </c>
      <c r="T192" t="s">
        <v>29</v>
      </c>
      <c r="U192" t="s">
        <v>29</v>
      </c>
      <c r="W192" t="s">
        <v>29</v>
      </c>
    </row>
    <row r="193" spans="1:24">
      <c r="A193" t="s">
        <v>862</v>
      </c>
      <c r="B193" s="2">
        <v>44062</v>
      </c>
      <c r="C193" t="s">
        <v>42</v>
      </c>
      <c r="D193" s="2">
        <v>44068</v>
      </c>
      <c r="E193" s="2">
        <v>44104</v>
      </c>
      <c r="F193" s="2">
        <v>44068</v>
      </c>
      <c r="G193" t="s">
        <v>863</v>
      </c>
      <c r="H193" t="s">
        <v>27</v>
      </c>
      <c r="J193">
        <v>700000</v>
      </c>
      <c r="K193" t="s">
        <v>37</v>
      </c>
      <c r="L193" t="s">
        <v>29</v>
      </c>
      <c r="M193" t="s">
        <v>202</v>
      </c>
      <c r="N193" t="s">
        <v>585</v>
      </c>
      <c r="O193" t="s">
        <v>47</v>
      </c>
      <c r="P193" t="s">
        <v>48</v>
      </c>
      <c r="Q193" t="s">
        <v>49</v>
      </c>
      <c r="R193" t="s">
        <v>81</v>
      </c>
      <c r="S193" t="s">
        <v>29</v>
      </c>
      <c r="T193" t="s">
        <v>29</v>
      </c>
      <c r="U193" t="s">
        <v>29</v>
      </c>
      <c r="W193" t="s">
        <v>29</v>
      </c>
      <c r="X193" t="s">
        <v>29</v>
      </c>
    </row>
    <row r="194" spans="1:24">
      <c r="A194" t="s">
        <v>864</v>
      </c>
      <c r="B194" s="2">
        <v>44063</v>
      </c>
      <c r="C194" t="s">
        <v>66</v>
      </c>
      <c r="D194" s="2">
        <v>44067</v>
      </c>
      <c r="E194" s="2">
        <v>44081</v>
      </c>
      <c r="F194" s="2">
        <v>44067</v>
      </c>
      <c r="G194" t="s">
        <v>865</v>
      </c>
      <c r="H194" t="s">
        <v>27</v>
      </c>
      <c r="J194">
        <v>54000</v>
      </c>
      <c r="K194" t="s">
        <v>105</v>
      </c>
      <c r="L194" t="s">
        <v>29</v>
      </c>
      <c r="M194" t="s">
        <v>796</v>
      </c>
      <c r="N194" t="s">
        <v>866</v>
      </c>
      <c r="O194" t="s">
        <v>32</v>
      </c>
      <c r="P194" t="s">
        <v>33</v>
      </c>
      <c r="Q194" t="s">
        <v>34</v>
      </c>
      <c r="R194" t="s">
        <v>29</v>
      </c>
      <c r="S194" t="s">
        <v>29</v>
      </c>
      <c r="T194" t="s">
        <v>29</v>
      </c>
      <c r="U194" t="s">
        <v>29</v>
      </c>
      <c r="W194" t="s">
        <v>29</v>
      </c>
      <c r="X194" t="s">
        <v>29</v>
      </c>
    </row>
    <row r="195" spans="1:24">
      <c r="A195" t="s">
        <v>867</v>
      </c>
      <c r="B195" s="2">
        <v>44063</v>
      </c>
      <c r="C195" t="s">
        <v>66</v>
      </c>
      <c r="D195" s="2">
        <v>44064</v>
      </c>
      <c r="E195" s="2">
        <v>44074</v>
      </c>
      <c r="F195" s="2">
        <v>44064</v>
      </c>
      <c r="G195" t="s">
        <v>868</v>
      </c>
      <c r="H195" t="s">
        <v>27</v>
      </c>
      <c r="J195">
        <v>226800</v>
      </c>
      <c r="K195" t="s">
        <v>37</v>
      </c>
      <c r="L195" t="s">
        <v>29</v>
      </c>
      <c r="M195" t="s">
        <v>869</v>
      </c>
      <c r="N195" t="s">
        <v>870</v>
      </c>
      <c r="O195" t="s">
        <v>32</v>
      </c>
      <c r="P195" t="s">
        <v>480</v>
      </c>
      <c r="Q195" t="s">
        <v>34</v>
      </c>
      <c r="R195" t="s">
        <v>29</v>
      </c>
      <c r="S195" t="s">
        <v>29</v>
      </c>
      <c r="T195" t="s">
        <v>29</v>
      </c>
      <c r="U195" t="s">
        <v>29</v>
      </c>
      <c r="W195" t="s">
        <v>29</v>
      </c>
      <c r="X195" t="s">
        <v>29</v>
      </c>
    </row>
    <row r="196" spans="1:24">
      <c r="A196" t="s">
        <v>871</v>
      </c>
      <c r="B196" s="2">
        <v>44063</v>
      </c>
      <c r="C196" t="s">
        <v>66</v>
      </c>
      <c r="D196" s="2">
        <v>44067</v>
      </c>
      <c r="E196" s="2">
        <v>44085</v>
      </c>
      <c r="F196" s="2">
        <v>44070</v>
      </c>
      <c r="G196" t="s">
        <v>872</v>
      </c>
      <c r="H196" t="s">
        <v>27</v>
      </c>
      <c r="J196">
        <v>179253</v>
      </c>
      <c r="K196" t="s">
        <v>68</v>
      </c>
      <c r="L196" t="s">
        <v>29</v>
      </c>
      <c r="M196" t="s">
        <v>873</v>
      </c>
      <c r="N196" t="s">
        <v>31</v>
      </c>
      <c r="O196" t="s">
        <v>47</v>
      </c>
      <c r="P196" t="s">
        <v>75</v>
      </c>
      <c r="Q196" t="s">
        <v>874</v>
      </c>
      <c r="R196" t="s">
        <v>29</v>
      </c>
      <c r="S196" t="s">
        <v>29</v>
      </c>
      <c r="T196" t="s">
        <v>29</v>
      </c>
      <c r="U196" t="s">
        <v>29</v>
      </c>
      <c r="W196" t="s">
        <v>875</v>
      </c>
      <c r="X196" t="s">
        <v>29</v>
      </c>
    </row>
    <row r="197" spans="1:24">
      <c r="A197" t="s">
        <v>876</v>
      </c>
      <c r="B197" s="2">
        <v>44063</v>
      </c>
      <c r="C197" t="s">
        <v>42</v>
      </c>
      <c r="D197" s="2">
        <v>44068</v>
      </c>
      <c r="E197" s="2">
        <v>44104</v>
      </c>
      <c r="F197" s="2">
        <v>44070</v>
      </c>
      <c r="G197" t="s">
        <v>877</v>
      </c>
      <c r="H197" t="s">
        <v>27</v>
      </c>
      <c r="J197">
        <v>1200000</v>
      </c>
      <c r="K197" t="s">
        <v>44</v>
      </c>
      <c r="L197" t="s">
        <v>29</v>
      </c>
      <c r="M197" t="s">
        <v>45</v>
      </c>
      <c r="N197" t="s">
        <v>46</v>
      </c>
      <c r="O197" t="s">
        <v>47</v>
      </c>
      <c r="P197" t="s">
        <v>48</v>
      </c>
      <c r="Q197" t="s">
        <v>49</v>
      </c>
      <c r="R197" t="s">
        <v>111</v>
      </c>
      <c r="S197" t="s">
        <v>29</v>
      </c>
      <c r="T197" t="s">
        <v>29</v>
      </c>
      <c r="U197" t="s">
        <v>112</v>
      </c>
      <c r="V197" t="s">
        <v>878</v>
      </c>
      <c r="W197" t="s">
        <v>29</v>
      </c>
      <c r="X197" t="s">
        <v>29</v>
      </c>
    </row>
    <row r="198" spans="1:24">
      <c r="A198" t="s">
        <v>879</v>
      </c>
      <c r="B198" s="2">
        <v>44067</v>
      </c>
      <c r="C198" t="s">
        <v>42</v>
      </c>
      <c r="D198" s="2">
        <v>44067</v>
      </c>
      <c r="E198" s="2">
        <v>44113</v>
      </c>
      <c r="F198" s="2">
        <v>44071</v>
      </c>
      <c r="G198" t="s">
        <v>880</v>
      </c>
      <c r="H198" t="s">
        <v>27</v>
      </c>
      <c r="J198">
        <v>684538</v>
      </c>
      <c r="K198" t="s">
        <v>68</v>
      </c>
      <c r="L198" t="s">
        <v>29</v>
      </c>
      <c r="M198" t="s">
        <v>881</v>
      </c>
      <c r="N198" t="s">
        <v>31</v>
      </c>
      <c r="O198" t="s">
        <v>47</v>
      </c>
      <c r="P198" t="s">
        <v>75</v>
      </c>
      <c r="Q198" t="s">
        <v>882</v>
      </c>
      <c r="R198" t="s">
        <v>29</v>
      </c>
      <c r="S198" t="s">
        <v>29</v>
      </c>
      <c r="T198" t="s">
        <v>29</v>
      </c>
      <c r="U198" t="s">
        <v>29</v>
      </c>
      <c r="W198" t="s">
        <v>29</v>
      </c>
      <c r="X198" t="s">
        <v>29</v>
      </c>
    </row>
    <row r="199" spans="1:24">
      <c r="A199" t="s">
        <v>883</v>
      </c>
      <c r="B199" s="2">
        <v>44067</v>
      </c>
      <c r="C199" t="s">
        <v>42</v>
      </c>
      <c r="D199" s="2">
        <v>44074</v>
      </c>
      <c r="E199" s="2">
        <v>44286</v>
      </c>
      <c r="G199" t="s">
        <v>884</v>
      </c>
      <c r="H199" t="s">
        <v>259</v>
      </c>
      <c r="J199">
        <v>0</v>
      </c>
      <c r="K199" t="s">
        <v>68</v>
      </c>
      <c r="L199" t="s">
        <v>29</v>
      </c>
      <c r="M199" t="s">
        <v>885</v>
      </c>
      <c r="N199" t="s">
        <v>31</v>
      </c>
      <c r="O199" t="s">
        <v>886</v>
      </c>
      <c r="P199" t="s">
        <v>325</v>
      </c>
      <c r="Q199" t="s">
        <v>29</v>
      </c>
      <c r="R199" t="s">
        <v>29</v>
      </c>
      <c r="S199" t="s">
        <v>29</v>
      </c>
      <c r="T199" t="s">
        <v>887</v>
      </c>
      <c r="U199" t="s">
        <v>29</v>
      </c>
      <c r="W199" t="s">
        <v>888</v>
      </c>
    </row>
    <row r="200" spans="1:24">
      <c r="A200" t="s">
        <v>889</v>
      </c>
      <c r="B200" s="2">
        <v>44068</v>
      </c>
      <c r="C200" t="s">
        <v>66</v>
      </c>
      <c r="D200" s="2">
        <v>44071</v>
      </c>
      <c r="E200" s="2">
        <v>44092</v>
      </c>
      <c r="G200" t="s">
        <v>890</v>
      </c>
      <c r="H200" t="s">
        <v>54</v>
      </c>
      <c r="J200">
        <v>0</v>
      </c>
      <c r="K200" t="s">
        <v>454</v>
      </c>
      <c r="L200" t="s">
        <v>29</v>
      </c>
      <c r="M200" t="s">
        <v>567</v>
      </c>
      <c r="N200" t="s">
        <v>62</v>
      </c>
      <c r="O200" t="s">
        <v>139</v>
      </c>
      <c r="P200" t="s">
        <v>380</v>
      </c>
      <c r="Q200" t="s">
        <v>34</v>
      </c>
      <c r="R200" t="s">
        <v>29</v>
      </c>
      <c r="S200" t="s">
        <v>29</v>
      </c>
      <c r="T200" t="s">
        <v>29</v>
      </c>
      <c r="U200" t="s">
        <v>29</v>
      </c>
      <c r="W200" t="s">
        <v>29</v>
      </c>
    </row>
    <row r="201" spans="1:24">
      <c r="A201" t="s">
        <v>891</v>
      </c>
      <c r="B201" s="2">
        <v>44068</v>
      </c>
      <c r="C201" t="s">
        <v>66</v>
      </c>
      <c r="D201" s="2">
        <v>44071</v>
      </c>
      <c r="E201" s="2">
        <v>44092</v>
      </c>
      <c r="G201" t="s">
        <v>890</v>
      </c>
      <c r="H201" t="s">
        <v>54</v>
      </c>
      <c r="J201">
        <v>0</v>
      </c>
      <c r="K201" t="s">
        <v>222</v>
      </c>
      <c r="L201" t="s">
        <v>29</v>
      </c>
      <c r="M201" t="s">
        <v>892</v>
      </c>
      <c r="N201" t="s">
        <v>62</v>
      </c>
      <c r="O201" t="s">
        <v>139</v>
      </c>
      <c r="P201" t="s">
        <v>380</v>
      </c>
      <c r="Q201" t="s">
        <v>34</v>
      </c>
      <c r="R201" t="s">
        <v>29</v>
      </c>
      <c r="S201" t="s">
        <v>29</v>
      </c>
      <c r="T201" t="s">
        <v>29</v>
      </c>
      <c r="U201" t="s">
        <v>29</v>
      </c>
      <c r="W201" t="s">
        <v>29</v>
      </c>
    </row>
    <row r="202" spans="1:24">
      <c r="A202" t="s">
        <v>893</v>
      </c>
      <c r="B202" s="2">
        <v>44068</v>
      </c>
      <c r="C202" t="s">
        <v>42</v>
      </c>
      <c r="D202" s="2">
        <v>44069</v>
      </c>
      <c r="E202" s="2">
        <v>44085</v>
      </c>
      <c r="F202" s="2">
        <v>44070</v>
      </c>
      <c r="G202" t="s">
        <v>894</v>
      </c>
      <c r="H202" t="s">
        <v>27</v>
      </c>
      <c r="J202">
        <v>2678721</v>
      </c>
      <c r="K202" t="s">
        <v>68</v>
      </c>
      <c r="L202" t="s">
        <v>29</v>
      </c>
      <c r="M202" t="s">
        <v>895</v>
      </c>
      <c r="N202" t="s">
        <v>31</v>
      </c>
      <c r="O202" t="s">
        <v>47</v>
      </c>
      <c r="P202" t="s">
        <v>75</v>
      </c>
      <c r="Q202" t="s">
        <v>896</v>
      </c>
      <c r="R202" t="s">
        <v>29</v>
      </c>
      <c r="S202" t="s">
        <v>29</v>
      </c>
      <c r="T202" t="s">
        <v>29</v>
      </c>
      <c r="U202" t="s">
        <v>29</v>
      </c>
      <c r="W202" t="s">
        <v>29</v>
      </c>
      <c r="X202" t="s">
        <v>29</v>
      </c>
    </row>
    <row r="203" spans="1:24">
      <c r="A203" t="s">
        <v>897</v>
      </c>
      <c r="B203" s="2">
        <v>44068</v>
      </c>
      <c r="C203" t="s">
        <v>42</v>
      </c>
      <c r="D203" s="2">
        <v>44069</v>
      </c>
      <c r="E203" s="2">
        <v>44104</v>
      </c>
      <c r="F203" s="2">
        <v>44070</v>
      </c>
      <c r="G203" t="s">
        <v>898</v>
      </c>
      <c r="H203" t="s">
        <v>27</v>
      </c>
      <c r="J203">
        <v>4135443</v>
      </c>
      <c r="K203" t="s">
        <v>68</v>
      </c>
      <c r="L203" t="s">
        <v>29</v>
      </c>
      <c r="M203" t="s">
        <v>899</v>
      </c>
      <c r="N203" t="s">
        <v>31</v>
      </c>
      <c r="O203" t="s">
        <v>47</v>
      </c>
      <c r="P203" t="s">
        <v>48</v>
      </c>
      <c r="Q203" t="s">
        <v>900</v>
      </c>
      <c r="R203" t="s">
        <v>29</v>
      </c>
      <c r="S203" t="s">
        <v>34</v>
      </c>
      <c r="T203" t="s">
        <v>29</v>
      </c>
      <c r="U203" t="s">
        <v>29</v>
      </c>
      <c r="W203" t="s">
        <v>29</v>
      </c>
      <c r="X203" t="s">
        <v>29</v>
      </c>
    </row>
    <row r="204" spans="1:24">
      <c r="A204" t="s">
        <v>901</v>
      </c>
      <c r="B204" s="2">
        <v>44069</v>
      </c>
      <c r="C204" t="s">
        <v>66</v>
      </c>
      <c r="D204" s="2">
        <v>44071</v>
      </c>
      <c r="E204" s="2">
        <v>44092</v>
      </c>
      <c r="F204" s="2">
        <v>44081</v>
      </c>
      <c r="G204" t="s">
        <v>902</v>
      </c>
      <c r="H204" t="s">
        <v>27</v>
      </c>
      <c r="J204">
        <v>300000</v>
      </c>
      <c r="K204" t="s">
        <v>903</v>
      </c>
      <c r="L204" t="s">
        <v>29</v>
      </c>
      <c r="M204" t="s">
        <v>904</v>
      </c>
      <c r="N204" t="s">
        <v>62</v>
      </c>
      <c r="O204" t="s">
        <v>32</v>
      </c>
      <c r="P204" t="s">
        <v>33</v>
      </c>
      <c r="Q204" t="s">
        <v>905</v>
      </c>
      <c r="R204" t="s">
        <v>29</v>
      </c>
      <c r="S204" t="s">
        <v>29</v>
      </c>
      <c r="T204" t="s">
        <v>29</v>
      </c>
      <c r="U204" t="s">
        <v>29</v>
      </c>
      <c r="W204" t="s">
        <v>906</v>
      </c>
      <c r="X204" t="s">
        <v>29</v>
      </c>
    </row>
    <row r="205" spans="1:24">
      <c r="A205" t="s">
        <v>907</v>
      </c>
      <c r="B205" s="2">
        <v>44069</v>
      </c>
      <c r="C205" t="s">
        <v>42</v>
      </c>
      <c r="D205" s="2">
        <v>44070</v>
      </c>
      <c r="E205" s="2">
        <v>44104</v>
      </c>
      <c r="G205" t="s">
        <v>156</v>
      </c>
      <c r="H205" t="s">
        <v>73</v>
      </c>
      <c r="J205">
        <v>400</v>
      </c>
      <c r="K205" t="s">
        <v>37</v>
      </c>
      <c r="L205" t="s">
        <v>29</v>
      </c>
      <c r="M205" t="s">
        <v>157</v>
      </c>
      <c r="N205" t="s">
        <v>31</v>
      </c>
      <c r="O205" t="s">
        <v>47</v>
      </c>
      <c r="P205" t="s">
        <v>158</v>
      </c>
      <c r="Q205" t="s">
        <v>119</v>
      </c>
      <c r="R205" t="s">
        <v>111</v>
      </c>
      <c r="S205" t="s">
        <v>120</v>
      </c>
      <c r="T205" t="s">
        <v>111</v>
      </c>
      <c r="U205" t="s">
        <v>112</v>
      </c>
      <c r="V205" t="s">
        <v>908</v>
      </c>
      <c r="W205" t="s">
        <v>29</v>
      </c>
    </row>
    <row r="206" spans="1:24">
      <c r="A206" t="s">
        <v>909</v>
      </c>
      <c r="B206" s="2">
        <v>44070</v>
      </c>
      <c r="C206" t="s">
        <v>66</v>
      </c>
      <c r="D206" s="2">
        <v>44071</v>
      </c>
      <c r="E206" s="2">
        <v>44134</v>
      </c>
      <c r="F206" s="2">
        <v>44109</v>
      </c>
      <c r="G206" t="s">
        <v>540</v>
      </c>
      <c r="H206" t="s">
        <v>252</v>
      </c>
      <c r="I206" t="s">
        <v>910</v>
      </c>
      <c r="J206">
        <v>0</v>
      </c>
      <c r="K206" t="s">
        <v>911</v>
      </c>
      <c r="L206" t="s">
        <v>29</v>
      </c>
      <c r="M206" t="s">
        <v>912</v>
      </c>
      <c r="N206" t="s">
        <v>544</v>
      </c>
      <c r="O206" t="s">
        <v>545</v>
      </c>
      <c r="P206" t="s">
        <v>913</v>
      </c>
      <c r="Q206" t="s">
        <v>29</v>
      </c>
      <c r="R206" t="s">
        <v>29</v>
      </c>
      <c r="S206" t="s">
        <v>914</v>
      </c>
      <c r="T206" t="s">
        <v>915</v>
      </c>
      <c r="U206" t="s">
        <v>29</v>
      </c>
      <c r="W206" t="s">
        <v>916</v>
      </c>
      <c r="X206" t="s">
        <v>29</v>
      </c>
    </row>
    <row r="207" spans="1:24">
      <c r="A207" t="s">
        <v>917</v>
      </c>
      <c r="B207" s="2">
        <v>44071</v>
      </c>
      <c r="C207" t="s">
        <v>66</v>
      </c>
      <c r="D207" s="2">
        <v>44078</v>
      </c>
      <c r="E207" s="2">
        <v>44092</v>
      </c>
      <c r="F207" s="2">
        <v>44081</v>
      </c>
      <c r="G207" t="s">
        <v>918</v>
      </c>
      <c r="H207" t="s">
        <v>27</v>
      </c>
      <c r="J207">
        <v>34000</v>
      </c>
      <c r="K207" t="s">
        <v>903</v>
      </c>
      <c r="L207" t="s">
        <v>29</v>
      </c>
      <c r="M207" t="s">
        <v>904</v>
      </c>
      <c r="N207" t="s">
        <v>62</v>
      </c>
      <c r="O207" t="s">
        <v>32</v>
      </c>
      <c r="P207" t="s">
        <v>33</v>
      </c>
      <c r="Q207" t="s">
        <v>34</v>
      </c>
      <c r="R207" t="s">
        <v>29</v>
      </c>
      <c r="S207" t="s">
        <v>29</v>
      </c>
      <c r="T207" t="s">
        <v>29</v>
      </c>
      <c r="U207" t="s">
        <v>29</v>
      </c>
      <c r="W207" t="s">
        <v>29</v>
      </c>
      <c r="X207" t="s">
        <v>29</v>
      </c>
    </row>
    <row r="208" spans="1:24">
      <c r="A208" t="s">
        <v>919</v>
      </c>
      <c r="B208" s="2">
        <v>44074</v>
      </c>
      <c r="C208" t="s">
        <v>42</v>
      </c>
      <c r="D208" s="2">
        <v>44076</v>
      </c>
      <c r="E208" s="2">
        <v>44083</v>
      </c>
      <c r="F208" s="2">
        <v>44076</v>
      </c>
      <c r="G208" t="s">
        <v>920</v>
      </c>
      <c r="H208" t="s">
        <v>54</v>
      </c>
      <c r="J208">
        <v>0</v>
      </c>
      <c r="K208" t="s">
        <v>780</v>
      </c>
      <c r="L208" t="s">
        <v>29</v>
      </c>
      <c r="M208" t="s">
        <v>921</v>
      </c>
      <c r="N208" t="s">
        <v>31</v>
      </c>
      <c r="O208" t="s">
        <v>128</v>
      </c>
      <c r="P208" t="s">
        <v>129</v>
      </c>
      <c r="Q208" t="s">
        <v>130</v>
      </c>
      <c r="R208" t="s">
        <v>29</v>
      </c>
      <c r="S208" t="s">
        <v>29</v>
      </c>
      <c r="T208" t="s">
        <v>29</v>
      </c>
      <c r="U208" t="s">
        <v>29</v>
      </c>
      <c r="W208" t="s">
        <v>29</v>
      </c>
      <c r="X208" t="s">
        <v>29</v>
      </c>
    </row>
    <row r="209" spans="1:24">
      <c r="A209" t="s">
        <v>922</v>
      </c>
      <c r="B209" s="2">
        <v>44074</v>
      </c>
      <c r="C209" t="s">
        <v>42</v>
      </c>
      <c r="D209" s="2">
        <v>44076</v>
      </c>
      <c r="E209" s="2">
        <v>44286</v>
      </c>
      <c r="G209" t="s">
        <v>923</v>
      </c>
      <c r="H209" t="s">
        <v>116</v>
      </c>
      <c r="I209" t="s">
        <v>924</v>
      </c>
      <c r="J209">
        <v>0</v>
      </c>
      <c r="K209" t="s">
        <v>925</v>
      </c>
      <c r="L209" t="s">
        <v>29</v>
      </c>
      <c r="M209" t="s">
        <v>925</v>
      </c>
      <c r="N209" t="s">
        <v>925</v>
      </c>
      <c r="O209" t="s">
        <v>264</v>
      </c>
      <c r="P209" t="s">
        <v>850</v>
      </c>
      <c r="Q209" t="s">
        <v>29</v>
      </c>
      <c r="R209" t="s">
        <v>29</v>
      </c>
      <c r="S209" t="s">
        <v>170</v>
      </c>
      <c r="T209" t="s">
        <v>926</v>
      </c>
      <c r="U209" t="s">
        <v>29</v>
      </c>
      <c r="W209" t="s">
        <v>29</v>
      </c>
    </row>
    <row r="210" spans="1:24">
      <c r="A210" t="s">
        <v>927</v>
      </c>
      <c r="B210" s="2">
        <v>44075</v>
      </c>
      <c r="C210" t="s">
        <v>66</v>
      </c>
      <c r="D210" s="2">
        <v>44078</v>
      </c>
      <c r="E210" s="2">
        <v>44099</v>
      </c>
      <c r="F210" s="2">
        <v>44083</v>
      </c>
      <c r="G210" t="s">
        <v>928</v>
      </c>
      <c r="H210" t="s">
        <v>27</v>
      </c>
      <c r="J210">
        <v>120000</v>
      </c>
      <c r="K210" t="s">
        <v>68</v>
      </c>
      <c r="L210" t="s">
        <v>29</v>
      </c>
      <c r="M210" t="s">
        <v>929</v>
      </c>
      <c r="N210" t="s">
        <v>31</v>
      </c>
      <c r="O210" t="s">
        <v>47</v>
      </c>
      <c r="P210" t="s">
        <v>48</v>
      </c>
      <c r="Q210" t="s">
        <v>29</v>
      </c>
      <c r="R210" t="s">
        <v>29</v>
      </c>
      <c r="S210" t="s">
        <v>34</v>
      </c>
      <c r="T210" t="s">
        <v>29</v>
      </c>
      <c r="U210" t="s">
        <v>29</v>
      </c>
      <c r="W210" t="s">
        <v>29</v>
      </c>
      <c r="X210" t="s">
        <v>29</v>
      </c>
    </row>
    <row r="211" spans="1:24">
      <c r="A211" t="s">
        <v>930</v>
      </c>
      <c r="B211" s="2">
        <v>44075</v>
      </c>
      <c r="C211" t="s">
        <v>66</v>
      </c>
      <c r="D211" s="2">
        <v>44078</v>
      </c>
      <c r="E211" s="2">
        <v>44099</v>
      </c>
      <c r="F211" s="2">
        <v>44078</v>
      </c>
      <c r="G211" t="s">
        <v>931</v>
      </c>
      <c r="H211" t="s">
        <v>54</v>
      </c>
      <c r="J211">
        <v>0</v>
      </c>
      <c r="K211" t="s">
        <v>222</v>
      </c>
      <c r="L211" t="s">
        <v>29</v>
      </c>
      <c r="M211" t="s">
        <v>281</v>
      </c>
      <c r="N211" t="s">
        <v>31</v>
      </c>
      <c r="O211" t="s">
        <v>32</v>
      </c>
      <c r="P211" t="s">
        <v>33</v>
      </c>
      <c r="Q211" t="s">
        <v>932</v>
      </c>
      <c r="R211" t="s">
        <v>29</v>
      </c>
      <c r="S211" t="s">
        <v>29</v>
      </c>
      <c r="T211" t="s">
        <v>29</v>
      </c>
      <c r="U211" t="s">
        <v>29</v>
      </c>
      <c r="W211" t="s">
        <v>29</v>
      </c>
      <c r="X211" t="s">
        <v>29</v>
      </c>
    </row>
    <row r="212" spans="1:24">
      <c r="A212" t="s">
        <v>933</v>
      </c>
      <c r="B212" s="2">
        <v>44076</v>
      </c>
      <c r="C212" t="s">
        <v>42</v>
      </c>
      <c r="D212" s="2">
        <v>44078</v>
      </c>
      <c r="E212" s="2">
        <v>44089</v>
      </c>
      <c r="F212" s="2">
        <v>44082</v>
      </c>
      <c r="G212" t="s">
        <v>934</v>
      </c>
      <c r="H212" t="s">
        <v>116</v>
      </c>
      <c r="I212" t="s">
        <v>935</v>
      </c>
      <c r="J212">
        <v>0</v>
      </c>
      <c r="K212" t="s">
        <v>44</v>
      </c>
      <c r="L212" t="s">
        <v>29</v>
      </c>
      <c r="M212" t="s">
        <v>936</v>
      </c>
      <c r="N212" t="s">
        <v>31</v>
      </c>
      <c r="O212" t="s">
        <v>47</v>
      </c>
      <c r="P212" t="s">
        <v>48</v>
      </c>
      <c r="Q212" t="s">
        <v>49</v>
      </c>
      <c r="R212" t="s">
        <v>111</v>
      </c>
      <c r="S212" t="s">
        <v>937</v>
      </c>
      <c r="T212" t="s">
        <v>111</v>
      </c>
      <c r="U212" t="s">
        <v>112</v>
      </c>
      <c r="V212" t="s">
        <v>938</v>
      </c>
      <c r="W212" t="s">
        <v>29</v>
      </c>
      <c r="X212" t="s">
        <v>29</v>
      </c>
    </row>
    <row r="213" spans="1:24">
      <c r="A213" t="s">
        <v>939</v>
      </c>
      <c r="B213" s="2">
        <v>44077</v>
      </c>
      <c r="C213" t="s">
        <v>66</v>
      </c>
      <c r="D213" s="2">
        <v>44081</v>
      </c>
      <c r="E213" s="2">
        <v>44104</v>
      </c>
      <c r="F213" s="2">
        <v>44084</v>
      </c>
      <c r="G213" t="s">
        <v>940</v>
      </c>
      <c r="H213" t="s">
        <v>54</v>
      </c>
      <c r="J213">
        <v>0</v>
      </c>
      <c r="K213" t="s">
        <v>44</v>
      </c>
      <c r="L213" t="s">
        <v>29</v>
      </c>
      <c r="M213" t="s">
        <v>941</v>
      </c>
      <c r="N213" t="s">
        <v>31</v>
      </c>
      <c r="O213" t="s">
        <v>47</v>
      </c>
      <c r="P213" t="s">
        <v>621</v>
      </c>
      <c r="Q213" t="s">
        <v>942</v>
      </c>
      <c r="R213" t="s">
        <v>29</v>
      </c>
      <c r="S213" t="s">
        <v>29</v>
      </c>
      <c r="T213" t="s">
        <v>29</v>
      </c>
      <c r="U213" t="s">
        <v>29</v>
      </c>
      <c r="W213" t="s">
        <v>29</v>
      </c>
      <c r="X213" t="s">
        <v>29</v>
      </c>
    </row>
    <row r="214" spans="1:24">
      <c r="A214" t="s">
        <v>943</v>
      </c>
      <c r="B214" s="2">
        <v>44077</v>
      </c>
      <c r="C214" t="s">
        <v>42</v>
      </c>
      <c r="D214" s="2">
        <v>44081</v>
      </c>
      <c r="E214" s="2">
        <v>44088</v>
      </c>
      <c r="F214" s="2">
        <v>44081</v>
      </c>
      <c r="G214" t="s">
        <v>517</v>
      </c>
      <c r="H214" t="s">
        <v>27</v>
      </c>
      <c r="J214">
        <v>645910</v>
      </c>
      <c r="K214" t="s">
        <v>37</v>
      </c>
      <c r="L214" t="s">
        <v>29</v>
      </c>
      <c r="M214" t="s">
        <v>518</v>
      </c>
      <c r="N214" t="s">
        <v>519</v>
      </c>
      <c r="O214" t="s">
        <v>128</v>
      </c>
      <c r="P214" t="s">
        <v>129</v>
      </c>
      <c r="Q214" t="s">
        <v>130</v>
      </c>
      <c r="R214" t="s">
        <v>29</v>
      </c>
      <c r="S214" t="s">
        <v>34</v>
      </c>
      <c r="T214" t="s">
        <v>29</v>
      </c>
      <c r="U214" t="s">
        <v>50</v>
      </c>
      <c r="V214" t="s">
        <v>944</v>
      </c>
      <c r="W214" t="s">
        <v>29</v>
      </c>
      <c r="X214" t="s">
        <v>29</v>
      </c>
    </row>
    <row r="215" spans="1:24">
      <c r="A215" t="s">
        <v>945</v>
      </c>
      <c r="B215" s="2">
        <v>44077</v>
      </c>
      <c r="C215" t="s">
        <v>42</v>
      </c>
      <c r="D215" s="2">
        <v>44105</v>
      </c>
      <c r="E215" s="2">
        <v>44165</v>
      </c>
      <c r="G215" t="s">
        <v>136</v>
      </c>
      <c r="H215" t="s">
        <v>27</v>
      </c>
      <c r="J215">
        <v>600000</v>
      </c>
      <c r="K215" t="s">
        <v>37</v>
      </c>
      <c r="L215" t="s">
        <v>29</v>
      </c>
      <c r="M215" t="s">
        <v>137</v>
      </c>
      <c r="N215" t="s">
        <v>946</v>
      </c>
      <c r="O215" t="s">
        <v>139</v>
      </c>
      <c r="P215" t="s">
        <v>140</v>
      </c>
      <c r="Q215" t="s">
        <v>947</v>
      </c>
      <c r="R215" t="s">
        <v>29</v>
      </c>
      <c r="S215" t="s">
        <v>29</v>
      </c>
      <c r="T215" t="s">
        <v>29</v>
      </c>
      <c r="U215" t="s">
        <v>50</v>
      </c>
      <c r="V215" t="s">
        <v>948</v>
      </c>
      <c r="W215" t="s">
        <v>29</v>
      </c>
    </row>
    <row r="216" spans="1:24">
      <c r="A216" t="s">
        <v>949</v>
      </c>
      <c r="B216" s="2">
        <v>44078</v>
      </c>
      <c r="C216" t="s">
        <v>66</v>
      </c>
      <c r="D216" s="2">
        <v>44105</v>
      </c>
      <c r="E216" s="2">
        <v>44286</v>
      </c>
      <c r="G216" t="s">
        <v>258</v>
      </c>
      <c r="H216" t="s">
        <v>259</v>
      </c>
      <c r="I216" t="s">
        <v>260</v>
      </c>
      <c r="J216">
        <v>0</v>
      </c>
      <c r="K216" t="s">
        <v>246</v>
      </c>
      <c r="L216" t="s">
        <v>261</v>
      </c>
      <c r="M216" t="s">
        <v>262</v>
      </c>
      <c r="N216" t="s">
        <v>263</v>
      </c>
      <c r="O216" t="s">
        <v>264</v>
      </c>
      <c r="P216" t="s">
        <v>265</v>
      </c>
      <c r="Q216" t="s">
        <v>29</v>
      </c>
      <c r="R216" t="s">
        <v>29</v>
      </c>
      <c r="S216" t="s">
        <v>950</v>
      </c>
      <c r="T216" t="s">
        <v>29</v>
      </c>
      <c r="U216" t="s">
        <v>29</v>
      </c>
      <c r="W216" t="s">
        <v>29</v>
      </c>
    </row>
    <row r="217" spans="1:24">
      <c r="A217" t="s">
        <v>951</v>
      </c>
      <c r="B217" s="2">
        <v>44081</v>
      </c>
      <c r="C217" t="s">
        <v>42</v>
      </c>
      <c r="D217" s="2">
        <v>44084</v>
      </c>
      <c r="E217" s="2">
        <v>44098</v>
      </c>
      <c r="F217" s="2">
        <v>44085</v>
      </c>
      <c r="G217" t="s">
        <v>952</v>
      </c>
      <c r="H217" t="s">
        <v>54</v>
      </c>
      <c r="J217">
        <v>0</v>
      </c>
      <c r="K217" t="s">
        <v>37</v>
      </c>
      <c r="L217" t="s">
        <v>29</v>
      </c>
      <c r="M217" t="s">
        <v>417</v>
      </c>
      <c r="N217" t="s">
        <v>31</v>
      </c>
      <c r="O217" t="s">
        <v>596</v>
      </c>
      <c r="P217" t="s">
        <v>597</v>
      </c>
      <c r="Q217" t="s">
        <v>34</v>
      </c>
      <c r="R217" t="s">
        <v>29</v>
      </c>
      <c r="S217" t="s">
        <v>29</v>
      </c>
      <c r="T217" t="s">
        <v>29</v>
      </c>
      <c r="U217" t="s">
        <v>29</v>
      </c>
      <c r="W217" t="s">
        <v>29</v>
      </c>
      <c r="X217" t="s">
        <v>29</v>
      </c>
    </row>
    <row r="218" spans="1:24">
      <c r="A218" t="s">
        <v>953</v>
      </c>
      <c r="B218" s="2">
        <v>44082</v>
      </c>
      <c r="C218" t="s">
        <v>42</v>
      </c>
      <c r="D218" s="2">
        <v>44083</v>
      </c>
      <c r="E218" s="2">
        <v>44104</v>
      </c>
      <c r="F218" s="2">
        <v>44083</v>
      </c>
      <c r="G218" t="s">
        <v>579</v>
      </c>
      <c r="H218" t="s">
        <v>54</v>
      </c>
      <c r="J218">
        <v>0</v>
      </c>
      <c r="K218" t="s">
        <v>44</v>
      </c>
      <c r="L218" t="s">
        <v>29</v>
      </c>
      <c r="M218" t="s">
        <v>55</v>
      </c>
      <c r="N218" t="s">
        <v>31</v>
      </c>
      <c r="O218" t="s">
        <v>47</v>
      </c>
      <c r="P218" t="s">
        <v>48</v>
      </c>
      <c r="Q218" t="s">
        <v>49</v>
      </c>
      <c r="R218" t="s">
        <v>111</v>
      </c>
      <c r="S218" t="s">
        <v>29</v>
      </c>
      <c r="T218" t="s">
        <v>29</v>
      </c>
      <c r="U218" t="s">
        <v>112</v>
      </c>
      <c r="V218" t="s">
        <v>954</v>
      </c>
      <c r="W218" t="s">
        <v>29</v>
      </c>
      <c r="X218" t="s">
        <v>29</v>
      </c>
    </row>
    <row r="219" spans="1:24">
      <c r="A219" t="s">
        <v>955</v>
      </c>
      <c r="B219" s="2">
        <v>44082</v>
      </c>
      <c r="C219" t="s">
        <v>42</v>
      </c>
      <c r="D219" s="2">
        <v>44068</v>
      </c>
      <c r="E219" s="2">
        <v>44068</v>
      </c>
      <c r="G219" t="s">
        <v>956</v>
      </c>
      <c r="H219" t="s">
        <v>27</v>
      </c>
      <c r="J219">
        <v>64782755</v>
      </c>
      <c r="K219" t="s">
        <v>222</v>
      </c>
      <c r="L219" t="s">
        <v>532</v>
      </c>
      <c r="M219" t="s">
        <v>957</v>
      </c>
      <c r="N219" t="s">
        <v>958</v>
      </c>
      <c r="O219" t="s">
        <v>191</v>
      </c>
      <c r="P219" t="s">
        <v>217</v>
      </c>
      <c r="Q219" t="s">
        <v>959</v>
      </c>
      <c r="R219" t="s">
        <v>29</v>
      </c>
      <c r="S219" t="s">
        <v>960</v>
      </c>
      <c r="T219" t="s">
        <v>29</v>
      </c>
      <c r="U219" t="s">
        <v>50</v>
      </c>
      <c r="V219" t="s">
        <v>961</v>
      </c>
      <c r="W219" t="s">
        <v>29</v>
      </c>
    </row>
    <row r="220" spans="1:24">
      <c r="A220" t="s">
        <v>962</v>
      </c>
      <c r="B220" s="2">
        <v>44083</v>
      </c>
      <c r="C220" t="s">
        <v>42</v>
      </c>
      <c r="D220" s="2">
        <v>44084</v>
      </c>
      <c r="E220" s="2">
        <v>44196</v>
      </c>
      <c r="F220" s="2">
        <v>44084</v>
      </c>
      <c r="G220" t="s">
        <v>963</v>
      </c>
      <c r="H220" t="s">
        <v>494</v>
      </c>
      <c r="J220">
        <v>3200000</v>
      </c>
      <c r="K220" t="s">
        <v>44</v>
      </c>
      <c r="L220" t="s">
        <v>29</v>
      </c>
      <c r="M220" t="s">
        <v>495</v>
      </c>
      <c r="N220" t="s">
        <v>964</v>
      </c>
      <c r="O220" t="s">
        <v>191</v>
      </c>
      <c r="P220" t="s">
        <v>497</v>
      </c>
      <c r="Q220" t="s">
        <v>170</v>
      </c>
      <c r="R220" t="s">
        <v>29</v>
      </c>
      <c r="S220" t="s">
        <v>29</v>
      </c>
      <c r="T220" t="s">
        <v>29</v>
      </c>
      <c r="U220" t="s">
        <v>29</v>
      </c>
      <c r="W220" t="s">
        <v>29</v>
      </c>
      <c r="X220" t="s">
        <v>29</v>
      </c>
    </row>
    <row r="221" spans="1:24">
      <c r="A221" t="s">
        <v>965</v>
      </c>
      <c r="B221" s="2">
        <v>44084</v>
      </c>
      <c r="C221" t="s">
        <v>42</v>
      </c>
      <c r="D221" s="2">
        <v>44092</v>
      </c>
      <c r="E221" s="2">
        <v>44134</v>
      </c>
      <c r="F221" s="2">
        <v>44099</v>
      </c>
      <c r="G221" t="s">
        <v>966</v>
      </c>
      <c r="H221" t="s">
        <v>494</v>
      </c>
      <c r="J221">
        <v>0</v>
      </c>
      <c r="K221" t="s">
        <v>222</v>
      </c>
      <c r="L221" t="s">
        <v>542</v>
      </c>
      <c r="M221" t="s">
        <v>967</v>
      </c>
      <c r="N221" t="s">
        <v>31</v>
      </c>
      <c r="O221" t="s">
        <v>408</v>
      </c>
      <c r="P221" t="s">
        <v>968</v>
      </c>
      <c r="Q221" t="s">
        <v>969</v>
      </c>
      <c r="R221" t="s">
        <v>29</v>
      </c>
      <c r="S221" t="s">
        <v>29</v>
      </c>
      <c r="T221" t="s">
        <v>29</v>
      </c>
      <c r="U221" t="s">
        <v>29</v>
      </c>
      <c r="W221" t="s">
        <v>29</v>
      </c>
      <c r="X221" t="s">
        <v>29</v>
      </c>
    </row>
    <row r="222" spans="1:24">
      <c r="A222" t="s">
        <v>970</v>
      </c>
      <c r="B222" s="2">
        <v>44085</v>
      </c>
      <c r="C222" t="s">
        <v>42</v>
      </c>
      <c r="D222" s="2">
        <v>44085</v>
      </c>
      <c r="E222" s="2">
        <v>44092</v>
      </c>
      <c r="G222" t="s">
        <v>971</v>
      </c>
      <c r="H222" t="s">
        <v>27</v>
      </c>
      <c r="J222">
        <v>250000</v>
      </c>
      <c r="K222" t="s">
        <v>68</v>
      </c>
      <c r="L222" t="s">
        <v>29</v>
      </c>
      <c r="M222" t="s">
        <v>972</v>
      </c>
      <c r="N222" t="s">
        <v>31</v>
      </c>
      <c r="O222" t="s">
        <v>47</v>
      </c>
      <c r="P222" t="s">
        <v>48</v>
      </c>
      <c r="Q222" t="s">
        <v>973</v>
      </c>
      <c r="R222" t="s">
        <v>29</v>
      </c>
      <c r="S222" t="s">
        <v>34</v>
      </c>
      <c r="T222" t="s">
        <v>29</v>
      </c>
      <c r="U222" t="s">
        <v>29</v>
      </c>
      <c r="W222" t="s">
        <v>974</v>
      </c>
    </row>
    <row r="223" spans="1:24">
      <c r="A223" t="s">
        <v>975</v>
      </c>
      <c r="B223" s="2">
        <v>44085</v>
      </c>
      <c r="C223" t="s">
        <v>42</v>
      </c>
      <c r="D223" s="2">
        <v>44092</v>
      </c>
      <c r="E223" s="2">
        <v>44134</v>
      </c>
      <c r="G223" t="s">
        <v>976</v>
      </c>
      <c r="H223" t="s">
        <v>27</v>
      </c>
      <c r="J223">
        <v>410000</v>
      </c>
      <c r="K223" t="s">
        <v>83</v>
      </c>
      <c r="L223" t="s">
        <v>29</v>
      </c>
      <c r="M223" t="s">
        <v>647</v>
      </c>
      <c r="N223" t="s">
        <v>31</v>
      </c>
      <c r="O223" t="s">
        <v>47</v>
      </c>
      <c r="P223" t="s">
        <v>48</v>
      </c>
      <c r="Q223" t="s">
        <v>49</v>
      </c>
      <c r="R223" t="s">
        <v>81</v>
      </c>
      <c r="S223" t="s">
        <v>29</v>
      </c>
      <c r="T223" t="s">
        <v>29</v>
      </c>
      <c r="U223" t="s">
        <v>29</v>
      </c>
      <c r="W223" t="s">
        <v>29</v>
      </c>
    </row>
    <row r="224" spans="1:24">
      <c r="A224" t="s">
        <v>977</v>
      </c>
      <c r="B224" s="2">
        <v>44085</v>
      </c>
      <c r="C224" t="s">
        <v>42</v>
      </c>
      <c r="D224" s="2">
        <v>44089</v>
      </c>
      <c r="E224" s="2">
        <v>44104</v>
      </c>
      <c r="G224" t="s">
        <v>978</v>
      </c>
      <c r="H224" t="s">
        <v>54</v>
      </c>
      <c r="J224">
        <v>0</v>
      </c>
      <c r="K224" t="s">
        <v>68</v>
      </c>
      <c r="L224" t="s">
        <v>29</v>
      </c>
      <c r="M224" t="s">
        <v>979</v>
      </c>
      <c r="N224" t="s">
        <v>31</v>
      </c>
      <c r="O224" t="s">
        <v>47</v>
      </c>
      <c r="P224" t="s">
        <v>48</v>
      </c>
      <c r="Q224" t="s">
        <v>980</v>
      </c>
      <c r="R224" t="s">
        <v>29</v>
      </c>
      <c r="S224" t="s">
        <v>34</v>
      </c>
      <c r="T224" t="s">
        <v>29</v>
      </c>
      <c r="U224" t="s">
        <v>29</v>
      </c>
      <c r="W224" t="s">
        <v>29</v>
      </c>
    </row>
    <row r="225" spans="1:24">
      <c r="A225" t="s">
        <v>981</v>
      </c>
      <c r="B225" s="2">
        <v>44085</v>
      </c>
      <c r="C225" t="s">
        <v>42</v>
      </c>
      <c r="D225" s="2">
        <v>44089</v>
      </c>
      <c r="E225" s="2">
        <v>44104</v>
      </c>
      <c r="F225" t="s">
        <v>187</v>
      </c>
      <c r="G225" t="s">
        <v>982</v>
      </c>
      <c r="H225" t="s">
        <v>54</v>
      </c>
      <c r="J225">
        <v>0</v>
      </c>
      <c r="K225" t="s">
        <v>68</v>
      </c>
      <c r="L225" t="s">
        <v>29</v>
      </c>
      <c r="M225" t="s">
        <v>899</v>
      </c>
      <c r="N225" t="s">
        <v>31</v>
      </c>
      <c r="O225" t="s">
        <v>47</v>
      </c>
      <c r="P225" t="s">
        <v>48</v>
      </c>
      <c r="Q225" t="s">
        <v>34</v>
      </c>
      <c r="R225" t="s">
        <v>29</v>
      </c>
      <c r="S225" t="s">
        <v>29</v>
      </c>
      <c r="T225" t="s">
        <v>29</v>
      </c>
      <c r="U225" t="s">
        <v>29</v>
      </c>
      <c r="W225" t="s">
        <v>29</v>
      </c>
      <c r="X225" t="s">
        <v>29</v>
      </c>
    </row>
    <row r="226" spans="1:24">
      <c r="A226" t="s">
        <v>983</v>
      </c>
      <c r="B226" s="2">
        <v>44085</v>
      </c>
      <c r="C226" t="s">
        <v>66</v>
      </c>
      <c r="D226" s="2">
        <v>44090</v>
      </c>
      <c r="E226" s="2">
        <v>44104</v>
      </c>
      <c r="G226" t="s">
        <v>984</v>
      </c>
      <c r="H226" t="s">
        <v>27</v>
      </c>
      <c r="J226">
        <v>169408</v>
      </c>
      <c r="K226" t="s">
        <v>985</v>
      </c>
      <c r="L226" t="s">
        <v>29</v>
      </c>
      <c r="M226" t="s">
        <v>986</v>
      </c>
      <c r="N226" t="s">
        <v>31</v>
      </c>
      <c r="O226" t="s">
        <v>32</v>
      </c>
      <c r="P226" t="s">
        <v>33</v>
      </c>
      <c r="Q226" t="s">
        <v>34</v>
      </c>
      <c r="R226" t="s">
        <v>29</v>
      </c>
      <c r="S226" t="s">
        <v>29</v>
      </c>
      <c r="T226" t="s">
        <v>29</v>
      </c>
      <c r="U226" t="s">
        <v>29</v>
      </c>
      <c r="W226" t="s">
        <v>29</v>
      </c>
    </row>
    <row r="227" spans="1:24">
      <c r="A227" t="s">
        <v>987</v>
      </c>
      <c r="B227" s="2">
        <v>44088</v>
      </c>
      <c r="C227" t="s">
        <v>42</v>
      </c>
      <c r="D227" s="2">
        <v>44090</v>
      </c>
      <c r="E227" s="2">
        <v>44104</v>
      </c>
      <c r="G227" t="s">
        <v>982</v>
      </c>
      <c r="H227" t="s">
        <v>54</v>
      </c>
      <c r="J227">
        <v>0</v>
      </c>
      <c r="K227" t="s">
        <v>68</v>
      </c>
      <c r="L227" t="s">
        <v>29</v>
      </c>
      <c r="M227" t="s">
        <v>899</v>
      </c>
      <c r="N227" t="s">
        <v>31</v>
      </c>
      <c r="O227" t="s">
        <v>47</v>
      </c>
      <c r="P227" t="s">
        <v>48</v>
      </c>
      <c r="Q227" t="s">
        <v>34</v>
      </c>
      <c r="R227" t="s">
        <v>29</v>
      </c>
      <c r="S227" t="s">
        <v>29</v>
      </c>
      <c r="T227" t="s">
        <v>29</v>
      </c>
      <c r="U227" t="s">
        <v>29</v>
      </c>
      <c r="W227" t="s">
        <v>988</v>
      </c>
    </row>
    <row r="228" spans="1:24">
      <c r="A228" t="s">
        <v>989</v>
      </c>
      <c r="B228" s="2">
        <v>44088</v>
      </c>
      <c r="C228" t="s">
        <v>66</v>
      </c>
      <c r="D228" s="2">
        <v>44090</v>
      </c>
      <c r="E228" s="2">
        <v>44099</v>
      </c>
      <c r="F228" s="2">
        <v>44091</v>
      </c>
      <c r="G228" t="s">
        <v>990</v>
      </c>
      <c r="H228" t="s">
        <v>27</v>
      </c>
      <c r="J228">
        <v>767702</v>
      </c>
      <c r="K228" t="s">
        <v>68</v>
      </c>
      <c r="L228" t="s">
        <v>29</v>
      </c>
      <c r="M228" t="s">
        <v>991</v>
      </c>
      <c r="N228" t="s">
        <v>31</v>
      </c>
      <c r="O228" t="s">
        <v>47</v>
      </c>
      <c r="P228" t="s">
        <v>621</v>
      </c>
      <c r="Q228" t="s">
        <v>34</v>
      </c>
      <c r="R228" t="s">
        <v>29</v>
      </c>
      <c r="S228" t="s">
        <v>34</v>
      </c>
      <c r="T228" t="s">
        <v>29</v>
      </c>
      <c r="U228" t="s">
        <v>29</v>
      </c>
      <c r="W228" t="s">
        <v>29</v>
      </c>
      <c r="X228" t="s">
        <v>29</v>
      </c>
    </row>
    <row r="229" spans="1:24">
      <c r="A229" t="s">
        <v>992</v>
      </c>
      <c r="B229" s="2">
        <v>44088</v>
      </c>
      <c r="C229" t="s">
        <v>42</v>
      </c>
      <c r="D229" s="2">
        <v>44090</v>
      </c>
      <c r="E229" s="2">
        <v>44113</v>
      </c>
      <c r="F229" s="2">
        <v>44097</v>
      </c>
      <c r="G229" t="s">
        <v>993</v>
      </c>
      <c r="H229" t="s">
        <v>27</v>
      </c>
      <c r="J229">
        <v>1905000</v>
      </c>
      <c r="K229" t="s">
        <v>477</v>
      </c>
      <c r="L229" t="s">
        <v>29</v>
      </c>
      <c r="M229" t="s">
        <v>505</v>
      </c>
      <c r="N229" t="s">
        <v>31</v>
      </c>
      <c r="O229" t="s">
        <v>47</v>
      </c>
      <c r="P229" t="s">
        <v>75</v>
      </c>
      <c r="Q229" t="s">
        <v>994</v>
      </c>
      <c r="R229" t="s">
        <v>29</v>
      </c>
      <c r="S229" t="s">
        <v>442</v>
      </c>
      <c r="T229" t="s">
        <v>29</v>
      </c>
      <c r="U229" t="s">
        <v>29</v>
      </c>
      <c r="W229" t="s">
        <v>29</v>
      </c>
      <c r="X229" t="s">
        <v>29</v>
      </c>
    </row>
    <row r="230" spans="1:24">
      <c r="A230" t="s">
        <v>995</v>
      </c>
      <c r="B230" s="2">
        <v>44089</v>
      </c>
      <c r="C230" t="s">
        <v>42</v>
      </c>
      <c r="D230" s="2">
        <v>44097</v>
      </c>
      <c r="E230" s="2">
        <v>44134</v>
      </c>
      <c r="F230" s="2">
        <v>44099</v>
      </c>
      <c r="G230" t="s">
        <v>996</v>
      </c>
      <c r="H230" t="s">
        <v>73</v>
      </c>
      <c r="J230">
        <v>0</v>
      </c>
      <c r="K230" t="s">
        <v>222</v>
      </c>
      <c r="L230" t="s">
        <v>542</v>
      </c>
      <c r="M230" t="s">
        <v>967</v>
      </c>
      <c r="N230" t="s">
        <v>31</v>
      </c>
      <c r="O230" t="s">
        <v>408</v>
      </c>
      <c r="P230" t="s">
        <v>968</v>
      </c>
      <c r="Q230" t="s">
        <v>997</v>
      </c>
      <c r="R230" t="s">
        <v>29</v>
      </c>
      <c r="S230" t="s">
        <v>29</v>
      </c>
      <c r="T230" t="s">
        <v>29</v>
      </c>
      <c r="U230" t="s">
        <v>29</v>
      </c>
      <c r="W230" t="s">
        <v>29</v>
      </c>
      <c r="X230" t="s">
        <v>29</v>
      </c>
    </row>
    <row r="231" spans="1:24">
      <c r="A231" t="s">
        <v>998</v>
      </c>
      <c r="B231" s="2">
        <v>44090</v>
      </c>
      <c r="C231" t="s">
        <v>42</v>
      </c>
      <c r="D231" s="2">
        <v>44097</v>
      </c>
      <c r="E231" s="2">
        <v>44104</v>
      </c>
      <c r="F231" s="2">
        <v>44098</v>
      </c>
      <c r="G231" t="s">
        <v>517</v>
      </c>
      <c r="H231" t="s">
        <v>27</v>
      </c>
      <c r="J231">
        <v>166430</v>
      </c>
      <c r="K231" t="s">
        <v>999</v>
      </c>
      <c r="L231" t="s">
        <v>29</v>
      </c>
      <c r="M231" t="s">
        <v>1000</v>
      </c>
      <c r="N231" t="s">
        <v>31</v>
      </c>
      <c r="O231" t="s">
        <v>128</v>
      </c>
      <c r="P231" t="s">
        <v>129</v>
      </c>
      <c r="Q231" t="s">
        <v>130</v>
      </c>
      <c r="R231" t="s">
        <v>29</v>
      </c>
      <c r="S231" t="s">
        <v>34</v>
      </c>
      <c r="T231" t="s">
        <v>29</v>
      </c>
      <c r="U231" t="s">
        <v>29</v>
      </c>
      <c r="W231" t="s">
        <v>29</v>
      </c>
      <c r="X231" t="s">
        <v>29</v>
      </c>
    </row>
    <row r="232" spans="1:24">
      <c r="A232" t="s">
        <v>1001</v>
      </c>
      <c r="B232" s="2">
        <v>44091</v>
      </c>
      <c r="C232" t="s">
        <v>42</v>
      </c>
      <c r="D232" s="2">
        <v>44098</v>
      </c>
      <c r="E232" s="2">
        <v>44135</v>
      </c>
      <c r="G232" t="s">
        <v>1002</v>
      </c>
      <c r="H232" t="s">
        <v>54</v>
      </c>
      <c r="J232">
        <v>0</v>
      </c>
      <c r="K232" t="s">
        <v>44</v>
      </c>
      <c r="L232" t="s">
        <v>29</v>
      </c>
      <c r="M232" t="s">
        <v>146</v>
      </c>
      <c r="N232" t="s">
        <v>147</v>
      </c>
      <c r="O232" t="s">
        <v>47</v>
      </c>
      <c r="P232" t="s">
        <v>48</v>
      </c>
      <c r="Q232" t="s">
        <v>49</v>
      </c>
      <c r="R232" t="s">
        <v>111</v>
      </c>
      <c r="S232" t="s">
        <v>29</v>
      </c>
      <c r="T232" t="s">
        <v>29</v>
      </c>
      <c r="U232" t="s">
        <v>112</v>
      </c>
      <c r="V232" t="s">
        <v>1003</v>
      </c>
      <c r="W232" t="s">
        <v>29</v>
      </c>
    </row>
    <row r="233" spans="1:24">
      <c r="A233" t="s">
        <v>1004</v>
      </c>
      <c r="B233" s="2">
        <v>44091</v>
      </c>
      <c r="C233" t="s">
        <v>42</v>
      </c>
      <c r="D233" s="2">
        <v>44098</v>
      </c>
      <c r="E233" s="2">
        <v>44165</v>
      </c>
      <c r="G233" t="s">
        <v>458</v>
      </c>
      <c r="H233" t="s">
        <v>27</v>
      </c>
      <c r="J233">
        <v>3129750</v>
      </c>
      <c r="K233" t="s">
        <v>59</v>
      </c>
      <c r="L233" t="s">
        <v>29</v>
      </c>
      <c r="M233" t="s">
        <v>460</v>
      </c>
      <c r="N233" t="s">
        <v>461</v>
      </c>
      <c r="O233" t="s">
        <v>47</v>
      </c>
      <c r="P233" t="s">
        <v>48</v>
      </c>
      <c r="Q233" t="s">
        <v>49</v>
      </c>
      <c r="R233" t="s">
        <v>111</v>
      </c>
      <c r="S233" t="s">
        <v>29</v>
      </c>
      <c r="T233" t="s">
        <v>29</v>
      </c>
      <c r="U233" t="s">
        <v>112</v>
      </c>
      <c r="V233" t="s">
        <v>1005</v>
      </c>
      <c r="W233" t="s">
        <v>29</v>
      </c>
    </row>
    <row r="234" spans="1:24">
      <c r="A234" t="s">
        <v>1006</v>
      </c>
      <c r="B234" s="2">
        <v>44091</v>
      </c>
      <c r="D234" s="2">
        <v>44098</v>
      </c>
      <c r="E234" s="2">
        <v>44165</v>
      </c>
      <c r="G234" t="s">
        <v>1007</v>
      </c>
      <c r="H234" t="s">
        <v>27</v>
      </c>
      <c r="J234">
        <v>1070000</v>
      </c>
      <c r="K234" t="s">
        <v>222</v>
      </c>
      <c r="L234" t="s">
        <v>29</v>
      </c>
      <c r="M234" t="s">
        <v>1008</v>
      </c>
      <c r="N234" t="s">
        <v>31</v>
      </c>
      <c r="O234" t="s">
        <v>47</v>
      </c>
      <c r="P234" t="s">
        <v>48</v>
      </c>
      <c r="Q234" t="s">
        <v>49</v>
      </c>
      <c r="R234" t="s">
        <v>111</v>
      </c>
      <c r="S234" t="s">
        <v>29</v>
      </c>
      <c r="T234" t="s">
        <v>29</v>
      </c>
      <c r="U234" t="s">
        <v>112</v>
      </c>
      <c r="V234" t="s">
        <v>1009</v>
      </c>
      <c r="W234" t="s">
        <v>29</v>
      </c>
    </row>
    <row r="235" spans="1:24">
      <c r="A235" t="s">
        <v>1010</v>
      </c>
      <c r="B235" s="2">
        <v>44091</v>
      </c>
      <c r="C235" t="s">
        <v>66</v>
      </c>
      <c r="D235" s="2">
        <v>44098</v>
      </c>
      <c r="E235" s="2">
        <v>44104</v>
      </c>
      <c r="F235" s="2">
        <v>44098</v>
      </c>
      <c r="G235" t="s">
        <v>1011</v>
      </c>
      <c r="H235" t="s">
        <v>87</v>
      </c>
      <c r="J235">
        <v>0</v>
      </c>
      <c r="K235" t="s">
        <v>639</v>
      </c>
      <c r="L235" t="s">
        <v>29</v>
      </c>
      <c r="M235" t="s">
        <v>1012</v>
      </c>
      <c r="N235" t="s">
        <v>1013</v>
      </c>
      <c r="O235" t="s">
        <v>47</v>
      </c>
      <c r="P235" t="s">
        <v>621</v>
      </c>
      <c r="Q235" t="s">
        <v>1014</v>
      </c>
      <c r="R235" t="s">
        <v>29</v>
      </c>
      <c r="S235" t="s">
        <v>29</v>
      </c>
      <c r="T235" t="s">
        <v>29</v>
      </c>
      <c r="U235" t="s">
        <v>29</v>
      </c>
      <c r="W235" t="s">
        <v>29</v>
      </c>
      <c r="X235" t="s">
        <v>29</v>
      </c>
    </row>
    <row r="236" spans="1:24">
      <c r="A236" t="s">
        <v>1015</v>
      </c>
      <c r="B236" s="2">
        <v>44091</v>
      </c>
      <c r="C236" t="s">
        <v>42</v>
      </c>
      <c r="D236" s="2">
        <v>44097</v>
      </c>
      <c r="E236" s="2">
        <v>44111</v>
      </c>
      <c r="G236" t="s">
        <v>283</v>
      </c>
      <c r="H236" t="s">
        <v>27</v>
      </c>
      <c r="J236">
        <v>24000</v>
      </c>
      <c r="K236" t="s">
        <v>68</v>
      </c>
      <c r="L236" t="s">
        <v>29</v>
      </c>
      <c r="M236" t="s">
        <v>133</v>
      </c>
      <c r="N236" t="s">
        <v>284</v>
      </c>
      <c r="O236" t="s">
        <v>32</v>
      </c>
      <c r="P236" t="s">
        <v>33</v>
      </c>
      <c r="Q236" t="s">
        <v>34</v>
      </c>
      <c r="R236" t="s">
        <v>29</v>
      </c>
      <c r="S236" t="s">
        <v>29</v>
      </c>
      <c r="T236" t="s">
        <v>29</v>
      </c>
      <c r="U236" t="s">
        <v>29</v>
      </c>
      <c r="W236" t="s">
        <v>29</v>
      </c>
    </row>
    <row r="237" spans="1:24">
      <c r="A237" t="s">
        <v>1016</v>
      </c>
      <c r="B237" s="2">
        <v>44091</v>
      </c>
      <c r="C237" t="s">
        <v>42</v>
      </c>
      <c r="D237" s="2">
        <v>44097</v>
      </c>
      <c r="E237" s="2">
        <v>44113</v>
      </c>
      <c r="F237" s="2">
        <v>44105</v>
      </c>
      <c r="G237" t="s">
        <v>1017</v>
      </c>
      <c r="H237" t="s">
        <v>166</v>
      </c>
      <c r="J237">
        <v>0</v>
      </c>
      <c r="K237" t="s">
        <v>68</v>
      </c>
      <c r="L237" t="s">
        <v>29</v>
      </c>
      <c r="M237" t="s">
        <v>1018</v>
      </c>
      <c r="N237" t="s">
        <v>31</v>
      </c>
      <c r="O237" t="s">
        <v>596</v>
      </c>
      <c r="P237" t="s">
        <v>1019</v>
      </c>
      <c r="Q237" t="s">
        <v>1020</v>
      </c>
      <c r="R237" t="s">
        <v>29</v>
      </c>
      <c r="S237" t="s">
        <v>442</v>
      </c>
      <c r="T237" t="s">
        <v>29</v>
      </c>
      <c r="U237" t="s">
        <v>29</v>
      </c>
      <c r="W237" t="s">
        <v>29</v>
      </c>
      <c r="X237" t="s">
        <v>29</v>
      </c>
    </row>
    <row r="238" spans="1:24">
      <c r="A238" t="s">
        <v>1021</v>
      </c>
      <c r="B238" s="2">
        <v>44092</v>
      </c>
      <c r="C238" t="s">
        <v>66</v>
      </c>
      <c r="D238" s="2">
        <v>44124</v>
      </c>
      <c r="E238" s="2">
        <v>44141</v>
      </c>
      <c r="G238" t="s">
        <v>1022</v>
      </c>
      <c r="H238" t="s">
        <v>27</v>
      </c>
      <c r="J238">
        <v>2880000</v>
      </c>
      <c r="K238" t="s">
        <v>83</v>
      </c>
      <c r="L238" t="s">
        <v>29</v>
      </c>
      <c r="M238" t="s">
        <v>1023</v>
      </c>
      <c r="N238" t="s">
        <v>1024</v>
      </c>
      <c r="O238" t="s">
        <v>32</v>
      </c>
      <c r="P238" t="s">
        <v>1025</v>
      </c>
      <c r="Q238" t="s">
        <v>1026</v>
      </c>
      <c r="R238" t="s">
        <v>29</v>
      </c>
      <c r="S238" t="s">
        <v>1027</v>
      </c>
      <c r="T238" t="s">
        <v>29</v>
      </c>
      <c r="U238" t="s">
        <v>29</v>
      </c>
      <c r="W238" t="s">
        <v>29</v>
      </c>
    </row>
    <row r="239" spans="1:24">
      <c r="A239" t="s">
        <v>1028</v>
      </c>
      <c r="B239" s="2">
        <v>44092</v>
      </c>
      <c r="C239" t="s">
        <v>66</v>
      </c>
      <c r="D239" s="2">
        <v>44123</v>
      </c>
      <c r="E239" s="2">
        <v>44141</v>
      </c>
      <c r="G239" t="s">
        <v>1022</v>
      </c>
      <c r="H239" t="s">
        <v>27</v>
      </c>
      <c r="J239">
        <v>10792000</v>
      </c>
      <c r="K239" t="s">
        <v>525</v>
      </c>
      <c r="L239" t="s">
        <v>29</v>
      </c>
      <c r="M239" t="s">
        <v>1029</v>
      </c>
      <c r="N239" t="s">
        <v>1030</v>
      </c>
      <c r="O239" t="s">
        <v>32</v>
      </c>
      <c r="P239" t="s">
        <v>1025</v>
      </c>
      <c r="Q239" t="s">
        <v>1026</v>
      </c>
      <c r="R239" t="s">
        <v>29</v>
      </c>
      <c r="S239" t="s">
        <v>1027</v>
      </c>
      <c r="T239" t="s">
        <v>29</v>
      </c>
      <c r="U239" t="s">
        <v>29</v>
      </c>
      <c r="W239" t="s">
        <v>29</v>
      </c>
    </row>
    <row r="240" spans="1:24">
      <c r="A240" t="s">
        <v>1031</v>
      </c>
      <c r="B240" s="2">
        <v>44097</v>
      </c>
      <c r="C240" t="s">
        <v>66</v>
      </c>
      <c r="D240" s="2">
        <v>44098</v>
      </c>
      <c r="E240" s="2">
        <v>44109</v>
      </c>
      <c r="G240" t="s">
        <v>1032</v>
      </c>
      <c r="H240" t="s">
        <v>54</v>
      </c>
      <c r="I240" t="s">
        <v>1033</v>
      </c>
      <c r="J240">
        <v>0</v>
      </c>
      <c r="K240" t="s">
        <v>44</v>
      </c>
      <c r="L240" t="s">
        <v>29</v>
      </c>
      <c r="M240" t="s">
        <v>869</v>
      </c>
      <c r="N240" t="s">
        <v>1034</v>
      </c>
      <c r="O240" t="s">
        <v>32</v>
      </c>
      <c r="P240" t="s">
        <v>480</v>
      </c>
      <c r="Q240" t="s">
        <v>34</v>
      </c>
      <c r="R240" t="s">
        <v>29</v>
      </c>
      <c r="S240" t="s">
        <v>29</v>
      </c>
      <c r="T240" t="s">
        <v>29</v>
      </c>
      <c r="U240" t="s">
        <v>29</v>
      </c>
      <c r="W240" t="s">
        <v>29</v>
      </c>
    </row>
    <row r="241" spans="1:24">
      <c r="A241" t="s">
        <v>1035</v>
      </c>
      <c r="B241" s="2">
        <v>44097</v>
      </c>
      <c r="C241" t="s">
        <v>66</v>
      </c>
      <c r="D241" s="2">
        <v>44098</v>
      </c>
      <c r="E241" s="2">
        <v>44104</v>
      </c>
      <c r="F241" t="s">
        <v>187</v>
      </c>
      <c r="G241" t="s">
        <v>1036</v>
      </c>
      <c r="H241" t="s">
        <v>54</v>
      </c>
      <c r="J241">
        <v>0</v>
      </c>
      <c r="K241" t="s">
        <v>1037</v>
      </c>
      <c r="L241" t="s">
        <v>29</v>
      </c>
      <c r="M241" t="s">
        <v>1038</v>
      </c>
      <c r="N241" t="s">
        <v>31</v>
      </c>
      <c r="O241" t="s">
        <v>47</v>
      </c>
      <c r="P241" t="s">
        <v>48</v>
      </c>
      <c r="Q241" t="s">
        <v>34</v>
      </c>
      <c r="R241" t="s">
        <v>29</v>
      </c>
      <c r="S241" t="s">
        <v>29</v>
      </c>
      <c r="T241" t="s">
        <v>29</v>
      </c>
      <c r="U241" t="s">
        <v>29</v>
      </c>
      <c r="W241" t="s">
        <v>29</v>
      </c>
      <c r="X241" t="s">
        <v>29</v>
      </c>
    </row>
    <row r="242" spans="1:24">
      <c r="A242" t="s">
        <v>1039</v>
      </c>
      <c r="B242" s="2">
        <v>44097</v>
      </c>
      <c r="C242" t="s">
        <v>42</v>
      </c>
      <c r="D242" s="2">
        <v>44098</v>
      </c>
      <c r="E242" s="2">
        <v>44286</v>
      </c>
      <c r="G242" t="s">
        <v>1040</v>
      </c>
      <c r="H242" t="s">
        <v>252</v>
      </c>
      <c r="J242">
        <v>0</v>
      </c>
      <c r="K242" t="s">
        <v>925</v>
      </c>
      <c r="L242" t="s">
        <v>29</v>
      </c>
      <c r="M242" t="s">
        <v>925</v>
      </c>
      <c r="N242" t="s">
        <v>925</v>
      </c>
      <c r="O242" t="s">
        <v>264</v>
      </c>
      <c r="P242" t="s">
        <v>850</v>
      </c>
      <c r="Q242" t="s">
        <v>29</v>
      </c>
      <c r="R242" t="s">
        <v>29</v>
      </c>
      <c r="S242" t="s">
        <v>29</v>
      </c>
      <c r="T242" t="s">
        <v>926</v>
      </c>
      <c r="U242" t="s">
        <v>29</v>
      </c>
      <c r="W242" t="s">
        <v>29</v>
      </c>
    </row>
    <row r="243" spans="1:24">
      <c r="A243" t="s">
        <v>1041</v>
      </c>
      <c r="B243" s="2">
        <v>44099</v>
      </c>
      <c r="C243" t="s">
        <v>42</v>
      </c>
      <c r="D243" s="2">
        <v>44102</v>
      </c>
      <c r="E243" s="2">
        <v>44106</v>
      </c>
      <c r="G243" t="s">
        <v>1042</v>
      </c>
      <c r="H243" t="s">
        <v>27</v>
      </c>
      <c r="J243">
        <v>22500</v>
      </c>
      <c r="K243" t="s">
        <v>37</v>
      </c>
      <c r="L243" t="s">
        <v>29</v>
      </c>
      <c r="M243" t="s">
        <v>529</v>
      </c>
      <c r="N243" t="s">
        <v>62</v>
      </c>
      <c r="O243" t="s">
        <v>32</v>
      </c>
      <c r="P243" t="s">
        <v>211</v>
      </c>
      <c r="Q243" t="s">
        <v>34</v>
      </c>
      <c r="R243" t="s">
        <v>29</v>
      </c>
      <c r="S243" t="s">
        <v>29</v>
      </c>
      <c r="T243" t="s">
        <v>29</v>
      </c>
      <c r="U243" t="s">
        <v>29</v>
      </c>
      <c r="W243" t="s">
        <v>29</v>
      </c>
    </row>
    <row r="244" spans="1:24">
      <c r="A244" t="s">
        <v>1043</v>
      </c>
      <c r="B244" s="2">
        <v>44099</v>
      </c>
      <c r="C244" t="s">
        <v>66</v>
      </c>
      <c r="D244" s="2">
        <v>44104</v>
      </c>
      <c r="E244" s="2">
        <v>44113</v>
      </c>
      <c r="F244" s="2">
        <v>44104</v>
      </c>
      <c r="G244" t="s">
        <v>1044</v>
      </c>
      <c r="H244" t="s">
        <v>252</v>
      </c>
      <c r="J244">
        <v>0</v>
      </c>
      <c r="K244" t="s">
        <v>59</v>
      </c>
      <c r="L244" t="s">
        <v>29</v>
      </c>
      <c r="M244" t="s">
        <v>61</v>
      </c>
      <c r="N244" t="s">
        <v>786</v>
      </c>
      <c r="O244" t="s">
        <v>47</v>
      </c>
      <c r="P244" t="s">
        <v>63</v>
      </c>
      <c r="Q244" t="s">
        <v>29</v>
      </c>
      <c r="R244" t="s">
        <v>29</v>
      </c>
      <c r="S244" t="s">
        <v>34</v>
      </c>
      <c r="T244" t="s">
        <v>29</v>
      </c>
      <c r="U244" t="s">
        <v>29</v>
      </c>
      <c r="W244" t="s">
        <v>29</v>
      </c>
      <c r="X244" t="s">
        <v>29</v>
      </c>
    </row>
    <row r="245" spans="1:24">
      <c r="A245" t="s">
        <v>1045</v>
      </c>
      <c r="B245" s="2">
        <v>44102</v>
      </c>
      <c r="C245" t="s">
        <v>42</v>
      </c>
      <c r="D245" s="2">
        <v>44104</v>
      </c>
      <c r="E245" s="2">
        <v>44118</v>
      </c>
      <c r="G245" t="s">
        <v>1046</v>
      </c>
      <c r="H245" t="s">
        <v>54</v>
      </c>
      <c r="J245">
        <v>0</v>
      </c>
      <c r="K245" t="s">
        <v>68</v>
      </c>
      <c r="L245" t="s">
        <v>29</v>
      </c>
      <c r="M245" t="s">
        <v>1047</v>
      </c>
      <c r="N245" t="s">
        <v>31</v>
      </c>
      <c r="O245" t="s">
        <v>32</v>
      </c>
      <c r="P245" t="s">
        <v>33</v>
      </c>
      <c r="Q245" t="s">
        <v>34</v>
      </c>
      <c r="R245" t="s">
        <v>29</v>
      </c>
      <c r="S245" t="s">
        <v>29</v>
      </c>
      <c r="T245" t="s">
        <v>29</v>
      </c>
      <c r="U245" t="s">
        <v>29</v>
      </c>
      <c r="W245" t="s">
        <v>29</v>
      </c>
    </row>
    <row r="246" spans="1:24">
      <c r="A246" t="s">
        <v>1048</v>
      </c>
      <c r="B246" s="2">
        <v>44102</v>
      </c>
      <c r="C246" t="s">
        <v>42</v>
      </c>
      <c r="D246" s="2">
        <v>44105</v>
      </c>
      <c r="E246" s="2">
        <v>44134</v>
      </c>
      <c r="G246" t="s">
        <v>1049</v>
      </c>
      <c r="H246" t="s">
        <v>27</v>
      </c>
      <c r="J246">
        <v>450000</v>
      </c>
      <c r="K246" t="s">
        <v>44</v>
      </c>
      <c r="L246" t="s">
        <v>29</v>
      </c>
      <c r="M246" t="s">
        <v>45</v>
      </c>
      <c r="N246" t="s">
        <v>1050</v>
      </c>
      <c r="O246" t="s">
        <v>47</v>
      </c>
      <c r="P246" t="s">
        <v>48</v>
      </c>
      <c r="Q246" t="s">
        <v>49</v>
      </c>
      <c r="R246" t="s">
        <v>81</v>
      </c>
      <c r="S246" t="s">
        <v>29</v>
      </c>
      <c r="T246" t="s">
        <v>29</v>
      </c>
      <c r="U246" t="s">
        <v>29</v>
      </c>
      <c r="W246" t="s">
        <v>29</v>
      </c>
    </row>
    <row r="247" spans="1:24">
      <c r="A247" t="s">
        <v>1051</v>
      </c>
      <c r="B247" s="2">
        <v>44103</v>
      </c>
      <c r="C247" t="s">
        <v>42</v>
      </c>
      <c r="D247" s="2">
        <v>44109</v>
      </c>
      <c r="E247" s="2">
        <v>44120</v>
      </c>
      <c r="G247" t="s">
        <v>1052</v>
      </c>
      <c r="H247" t="s">
        <v>27</v>
      </c>
      <c r="J247">
        <v>240000</v>
      </c>
      <c r="K247" t="s">
        <v>37</v>
      </c>
      <c r="L247" t="s">
        <v>29</v>
      </c>
      <c r="M247" t="s">
        <v>1053</v>
      </c>
      <c r="N247" t="s">
        <v>1054</v>
      </c>
      <c r="O247" t="s">
        <v>47</v>
      </c>
      <c r="P247" t="s">
        <v>75</v>
      </c>
      <c r="Q247" t="s">
        <v>1055</v>
      </c>
      <c r="R247" t="s">
        <v>29</v>
      </c>
      <c r="S247" t="s">
        <v>29</v>
      </c>
      <c r="T247" t="s">
        <v>29</v>
      </c>
      <c r="U247" t="s">
        <v>50</v>
      </c>
      <c r="V247" t="s">
        <v>1056</v>
      </c>
      <c r="W247" t="s">
        <v>29</v>
      </c>
    </row>
    <row r="248" spans="1:24">
      <c r="A248" t="s">
        <v>1057</v>
      </c>
      <c r="B248" s="2">
        <v>44104</v>
      </c>
      <c r="C248" t="s">
        <v>42</v>
      </c>
      <c r="D248" s="2">
        <v>44105</v>
      </c>
      <c r="E248" s="2">
        <v>44113</v>
      </c>
      <c r="F248" s="2">
        <v>44105</v>
      </c>
      <c r="G248" t="s">
        <v>566</v>
      </c>
      <c r="H248" t="s">
        <v>54</v>
      </c>
      <c r="J248">
        <v>0</v>
      </c>
      <c r="K248" t="s">
        <v>454</v>
      </c>
      <c r="L248" t="s">
        <v>29</v>
      </c>
      <c r="M248" t="s">
        <v>567</v>
      </c>
      <c r="N248" t="s">
        <v>31</v>
      </c>
      <c r="O248" t="s">
        <v>101</v>
      </c>
      <c r="P248" t="s">
        <v>361</v>
      </c>
      <c r="Q248" t="s">
        <v>29</v>
      </c>
      <c r="R248" t="s">
        <v>29</v>
      </c>
      <c r="S248" t="s">
        <v>266</v>
      </c>
      <c r="T248" t="s">
        <v>29</v>
      </c>
      <c r="U248" t="s">
        <v>29</v>
      </c>
      <c r="W248" t="s">
        <v>29</v>
      </c>
      <c r="X248" t="s">
        <v>29</v>
      </c>
    </row>
    <row r="249" spans="1:24">
      <c r="A249" t="s">
        <v>1058</v>
      </c>
      <c r="B249" s="2">
        <v>44104</v>
      </c>
      <c r="C249" t="s">
        <v>66</v>
      </c>
      <c r="D249" s="2">
        <v>44118</v>
      </c>
      <c r="E249" s="2">
        <v>44134</v>
      </c>
      <c r="G249" t="s">
        <v>1059</v>
      </c>
      <c r="H249" t="s">
        <v>27</v>
      </c>
      <c r="J249">
        <v>253000</v>
      </c>
      <c r="K249" t="s">
        <v>653</v>
      </c>
      <c r="L249" t="s">
        <v>29</v>
      </c>
      <c r="M249" t="s">
        <v>1060</v>
      </c>
      <c r="N249" t="s">
        <v>1061</v>
      </c>
      <c r="O249" t="s">
        <v>32</v>
      </c>
      <c r="P249" t="s">
        <v>656</v>
      </c>
      <c r="Q249" t="s">
        <v>1062</v>
      </c>
      <c r="R249" t="s">
        <v>29</v>
      </c>
      <c r="S249" t="s">
        <v>29</v>
      </c>
      <c r="T249" t="s">
        <v>29</v>
      </c>
      <c r="U249" t="s">
        <v>29</v>
      </c>
      <c r="W249" t="s">
        <v>29</v>
      </c>
    </row>
  </sheetData>
  <phoneticPr fontId="6"/>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AU256"/>
  <sheetViews>
    <sheetView workbookViewId="0">
      <selection activeCell="T2" sqref="T2:T13"/>
    </sheetView>
  </sheetViews>
  <sheetFormatPr defaultRowHeight="18.75"/>
  <cols>
    <col min="1" max="1" width="19.25" bestFit="1" customWidth="1"/>
    <col min="3" max="3" width="7.25" bestFit="1" customWidth="1"/>
    <col min="4" max="4" width="5.25" bestFit="1" customWidth="1"/>
    <col min="5" max="5" width="7.125" bestFit="1" customWidth="1"/>
    <col min="6" max="6" width="9.5" bestFit="1" customWidth="1"/>
    <col min="7" max="8" width="5.25" bestFit="1" customWidth="1"/>
    <col min="9" max="9" width="12" customWidth="1"/>
    <col min="10" max="10" width="9.625" bestFit="1" customWidth="1"/>
    <col min="11" max="11" width="5.25" bestFit="1" customWidth="1"/>
    <col min="12" max="12" width="7.375" bestFit="1" customWidth="1"/>
    <col min="15" max="15" width="9.5" bestFit="1" customWidth="1"/>
    <col min="16" max="17" width="5.25" bestFit="1" customWidth="1"/>
    <col min="19" max="20" width="15.125" bestFit="1" customWidth="1"/>
    <col min="21" max="21" width="5.25" bestFit="1" customWidth="1"/>
    <col min="22" max="22" width="5.25" customWidth="1"/>
    <col min="23" max="23" width="15.125" bestFit="1" customWidth="1"/>
    <col min="24" max="24" width="5.25" bestFit="1" customWidth="1"/>
    <col min="26" max="26" width="24.375" bestFit="1" customWidth="1"/>
    <col min="27" max="27" width="14.75" customWidth="1"/>
    <col min="28" max="28" width="24.375" bestFit="1" customWidth="1"/>
    <col min="29" max="29" width="5.25" bestFit="1" customWidth="1"/>
    <col min="30" max="30" width="7.375" style="12" bestFit="1" customWidth="1"/>
    <col min="31" max="31" width="5.25" bestFit="1" customWidth="1"/>
    <col min="32" max="33" width="5.25" style="12" bestFit="1" customWidth="1"/>
    <col min="34" max="34" width="15.125" bestFit="1" customWidth="1"/>
    <col min="38" max="38" width="9.375" bestFit="1" customWidth="1"/>
    <col min="43" max="43" width="9.375" bestFit="1" customWidth="1"/>
    <col min="44" max="45" width="17.625" customWidth="1"/>
    <col min="46" max="46" width="13.25" customWidth="1"/>
    <col min="47" max="47" width="17.625" customWidth="1"/>
  </cols>
  <sheetData>
    <row r="1" spans="1:47">
      <c r="A1" s="3" t="s">
        <v>1063</v>
      </c>
      <c r="B1" s="4" t="s">
        <v>1064</v>
      </c>
      <c r="C1" s="5" t="s">
        <v>1065</v>
      </c>
      <c r="D1" s="5" t="s">
        <v>1065</v>
      </c>
      <c r="E1" s="5" t="s">
        <v>1065</v>
      </c>
      <c r="F1" s="5" t="s">
        <v>1065</v>
      </c>
      <c r="G1" s="5" t="s">
        <v>1065</v>
      </c>
      <c r="H1" s="5" t="s">
        <v>1065</v>
      </c>
      <c r="J1" s="5" t="s">
        <v>1065</v>
      </c>
      <c r="K1" s="5" t="s">
        <v>1065</v>
      </c>
      <c r="L1" s="3" t="s">
        <v>1063</v>
      </c>
      <c r="M1" s="5" t="s">
        <v>1065</v>
      </c>
      <c r="N1" s="5" t="s">
        <v>1065</v>
      </c>
      <c r="O1" s="5" t="s">
        <v>1065</v>
      </c>
      <c r="P1" s="5" t="s">
        <v>1065</v>
      </c>
      <c r="Q1" s="5" t="s">
        <v>1065</v>
      </c>
      <c r="S1" s="4" t="s">
        <v>1064</v>
      </c>
      <c r="T1" s="6" t="s">
        <v>1066</v>
      </c>
      <c r="U1" s="5" t="s">
        <v>1065</v>
      </c>
      <c r="V1" s="5" t="s">
        <v>1065</v>
      </c>
      <c r="W1" s="5" t="s">
        <v>1065</v>
      </c>
      <c r="X1" s="5" t="s">
        <v>1065</v>
      </c>
      <c r="Z1" s="4" t="s">
        <v>1064</v>
      </c>
      <c r="AB1" s="3" t="s">
        <v>1063</v>
      </c>
      <c r="AC1" s="5" t="s">
        <v>1065</v>
      </c>
      <c r="AD1" s="3" t="s">
        <v>1063</v>
      </c>
      <c r="AE1" s="5" t="s">
        <v>1065</v>
      </c>
      <c r="AF1" s="5" t="s">
        <v>1065</v>
      </c>
      <c r="AG1" s="6" t="s">
        <v>1066</v>
      </c>
      <c r="AH1" s="5" t="s">
        <v>1065</v>
      </c>
      <c r="AI1" s="5" t="s">
        <v>1065</v>
      </c>
      <c r="AK1" s="3" t="s">
        <v>1063</v>
      </c>
      <c r="AP1" s="3" t="s">
        <v>1063</v>
      </c>
      <c r="AR1" s="4" t="s">
        <v>1064</v>
      </c>
      <c r="AS1" s="4" t="s">
        <v>1064</v>
      </c>
      <c r="AU1" s="4" t="s">
        <v>1064</v>
      </c>
    </row>
    <row r="2" spans="1:47">
      <c r="A2" s="7" t="s">
        <v>1067</v>
      </c>
      <c r="B2" t="s">
        <v>32</v>
      </c>
      <c r="C2" s="8" t="b">
        <f>IF(B2="","",COUNTIF(B$1:B1,B2)=0)</f>
        <v>1</v>
      </c>
      <c r="D2" s="8">
        <f>IF(B2="","",IF(C2,COUNTIF(C$2:C2,TRUE),""))</f>
        <v>1</v>
      </c>
      <c r="E2" s="8" t="str">
        <f t="shared" ref="E2:E18" si="0">IFERROR(LOOKUP(1,0/(D:D=ROW()-ROW(E$1)),B:B),"")</f>
        <v>ＧＢ光</v>
      </c>
      <c r="F2" s="8" t="str">
        <f t="shared" ref="F2:F33" si="1">IF(E2="","",IFERROR(LOOKUP(1,0/(AK:AK=E2),AP:AP),"旧 "&amp;E2))</f>
        <v>ＧＢ本</v>
      </c>
      <c r="G2" s="8" t="str">
        <f>IF(ISBLANK(E2),"",IF(COUNTIF(AK:AK,"="&amp;E2)&gt;0,"",MAX(G$1:G1)+1))</f>
        <v/>
      </c>
      <c r="H2" s="8">
        <f>IF(E2="","",COUNTIF(B:B,E2))</f>
        <v>25</v>
      </c>
      <c r="S2" t="s">
        <v>27</v>
      </c>
      <c r="T2" s="9" t="s">
        <v>27</v>
      </c>
      <c r="U2" s="10">
        <f t="shared" ref="U2:U13" si="2">IF(ISBLANK(T2),"",COUNTIF(S:S,T2))</f>
        <v>52</v>
      </c>
      <c r="V2" s="10">
        <f>IF(OR(U2="",U2=0),"",COUNTIF(U$2:U2,"&gt;0"))</f>
        <v>1</v>
      </c>
      <c r="W2" s="10" t="str">
        <f>IFERROR(LOOKUP(1,0/(V:V=ROW()-ROW(V$1)),T:T),"")</f>
        <v>販売</v>
      </c>
      <c r="X2" s="10">
        <f>IFERROR(LOOKUP(1,0/(V:V=ROW()-ROW(V$1)),U:U),"")</f>
        <v>52</v>
      </c>
      <c r="Z2" t="s">
        <v>68</v>
      </c>
      <c r="AB2" s="11" t="s">
        <v>68</v>
      </c>
      <c r="AC2" s="10">
        <f>IF(ISBLANK(AB2),"",COUNTIF(Z:Z,AB2))</f>
        <v>29</v>
      </c>
      <c r="AD2" s="12">
        <f t="shared" ref="AD2:AD11" si="3">SUM(AC2)</f>
        <v>29</v>
      </c>
      <c r="AE2" s="8">
        <f t="shared" ref="AE2:AE65" si="4">IF(ISBLANK(AD2),"",RANK(AD2,AD$2:AD$256,0))</f>
        <v>1</v>
      </c>
      <c r="AF2" s="8">
        <f>IF(AE2="","",AE2+COUNTIF(AE$2:AE2,AE2)-1)</f>
        <v>1</v>
      </c>
      <c r="AK2" s="137" t="s">
        <v>1460</v>
      </c>
      <c r="AP2" s="137" t="s">
        <v>1484</v>
      </c>
      <c r="AR2" t="s">
        <v>689</v>
      </c>
      <c r="AS2" t="s">
        <v>700</v>
      </c>
      <c r="AU2" t="s">
        <v>955</v>
      </c>
    </row>
    <row r="3" spans="1:47">
      <c r="A3" s="15">
        <v>44013</v>
      </c>
      <c r="B3" t="s">
        <v>90</v>
      </c>
      <c r="C3" s="8" t="b">
        <f>IF(B3="","",COUNTIF(B$1:B2,B3)=0)</f>
        <v>1</v>
      </c>
      <c r="D3" s="8">
        <f>IF(B3="","",IF(C3,COUNTIF(C$2:C3,TRUE),""))</f>
        <v>2</v>
      </c>
      <c r="E3" s="8" t="str">
        <f t="shared" si="0"/>
        <v>ＧＢＥ</v>
      </c>
      <c r="F3" s="8" t="str">
        <f t="shared" si="1"/>
        <v>ＧＢ本</v>
      </c>
      <c r="G3" s="8" t="str">
        <f>IF(ISBLANK(E3),"",IF(COUNTIF(AK:AK,"="&amp;E3)&gt;0,"",MAX(G$1:G2)+1))</f>
        <v/>
      </c>
      <c r="H3" s="8">
        <f>IF(E3="","",COUNTIF(B:B,E3))</f>
        <v>2</v>
      </c>
      <c r="J3" s="16" t="s">
        <v>1459</v>
      </c>
      <c r="K3" s="16" t="s">
        <v>1068</v>
      </c>
      <c r="L3" s="17" t="s">
        <v>1069</v>
      </c>
      <c r="M3" s="16" t="s">
        <v>1070</v>
      </c>
      <c r="N3" s="16" t="s">
        <v>1071</v>
      </c>
      <c r="P3" s="16" t="s">
        <v>1068</v>
      </c>
      <c r="Q3" s="16" t="s">
        <v>1069</v>
      </c>
      <c r="S3" t="s">
        <v>87</v>
      </c>
      <c r="T3" s="9" t="s">
        <v>54</v>
      </c>
      <c r="U3" s="10">
        <f t="shared" si="2"/>
        <v>28</v>
      </c>
      <c r="V3" s="10">
        <f>IF(OR(U3="",U3=0),"",COUNTIF(U$2:U3,"&gt;0"))</f>
        <v>2</v>
      </c>
      <c r="W3" s="10" t="str">
        <f t="shared" ref="W3:W13" si="5">IFERROR(LOOKUP(1,0/(V:V=ROW()-ROW(V$1)),T:T),"")</f>
        <v>無償提供</v>
      </c>
      <c r="X3" s="10">
        <f t="shared" ref="X3:X13" si="6">IFERROR(LOOKUP(1,0/(V:V=ROW()-ROW(V$1)),U:U),"")</f>
        <v>28</v>
      </c>
      <c r="Z3" t="s">
        <v>68</v>
      </c>
      <c r="AB3" s="11" t="s">
        <v>37</v>
      </c>
      <c r="AC3" s="10">
        <f t="shared" ref="AC3:AC66" si="7">IF(ISBLANK(AB3),"",COUNTIF(Z:Z,AB3))</f>
        <v>13</v>
      </c>
      <c r="AE3" s="8" t="str">
        <f t="shared" si="4"/>
        <v/>
      </c>
      <c r="AF3" s="8" t="str">
        <f>IF(AE3="","",AE3+COUNTIF(AE$2:AE3,AE3)-1)</f>
        <v/>
      </c>
      <c r="AG3" s="12">
        <v>1</v>
      </c>
      <c r="AH3" s="8" t="str">
        <f>LOOKUP(1,0/(AF$2:AF$30=AG3),AB$2:AB$30)</f>
        <v>米国</v>
      </c>
      <c r="AI3" s="8">
        <f>LOOKUP(1,0/(AF$2:AF$30=AG3),AD$2:AD$30)</f>
        <v>29</v>
      </c>
      <c r="AK3" s="136"/>
      <c r="AP3" s="136"/>
      <c r="AR3" t="s">
        <v>692</v>
      </c>
      <c r="AS3" t="s">
        <v>713</v>
      </c>
    </row>
    <row r="4" spans="1:47">
      <c r="A4" s="7" t="s">
        <v>1073</v>
      </c>
      <c r="B4" t="s">
        <v>47</v>
      </c>
      <c r="C4" s="8" t="b">
        <f>IF(B4="","",COUNTIF(B$1:B3,B4)=0)</f>
        <v>1</v>
      </c>
      <c r="D4" s="8">
        <f>IF(B4="","",IF(C4,COUNTIF(C$2:C4,TRUE),""))</f>
        <v>3</v>
      </c>
      <c r="E4" s="8" t="str">
        <f t="shared" si="0"/>
        <v>ＧＢ営</v>
      </c>
      <c r="F4" s="8" t="str">
        <f t="shared" si="1"/>
        <v>ＧＢ本</v>
      </c>
      <c r="G4" s="8" t="str">
        <f>IF(ISBLANK(E4),"",IF(COUNTIF(AK:AK,"="&amp;E4)&gt;0,"",MAX(G$1:G3)+1))</f>
        <v/>
      </c>
      <c r="H4" s="8">
        <f t="shared" ref="H4:H67" si="8">IF(E4="","",COUNTIF(B:B,E4))</f>
        <v>44</v>
      </c>
      <c r="J4" s="19" t="str">
        <f t="shared" ref="J4:J42" si="9">AN6</f>
        <v>ＶＣ本</v>
      </c>
      <c r="K4" s="19">
        <f>IF(J4="","",SUMIF(F:F,"="&amp;J4,H:H))</f>
        <v>3</v>
      </c>
      <c r="L4">
        <v>3</v>
      </c>
      <c r="M4" s="8" t="b">
        <f>IF(J4="","",(SUM(K4:L4)&gt;0))</f>
        <v>1</v>
      </c>
      <c r="N4" s="8">
        <f>IF(J4="","",IF(M4,COUNTIF(M$4:M4,TRUE),0))</f>
        <v>1</v>
      </c>
      <c r="O4" s="8" t="str">
        <f>IFERROR(LOOKUP(1,0/(N$4:N$40=ROW()-ROW(O$3)),J$4:J$40),"")</f>
        <v>ＶＣ本</v>
      </c>
      <c r="P4" s="8">
        <f>IF(O4="","",IFERROR(LOOKUP(1,0/(J$4:J$40=O4),K$4:K$40),""))</f>
        <v>3</v>
      </c>
      <c r="Q4" s="8">
        <f>IF(O4="","",IFERROR(LOOKUP(1,0/(J$4:J$40=O4),L$4:L$40),""))</f>
        <v>3</v>
      </c>
      <c r="S4" t="s">
        <v>27</v>
      </c>
      <c r="T4" s="9" t="s">
        <v>779</v>
      </c>
      <c r="U4" s="10">
        <f t="shared" si="2"/>
        <v>1</v>
      </c>
      <c r="V4" s="10">
        <f>IF(OR(U4="",U4=0),"",COUNTIF(U$2:U4,"&gt;0"))</f>
        <v>3</v>
      </c>
      <c r="W4" s="10" t="str">
        <f t="shared" si="5"/>
        <v>展示・デモ</v>
      </c>
      <c r="X4" s="10">
        <f t="shared" si="6"/>
        <v>1</v>
      </c>
      <c r="Z4" t="s">
        <v>37</v>
      </c>
      <c r="AB4" s="11" t="s">
        <v>653</v>
      </c>
      <c r="AC4" s="10">
        <f t="shared" si="7"/>
        <v>1</v>
      </c>
      <c r="AD4" s="12">
        <f>SUM(AC3:AC4)</f>
        <v>14</v>
      </c>
      <c r="AE4" s="8">
        <f t="shared" si="4"/>
        <v>2</v>
      </c>
      <c r="AF4" s="8">
        <f>IF(AE4="","",AE4+COUNTIF(AE$2:AE4,AE4)-1)</f>
        <v>2</v>
      </c>
      <c r="AG4" s="12">
        <v>2</v>
      </c>
      <c r="AH4" s="8" t="str">
        <f t="shared" ref="AH4:AH8" si="10">LOOKUP(1,0/(AF$2:AF$30=AG4),AB$2:AB$30)</f>
        <v>中華人民共和国</v>
      </c>
      <c r="AI4" s="8">
        <f t="shared" ref="AI4:AI8" si="11">LOOKUP(1,0/(AF$2:AF$30=AG4),AD$2:AD$30)</f>
        <v>14</v>
      </c>
      <c r="AK4" s="136"/>
      <c r="AP4" s="136"/>
      <c r="AR4" t="s">
        <v>829</v>
      </c>
      <c r="AS4" t="s">
        <v>790</v>
      </c>
    </row>
    <row r="5" spans="1:47">
      <c r="A5" s="15">
        <v>44104</v>
      </c>
      <c r="B5" t="s">
        <v>47</v>
      </c>
      <c r="C5" s="8" t="b">
        <f>IF(B5="","",COUNTIF(B$1:B4,B5)=0)</f>
        <v>0</v>
      </c>
      <c r="D5" s="8" t="str">
        <f>IF(B5="","",IF(C5,COUNTIF(C$2:C5,TRUE),""))</f>
        <v/>
      </c>
      <c r="E5" s="8" t="str">
        <f t="shared" si="0"/>
        <v>ＧＢＳ</v>
      </c>
      <c r="F5" s="8" t="str">
        <f t="shared" si="1"/>
        <v>ＧＢ本</v>
      </c>
      <c r="G5" s="8" t="str">
        <f>IF(ISBLANK(E5),"",IF(COUNTIF(AK:AK,"="&amp;E5)&gt;0,"",MAX(G$1:G4)+1))</f>
        <v/>
      </c>
      <c r="H5" s="8">
        <f t="shared" si="8"/>
        <v>5</v>
      </c>
      <c r="J5" s="19" t="str">
        <f t="shared" si="9"/>
        <v>西本部</v>
      </c>
      <c r="K5" s="19">
        <f t="shared" ref="K5:K40" si="12">IF(J5="","",SUMIF(F:F,"="&amp;J5,H:H))</f>
        <v>0</v>
      </c>
      <c r="M5" s="8" t="b">
        <f t="shared" ref="M5:M40" si="13">IF(J5="","",(SUM(K5:L5)&gt;0))</f>
        <v>0</v>
      </c>
      <c r="N5" s="8">
        <f>IF(J5="","",IF(M5,COUNTIF(M$4:M5,TRUE),0))</f>
        <v>0</v>
      </c>
      <c r="O5" s="8" t="str">
        <f t="shared" ref="O5:O26" si="14">IFERROR(LOOKUP(1,0/(N$4:N$40=ROW()-ROW(O$3)),J$4:J$40),"")</f>
        <v>ＧＢ本</v>
      </c>
      <c r="P5" s="8">
        <f t="shared" ref="P5:P26" si="15">IF(O5="","",IFERROR(LOOKUP(1,0/(J$4:J$40=O5),K$4:K$40),""))</f>
        <v>91</v>
      </c>
      <c r="Q5" s="8">
        <f t="shared" ref="Q5:Q26" si="16">IF(O5="","",IFERROR(LOOKUP(1,0/(J$4:J$40=O5),L$4:L$40),""))</f>
        <v>74</v>
      </c>
      <c r="S5" t="s">
        <v>27</v>
      </c>
      <c r="T5" s="9" t="s">
        <v>166</v>
      </c>
      <c r="U5" s="10">
        <f t="shared" si="2"/>
        <v>2</v>
      </c>
      <c r="V5" s="10">
        <f>IF(OR(U5="",U5=0),"",COUNTIF(U$2:U5,"&gt;0"))</f>
        <v>4</v>
      </c>
      <c r="W5" s="10" t="str">
        <f t="shared" si="5"/>
        <v>貸出</v>
      </c>
      <c r="X5" s="10">
        <f t="shared" si="6"/>
        <v>2</v>
      </c>
      <c r="Z5" t="s">
        <v>79</v>
      </c>
      <c r="AB5" s="11" t="s">
        <v>124</v>
      </c>
      <c r="AC5" s="10">
        <f t="shared" si="7"/>
        <v>1</v>
      </c>
      <c r="AD5" s="12">
        <f t="shared" si="3"/>
        <v>1</v>
      </c>
      <c r="AE5" s="8">
        <f t="shared" si="4"/>
        <v>15</v>
      </c>
      <c r="AF5" s="8">
        <f>IF(AE5="","",AE5+COUNTIF(AE$2:AE5,AE5)-1)</f>
        <v>15</v>
      </c>
      <c r="AG5" s="12">
        <v>3</v>
      </c>
      <c r="AH5" s="8" t="str">
        <f t="shared" si="10"/>
        <v>台湾</v>
      </c>
      <c r="AI5" s="8">
        <f t="shared" si="11"/>
        <v>10</v>
      </c>
      <c r="AK5" s="3" t="s">
        <v>1063</v>
      </c>
      <c r="AL5" s="5" t="s">
        <v>1065</v>
      </c>
      <c r="AM5" s="5" t="s">
        <v>1065</v>
      </c>
      <c r="AN5" s="5" t="s">
        <v>1065</v>
      </c>
      <c r="AO5" s="5" t="s">
        <v>1065</v>
      </c>
      <c r="AP5" s="5" t="s">
        <v>1065</v>
      </c>
      <c r="AR5" t="s">
        <v>876</v>
      </c>
      <c r="AS5" t="s">
        <v>835</v>
      </c>
    </row>
    <row r="6" spans="1:47">
      <c r="A6" s="20" t="s">
        <v>1076</v>
      </c>
      <c r="B6" t="s">
        <v>47</v>
      </c>
      <c r="C6" s="8" t="b">
        <f>IF(B6="","",COUNTIF(B$1:B5,B6)=0)</f>
        <v>0</v>
      </c>
      <c r="D6" s="8" t="str">
        <f>IF(B6="","",IF(C6,COUNTIF(C$2:C6,TRUE),""))</f>
        <v/>
      </c>
      <c r="E6" s="8" t="str">
        <f t="shared" si="0"/>
        <v>ＩＰＲ</v>
      </c>
      <c r="F6" s="8" t="str">
        <f t="shared" si="1"/>
        <v>ＩＰＣ</v>
      </c>
      <c r="G6" s="8" t="str">
        <f>IF(ISBLANK(E6),"",IF(COUNTIF(AK:AK,"="&amp;E6)&gt;0,"",MAX(G$1:G5)+1))</f>
        <v/>
      </c>
      <c r="H6" s="8">
        <f t="shared" si="8"/>
        <v>1</v>
      </c>
      <c r="J6" s="19" t="str">
        <f t="shared" si="9"/>
        <v>ＧＢ本</v>
      </c>
      <c r="K6" s="19">
        <f t="shared" si="12"/>
        <v>91</v>
      </c>
      <c r="L6">
        <v>74</v>
      </c>
      <c r="M6" s="8" t="b">
        <f t="shared" si="13"/>
        <v>1</v>
      </c>
      <c r="N6" s="8">
        <f>IF(J6="","",IF(M6,COUNTIF(M$4:M6,TRUE),0))</f>
        <v>2</v>
      </c>
      <c r="O6" s="8" t="str">
        <f t="shared" si="14"/>
        <v>セ事本</v>
      </c>
      <c r="P6" s="8">
        <f t="shared" si="15"/>
        <v>3</v>
      </c>
      <c r="Q6" s="8">
        <f t="shared" si="16"/>
        <v>4</v>
      </c>
      <c r="S6" t="s">
        <v>54</v>
      </c>
      <c r="T6" s="9" t="s">
        <v>1077</v>
      </c>
      <c r="U6" s="10">
        <f t="shared" si="2"/>
        <v>0</v>
      </c>
      <c r="V6" s="10" t="str">
        <f>IF(OR(U6="",U6=0),"",COUNTIF(U$2:U6,"&gt;0"))</f>
        <v/>
      </c>
      <c r="W6" s="10" t="str">
        <f t="shared" si="5"/>
        <v>製造・評価</v>
      </c>
      <c r="X6" s="10">
        <f t="shared" si="6"/>
        <v>4</v>
      </c>
      <c r="Z6" t="s">
        <v>83</v>
      </c>
      <c r="AB6" s="11" t="s">
        <v>44</v>
      </c>
      <c r="AC6" s="10">
        <f t="shared" si="7"/>
        <v>10</v>
      </c>
      <c r="AD6" s="12">
        <f t="shared" si="3"/>
        <v>10</v>
      </c>
      <c r="AE6" s="8">
        <f t="shared" si="4"/>
        <v>3</v>
      </c>
      <c r="AF6" s="8">
        <f>IF(AE6="","",AE6+COUNTIF(AE$2:AE6,AE6)-1)</f>
        <v>3</v>
      </c>
      <c r="AG6" s="12">
        <v>4</v>
      </c>
      <c r="AH6" s="8" t="str">
        <f t="shared" si="10"/>
        <v>ドイツ</v>
      </c>
      <c r="AI6" s="8">
        <f t="shared" si="11"/>
        <v>7</v>
      </c>
      <c r="AK6" s="13" t="s">
        <v>1462</v>
      </c>
      <c r="AL6" s="14">
        <f>IF(セルの固定色(AK6)=セルの固定色(AK$6),1,"")</f>
        <v>1</v>
      </c>
      <c r="AM6" s="14">
        <f>IF(OR(ISBLANK(AL6),AL6=""),"",COUNTIF(AL$6:AL6,"&gt;0"))</f>
        <v>1</v>
      </c>
      <c r="AN6" s="14" t="str">
        <f t="shared" ref="AN6:AN44" si="17">IFERROR(LOOKUP(1,0/(AM:AM=ROW()-ROW(AN$5)),AK:AK),IFERROR(LOOKUP(1,0/(G:G=AO6),F:F),""))</f>
        <v>ＶＣ本</v>
      </c>
      <c r="AO6" s="14">
        <f t="shared" ref="AO6:AO44" si="18">-(MAX(AM:AM)-ROW()+ROW(AO$6)-1)</f>
        <v>-20</v>
      </c>
      <c r="AP6" s="14" t="str">
        <f>IF(ISBLANK(AK6),"",LOOKUP(1,0/(AM$6:AM6=MAX(AM$6:AM6)),AK$6:AK6))</f>
        <v>ＶＣ本</v>
      </c>
      <c r="AR6" t="s">
        <v>907</v>
      </c>
      <c r="AS6" t="s">
        <v>840</v>
      </c>
    </row>
    <row r="7" spans="1:47">
      <c r="A7" s="11">
        <f>COLUMN(B1)</f>
        <v>2</v>
      </c>
      <c r="B7" t="s">
        <v>47</v>
      </c>
      <c r="C7" s="8" t="b">
        <f>IF(B7="","",COUNTIF(B$1:B6,B7)=0)</f>
        <v>0</v>
      </c>
      <c r="D7" s="8" t="str">
        <f>IF(B7="","",IF(C7,COUNTIF(C$2:C7,TRUE),""))</f>
        <v/>
      </c>
      <c r="E7" s="8" t="str">
        <f t="shared" si="0"/>
        <v>Ｇ推進</v>
      </c>
      <c r="F7" s="8" t="str">
        <f t="shared" si="1"/>
        <v>ＧＢ本</v>
      </c>
      <c r="G7" s="8" t="str">
        <f>IF(ISBLANK(E7),"",IF(COUNTIF(AK:AK,"="&amp;E7)&gt;0,"",MAX(G$1:G6)+1))</f>
        <v/>
      </c>
      <c r="H7" s="8">
        <f t="shared" si="8"/>
        <v>5</v>
      </c>
      <c r="J7" s="19" t="str">
        <f t="shared" si="9"/>
        <v>セ事本</v>
      </c>
      <c r="K7" s="19">
        <f t="shared" si="12"/>
        <v>3</v>
      </c>
      <c r="L7">
        <v>4</v>
      </c>
      <c r="M7" s="8" t="b">
        <f t="shared" si="13"/>
        <v>1</v>
      </c>
      <c r="N7" s="8">
        <f>IF(J7="","",IF(M7,COUNTIF(M$4:M7,TRUE),0))</f>
        <v>3</v>
      </c>
      <c r="O7" s="8" t="str">
        <f t="shared" si="14"/>
        <v>ＣＩ本</v>
      </c>
      <c r="P7" s="8">
        <f t="shared" si="15"/>
        <v>0</v>
      </c>
      <c r="Q7" s="8">
        <f t="shared" si="16"/>
        <v>1</v>
      </c>
      <c r="S7" t="s">
        <v>27</v>
      </c>
      <c r="T7" s="9" t="s">
        <v>87</v>
      </c>
      <c r="U7" s="10">
        <f t="shared" si="2"/>
        <v>4</v>
      </c>
      <c r="V7" s="10">
        <f>IF(OR(U7="",U7=0),"",COUNTIF(U$2:U7,"&gt;0"))</f>
        <v>5</v>
      </c>
      <c r="W7" s="10" t="str">
        <f t="shared" si="5"/>
        <v>修理・交換</v>
      </c>
      <c r="X7" s="10">
        <f t="shared" si="6"/>
        <v>4</v>
      </c>
      <c r="Z7" t="s">
        <v>124</v>
      </c>
      <c r="AB7" s="11" t="s">
        <v>525</v>
      </c>
      <c r="AC7" s="10">
        <f t="shared" si="7"/>
        <v>1</v>
      </c>
      <c r="AD7" s="12">
        <f t="shared" si="3"/>
        <v>1</v>
      </c>
      <c r="AE7" s="8">
        <f t="shared" si="4"/>
        <v>15</v>
      </c>
      <c r="AF7" s="8">
        <f>IF(AE7="","",AE7+COUNTIF(AE$2:AE7,AE7)-1)</f>
        <v>16</v>
      </c>
      <c r="AG7" s="12">
        <v>5</v>
      </c>
      <c r="AH7" s="8" t="str">
        <f t="shared" si="10"/>
        <v>シンガポール</v>
      </c>
      <c r="AI7" s="8">
        <f t="shared" si="11"/>
        <v>6</v>
      </c>
      <c r="AK7" s="18" t="s">
        <v>1072</v>
      </c>
      <c r="AL7" s="14" t="str">
        <f>IF(セルの固定色(AK7)=セルの固定色(AK$6),1,"")</f>
        <v/>
      </c>
      <c r="AM7" s="14" t="str">
        <f>IF(OR(ISBLANK(AL7),AL7=""),"",COUNTIF(AL$6:AL7,"&gt;0"))</f>
        <v/>
      </c>
      <c r="AN7" s="14" t="str">
        <f t="shared" si="17"/>
        <v>西本部</v>
      </c>
      <c r="AO7" s="14">
        <f t="shared" si="18"/>
        <v>-19</v>
      </c>
      <c r="AP7" s="14" t="str">
        <f>IF(ISBLANK(AK7),"",LOOKUP(1,0/(AM$6:AM7=MAX(AM$6:AM7)),AK$6:AK7))</f>
        <v>ＶＣ本</v>
      </c>
      <c r="AR7" t="s">
        <v>933</v>
      </c>
      <c r="AS7" t="s">
        <v>862</v>
      </c>
    </row>
    <row r="8" spans="1:47">
      <c r="A8" s="20" t="s">
        <v>1080</v>
      </c>
      <c r="B8" t="s">
        <v>47</v>
      </c>
      <c r="C8" s="8" t="b">
        <f>IF(B8="","",COUNTIF(B$1:B7,B8)=0)</f>
        <v>0</v>
      </c>
      <c r="D8" s="8" t="str">
        <f>IF(B8="","",IF(C8,COUNTIF(C$2:C8,TRUE),""))</f>
        <v/>
      </c>
      <c r="E8" s="8" t="str">
        <f t="shared" si="0"/>
        <v>セ事Ｉ</v>
      </c>
      <c r="F8" s="8" t="str">
        <f t="shared" si="1"/>
        <v>セ事本</v>
      </c>
      <c r="G8" s="8" t="str">
        <f>IF(ISBLANK(E8),"",IF(COUNTIF(AK:AK,"="&amp;E8)&gt;0,"",MAX(G$1:G7)+1))</f>
        <v/>
      </c>
      <c r="H8" s="8">
        <f t="shared" si="8"/>
        <v>3</v>
      </c>
      <c r="J8" s="19" t="str">
        <f t="shared" si="9"/>
        <v>ＣＩ本</v>
      </c>
      <c r="K8" s="19">
        <f t="shared" si="12"/>
        <v>0</v>
      </c>
      <c r="L8">
        <v>1</v>
      </c>
      <c r="M8" s="8" t="b">
        <f t="shared" si="13"/>
        <v>1</v>
      </c>
      <c r="N8" s="8">
        <f>IF(J8="","",IF(M8,COUNTIF(M$4:M8,TRUE),0))</f>
        <v>4</v>
      </c>
      <c r="O8" s="8" t="str">
        <f t="shared" si="14"/>
        <v>ＡＩ本</v>
      </c>
      <c r="P8" s="8">
        <f t="shared" si="15"/>
        <v>6</v>
      </c>
      <c r="Q8" s="8">
        <f t="shared" si="16"/>
        <v>0</v>
      </c>
      <c r="S8" t="s">
        <v>27</v>
      </c>
      <c r="T8" s="9" t="s">
        <v>494</v>
      </c>
      <c r="U8" s="10">
        <f t="shared" si="2"/>
        <v>4</v>
      </c>
      <c r="V8" s="10">
        <f>IF(OR(U8="",U8=0),"",COUNTIF(U$2:U8,"&gt;0"))</f>
        <v>6</v>
      </c>
      <c r="W8" s="10" t="str">
        <f t="shared" si="5"/>
        <v>返却</v>
      </c>
      <c r="X8" s="10">
        <f t="shared" si="6"/>
        <v>2</v>
      </c>
      <c r="Z8" t="s">
        <v>68</v>
      </c>
      <c r="AB8" s="11" t="s">
        <v>79</v>
      </c>
      <c r="AC8" s="10">
        <f t="shared" si="7"/>
        <v>2</v>
      </c>
      <c r="AD8" s="12">
        <f t="shared" si="3"/>
        <v>2</v>
      </c>
      <c r="AE8" s="8">
        <f t="shared" si="4"/>
        <v>10</v>
      </c>
      <c r="AF8" s="8">
        <f>IF(AE8="","",AE8+COUNTIF(AE$2:AE8,AE8)-1)</f>
        <v>10</v>
      </c>
      <c r="AG8" s="12">
        <v>6</v>
      </c>
      <c r="AH8" s="8" t="str">
        <f t="shared" si="10"/>
        <v>ロシア</v>
      </c>
      <c r="AI8" s="8">
        <f t="shared" si="11"/>
        <v>4</v>
      </c>
      <c r="AK8" s="18" t="s">
        <v>1074</v>
      </c>
      <c r="AL8" s="14" t="str">
        <f>IF(セルの固定色(AK8)=セルの固定色(AK$6),1,"")</f>
        <v/>
      </c>
      <c r="AM8" s="14" t="str">
        <f>IF(OR(ISBLANK(AL8),AL8=""),"",COUNTIF(AL$6:AL8,"&gt;0"))</f>
        <v/>
      </c>
      <c r="AN8" s="14" t="str">
        <f t="shared" si="17"/>
        <v>ＧＢ本</v>
      </c>
      <c r="AO8" s="14">
        <f t="shared" si="18"/>
        <v>-18</v>
      </c>
      <c r="AP8" s="14" t="str">
        <f>IF(ISBLANK(AK8),"",LOOKUP(1,0/(AM$6:AM8=MAX(AM$6:AM8)),AK$6:AK8))</f>
        <v>ＶＣ本</v>
      </c>
      <c r="AR8" t="s">
        <v>953</v>
      </c>
      <c r="AS8" t="s">
        <v>922</v>
      </c>
    </row>
    <row r="9" spans="1:47">
      <c r="A9" s="11">
        <f>COLUMN(S1)</f>
        <v>19</v>
      </c>
      <c r="B9" t="s">
        <v>101</v>
      </c>
      <c r="C9" s="8" t="b">
        <f>IF(B9="","",COUNTIF(B$1:B8,B9)=0)</f>
        <v>1</v>
      </c>
      <c r="D9" s="8">
        <f>IF(B9="","",IF(C9,COUNTIF(C$2:C9,TRUE),""))</f>
        <v>4</v>
      </c>
      <c r="E9" s="8" t="str">
        <f t="shared" si="0"/>
        <v>ＧＢ環</v>
      </c>
      <c r="F9" s="8" t="str">
        <f t="shared" si="1"/>
        <v>ＧＢ本</v>
      </c>
      <c r="G9" s="8" t="str">
        <f>IF(ISBLANK(E9),"",IF(COUNTIF(AK:AK,"="&amp;E9)&gt;0,"",MAX(G$1:G8)+1))</f>
        <v/>
      </c>
      <c r="H9" s="8">
        <f t="shared" si="8"/>
        <v>8</v>
      </c>
      <c r="J9" s="19" t="str">
        <f t="shared" si="9"/>
        <v>ＮＩ本</v>
      </c>
      <c r="K9" s="19">
        <f t="shared" si="12"/>
        <v>0</v>
      </c>
      <c r="M9" s="8" t="b">
        <f t="shared" si="13"/>
        <v>0</v>
      </c>
      <c r="N9" s="8">
        <f>IF(J9="","",IF(M9,COUNTIF(M$4:M9,TRUE),0))</f>
        <v>0</v>
      </c>
      <c r="O9" s="8" t="str">
        <f t="shared" si="14"/>
        <v>ＩＰＣ</v>
      </c>
      <c r="P9" s="8">
        <f t="shared" si="15"/>
        <v>1</v>
      </c>
      <c r="Q9" s="8">
        <f t="shared" si="16"/>
        <v>0</v>
      </c>
      <c r="S9" t="s">
        <v>54</v>
      </c>
      <c r="T9" s="9" t="s">
        <v>73</v>
      </c>
      <c r="U9" s="10">
        <f t="shared" si="2"/>
        <v>2</v>
      </c>
      <c r="V9" s="10">
        <f>IF(OR(U9="",U9=0),"",COUNTIF(U$2:U9,"&gt;0"))</f>
        <v>7</v>
      </c>
      <c r="W9" s="10" t="str">
        <f t="shared" si="5"/>
        <v>プログラム提供</v>
      </c>
      <c r="X9" s="10">
        <f t="shared" si="6"/>
        <v>5</v>
      </c>
      <c r="Z9" t="s">
        <v>710</v>
      </c>
      <c r="AB9" s="11" t="s">
        <v>83</v>
      </c>
      <c r="AC9" s="10">
        <f t="shared" si="7"/>
        <v>6</v>
      </c>
      <c r="AD9" s="12">
        <f t="shared" si="3"/>
        <v>6</v>
      </c>
      <c r="AE9" s="8">
        <f t="shared" si="4"/>
        <v>5</v>
      </c>
      <c r="AF9" s="8">
        <f>IF(AE9="","",AE9+COUNTIF(AE$2:AE9,AE9)-1)</f>
        <v>5</v>
      </c>
      <c r="AK9" s="18" t="s">
        <v>1075</v>
      </c>
      <c r="AL9" s="14" t="str">
        <f>IF(セルの固定色(AK9)=セルの固定色(AK$6),1,"")</f>
        <v/>
      </c>
      <c r="AM9" s="14" t="str">
        <f>IF(OR(ISBLANK(AL9),AL9=""),"",COUNTIF(AL$6:AL9,"&gt;0"))</f>
        <v/>
      </c>
      <c r="AN9" s="14" t="str">
        <f t="shared" si="17"/>
        <v>セ事本</v>
      </c>
      <c r="AO9" s="14">
        <f t="shared" si="18"/>
        <v>-17</v>
      </c>
      <c r="AP9" s="14" t="str">
        <f>IF(ISBLANK(AK9),"",LOOKUP(1,0/(AM$6:AM9=MAX(AM$6:AM9)),AK$6:AK9))</f>
        <v>ＶＣ本</v>
      </c>
      <c r="AR9" t="s">
        <v>1001</v>
      </c>
      <c r="AS9" t="s">
        <v>975</v>
      </c>
    </row>
    <row r="10" spans="1:47">
      <c r="A10" s="20" t="s">
        <v>1083</v>
      </c>
      <c r="B10" t="s">
        <v>1461</v>
      </c>
      <c r="C10" s="8" t="b">
        <f>IF(B10="","",COUNTIF(B$1:B9,B10)=0)</f>
        <v>1</v>
      </c>
      <c r="D10" s="8">
        <f>IF(B10="","",IF(C10,COUNTIF(C$2:C10,TRUE),""))</f>
        <v>5</v>
      </c>
      <c r="E10" s="8" t="str">
        <f t="shared" si="0"/>
        <v>ＡＩＲ</v>
      </c>
      <c r="F10" s="8" t="str">
        <f t="shared" si="1"/>
        <v>ＡＩ本</v>
      </c>
      <c r="G10" s="8" t="str">
        <f>IF(ISBLANK(E10),"",IF(COUNTIF(AK:AK,"="&amp;E10)&gt;0,"",MAX(G$1:G9)+1))</f>
        <v/>
      </c>
      <c r="H10" s="8">
        <f t="shared" si="8"/>
        <v>1</v>
      </c>
      <c r="J10" s="19" t="str">
        <f t="shared" si="9"/>
        <v>ＡＩ本</v>
      </c>
      <c r="K10" s="19">
        <f t="shared" si="12"/>
        <v>6</v>
      </c>
      <c r="M10" s="8" t="b">
        <f t="shared" si="13"/>
        <v>1</v>
      </c>
      <c r="N10" s="8">
        <f>IF(J10="","",IF(M10,COUNTIF(M$4:M10,TRUE),0))</f>
        <v>5</v>
      </c>
      <c r="O10" s="8" t="str">
        <f t="shared" si="14"/>
        <v>人事部</v>
      </c>
      <c r="P10" s="8">
        <f t="shared" si="15"/>
        <v>1</v>
      </c>
      <c r="Q10" s="8">
        <f t="shared" si="16"/>
        <v>0</v>
      </c>
      <c r="S10" t="s">
        <v>27</v>
      </c>
      <c r="T10" s="9" t="s">
        <v>259</v>
      </c>
      <c r="U10" s="10">
        <f t="shared" si="2"/>
        <v>5</v>
      </c>
      <c r="V10" s="10">
        <f>IF(OR(U10="",U10=0),"",COUNTIF(U$2:U10,"&gt;0"))</f>
        <v>8</v>
      </c>
      <c r="W10" s="10" t="str">
        <f t="shared" si="5"/>
        <v>技術提供</v>
      </c>
      <c r="X10" s="10">
        <f t="shared" si="6"/>
        <v>4</v>
      </c>
      <c r="Z10" t="s">
        <v>715</v>
      </c>
      <c r="AB10" s="11" t="s">
        <v>710</v>
      </c>
      <c r="AC10" s="10">
        <f t="shared" si="7"/>
        <v>1</v>
      </c>
      <c r="AD10" s="12">
        <f t="shared" si="3"/>
        <v>1</v>
      </c>
      <c r="AE10" s="8">
        <f t="shared" si="4"/>
        <v>15</v>
      </c>
      <c r="AF10" s="8">
        <f>IF(AE10="","",AE10+COUNTIF(AE$2:AE10,AE10)-1)</f>
        <v>17</v>
      </c>
      <c r="AG10" s="12">
        <v>6</v>
      </c>
      <c r="AK10" s="18" t="s">
        <v>1078</v>
      </c>
      <c r="AL10" s="14" t="str">
        <f>IF(セルの固定色(AK10)=セルの固定色(AK$6),1,"")</f>
        <v/>
      </c>
      <c r="AM10" s="14" t="str">
        <f>IF(OR(ISBLANK(AL10),AL10=""),"",COUNTIF(AL$6:AL10,"&gt;0"))</f>
        <v/>
      </c>
      <c r="AN10" s="14" t="str">
        <f t="shared" si="17"/>
        <v>ＣＩ本</v>
      </c>
      <c r="AO10" s="14">
        <f t="shared" si="18"/>
        <v>-16</v>
      </c>
      <c r="AP10" s="14" t="str">
        <f>IF(ISBLANK(AK10),"",LOOKUP(1,0/(AM$6:AM10=MAX(AM$6:AM10)),AK$6:AK10))</f>
        <v>ＶＣ本</v>
      </c>
      <c r="AR10" t="s">
        <v>1004</v>
      </c>
      <c r="AS10" t="s">
        <v>1039</v>
      </c>
    </row>
    <row r="11" spans="1:47">
      <c r="A11" s="11">
        <f>COLUMN(Z1)</f>
        <v>26</v>
      </c>
      <c r="B11" t="s">
        <v>139</v>
      </c>
      <c r="C11" s="8" t="b">
        <f>IF(B11="","",COUNTIF(B$1:B10,B11)=0)</f>
        <v>1</v>
      </c>
      <c r="D11" s="8">
        <f>IF(B11="","",IF(C11,COUNTIF(C$2:C11,TRUE),""))</f>
        <v>6</v>
      </c>
      <c r="E11" s="8" t="str">
        <f t="shared" si="0"/>
        <v>ＡＩＤ</v>
      </c>
      <c r="F11" s="8" t="str">
        <f t="shared" si="1"/>
        <v>ＡＩ本</v>
      </c>
      <c r="G11" s="8" t="str">
        <f>IF(ISBLANK(E11),"",IF(COUNTIF(AK:AK,"="&amp;E11)&gt;0,"",MAX(G$1:G10)+1))</f>
        <v/>
      </c>
      <c r="H11" s="8">
        <f t="shared" si="8"/>
        <v>5</v>
      </c>
      <c r="J11" s="19" t="str">
        <f t="shared" si="9"/>
        <v>ＮＳ本</v>
      </c>
      <c r="K11" s="19">
        <f t="shared" si="12"/>
        <v>0</v>
      </c>
      <c r="M11" s="8" t="b">
        <f t="shared" si="13"/>
        <v>0</v>
      </c>
      <c r="N11" s="8">
        <f>IF(J11="","",IF(M11,COUNTIF(M$4:M11,TRUE),0))</f>
        <v>0</v>
      </c>
      <c r="O11" s="8" t="str">
        <f t="shared" si="14"/>
        <v/>
      </c>
      <c r="P11" s="8" t="str">
        <f t="shared" si="15"/>
        <v/>
      </c>
      <c r="Q11" s="8" t="str">
        <f t="shared" si="16"/>
        <v/>
      </c>
      <c r="S11" t="s">
        <v>54</v>
      </c>
      <c r="T11" s="9" t="s">
        <v>252</v>
      </c>
      <c r="U11" s="10">
        <f t="shared" si="2"/>
        <v>4</v>
      </c>
      <c r="V11" s="10">
        <f>IF(OR(U11="",U11=0),"",COUNTIF(U$2:U11,"&gt;0"))</f>
        <v>9</v>
      </c>
      <c r="W11" s="10" t="str">
        <f t="shared" si="5"/>
        <v>その他の案件</v>
      </c>
      <c r="X11" s="10">
        <f t="shared" si="6"/>
        <v>3</v>
      </c>
      <c r="Z11" t="s">
        <v>454</v>
      </c>
      <c r="AB11" s="11" t="s">
        <v>454</v>
      </c>
      <c r="AC11" s="10">
        <f t="shared" si="7"/>
        <v>3</v>
      </c>
      <c r="AD11" s="12">
        <f t="shared" si="3"/>
        <v>3</v>
      </c>
      <c r="AE11" s="8">
        <f t="shared" si="4"/>
        <v>7</v>
      </c>
      <c r="AF11" s="8">
        <f>IF(AE11="","",AE11+COUNTIF(AE$2:AE11,AE11)-1)</f>
        <v>7</v>
      </c>
      <c r="AK11" s="18" t="s">
        <v>1079</v>
      </c>
      <c r="AL11" s="14" t="str">
        <f>IF(セルの固定色(AK11)=セルの固定色(AK$6),1,"")</f>
        <v/>
      </c>
      <c r="AM11" s="14" t="str">
        <f>IF(OR(ISBLANK(AL11),AL11=""),"",COUNTIF(AL$6:AL11,"&gt;0"))</f>
        <v/>
      </c>
      <c r="AN11" s="14" t="str">
        <f t="shared" si="17"/>
        <v>ＮＩ本</v>
      </c>
      <c r="AO11" s="14">
        <f t="shared" si="18"/>
        <v>-15</v>
      </c>
      <c r="AP11" s="14" t="str">
        <f>IF(ISBLANK(AK11),"",LOOKUP(1,0/(AM$6:AM11=MAX(AM$6:AM11)),AK$6:AK11))</f>
        <v>ＶＣ本</v>
      </c>
      <c r="AR11" t="s">
        <v>1006</v>
      </c>
      <c r="AS11" t="s">
        <v>1048</v>
      </c>
    </row>
    <row r="12" spans="1:47">
      <c r="A12" s="7" t="s">
        <v>1084</v>
      </c>
      <c r="B12" t="s">
        <v>32</v>
      </c>
      <c r="C12" s="8" t="b">
        <f>IF(B12="","",COUNTIF(B$1:B11,B12)=0)</f>
        <v>0</v>
      </c>
      <c r="D12" s="8" t="str">
        <f>IF(B12="","",IF(C12,COUNTIF(C$2:C12,TRUE),""))</f>
        <v/>
      </c>
      <c r="E12" s="8" t="str">
        <f t="shared" si="0"/>
        <v>Ｖまち</v>
      </c>
      <c r="F12" s="8" t="str">
        <f t="shared" si="1"/>
        <v>ＶＣ本</v>
      </c>
      <c r="G12" s="8" t="str">
        <f>IF(ISBLANK(E12),"",IF(COUNTIF(AK:AK,"="&amp;E12)&gt;0,"",MAX(G$1:G11)+1))</f>
        <v/>
      </c>
      <c r="H12" s="8">
        <f t="shared" si="8"/>
        <v>1</v>
      </c>
      <c r="J12" s="19" t="str">
        <f t="shared" si="9"/>
        <v>ＩＰＣ</v>
      </c>
      <c r="K12" s="19">
        <f t="shared" si="12"/>
        <v>1</v>
      </c>
      <c r="M12" s="8" t="b">
        <f t="shared" si="13"/>
        <v>1</v>
      </c>
      <c r="N12" s="8">
        <f>IF(J12="","",IF(M12,COUNTIF(M$4:M12,TRUE),0))</f>
        <v>6</v>
      </c>
      <c r="O12" s="8" t="str">
        <f t="shared" si="14"/>
        <v/>
      </c>
      <c r="P12" s="8" t="str">
        <f t="shared" si="15"/>
        <v/>
      </c>
      <c r="Q12" s="8" t="str">
        <f t="shared" si="16"/>
        <v/>
      </c>
      <c r="S12" t="s">
        <v>27</v>
      </c>
      <c r="T12" s="9" t="s">
        <v>1085</v>
      </c>
      <c r="U12" s="10">
        <f t="shared" si="2"/>
        <v>0</v>
      </c>
      <c r="V12" s="10" t="str">
        <f>IF(OR(U12="",U12=0),"",COUNTIF(U$2:U12,"&gt;0"))</f>
        <v/>
      </c>
      <c r="W12" s="10" t="str">
        <f t="shared" si="5"/>
        <v/>
      </c>
      <c r="X12" s="10" t="str">
        <f t="shared" si="6"/>
        <v/>
      </c>
      <c r="Z12" t="s">
        <v>68</v>
      </c>
      <c r="AB12" s="11" t="s">
        <v>246</v>
      </c>
      <c r="AC12" s="10">
        <f t="shared" si="7"/>
        <v>3</v>
      </c>
      <c r="AD12" s="12">
        <f t="shared" ref="AD12:AD23" si="19">SUM(AC12)</f>
        <v>3</v>
      </c>
      <c r="AE12" s="8">
        <f t="shared" si="4"/>
        <v>7</v>
      </c>
      <c r="AF12" s="8">
        <f>IF(AE12="","",AE12+COUNTIF(AE$2:AE12,AE12)-1)</f>
        <v>8</v>
      </c>
      <c r="AK12" s="18" t="s">
        <v>1081</v>
      </c>
      <c r="AL12" s="14" t="str">
        <f>IF(セルの固定色(AK12)=セルの固定色(AK$6),1,"")</f>
        <v/>
      </c>
      <c r="AM12" s="14" t="str">
        <f>IF(OR(ISBLANK(AL12),AL12=""),"",COUNTIF(AL$6:AL12,"&gt;0"))</f>
        <v/>
      </c>
      <c r="AN12" s="14" t="str">
        <f t="shared" si="17"/>
        <v>ＡＩ本</v>
      </c>
      <c r="AO12" s="14">
        <f t="shared" si="18"/>
        <v>-14</v>
      </c>
      <c r="AP12" s="14" t="str">
        <f>IF(ISBLANK(AK12),"",LOOKUP(1,0/(AM$6:AM12=MAX(AM$6:AM12)),AK$6:AK12))</f>
        <v>ＶＣ本</v>
      </c>
    </row>
    <row r="13" spans="1:47" ht="19.5" thickBot="1">
      <c r="A13" s="11">
        <f>COLUMN(AR1)</f>
        <v>44</v>
      </c>
      <c r="B13" t="s">
        <v>32</v>
      </c>
      <c r="C13" s="8" t="b">
        <f>IF(B13="","",COUNTIF(B$1:B12,B13)=0)</f>
        <v>0</v>
      </c>
      <c r="D13" s="8" t="str">
        <f>IF(B13="","",IF(C13,COUNTIF(C$2:C13,TRUE),""))</f>
        <v/>
      </c>
      <c r="E13" s="8" t="str">
        <f t="shared" si="0"/>
        <v>人事部</v>
      </c>
      <c r="F13" s="8" t="str">
        <f t="shared" si="1"/>
        <v>人事部</v>
      </c>
      <c r="G13" s="8" t="str">
        <f>IF(ISBLANK(E13),"",IF(COUNTIF(AK:AK,"="&amp;E13)&gt;0,"",MAX(G$1:G12)+1))</f>
        <v/>
      </c>
      <c r="H13" s="8">
        <f t="shared" si="8"/>
        <v>1</v>
      </c>
      <c r="J13" s="19" t="str">
        <f t="shared" si="9"/>
        <v>ＮＰＣ</v>
      </c>
      <c r="K13" s="19">
        <f t="shared" si="12"/>
        <v>0</v>
      </c>
      <c r="M13" s="8" t="b">
        <f t="shared" si="13"/>
        <v>0</v>
      </c>
      <c r="N13" s="8">
        <f>IF(J13="","",IF(M13,COUNTIF(M$4:M13,TRUE),0))</f>
        <v>0</v>
      </c>
      <c r="O13" s="8" t="str">
        <f t="shared" si="14"/>
        <v/>
      </c>
      <c r="P13" s="8" t="str">
        <f t="shared" si="15"/>
        <v/>
      </c>
      <c r="Q13" s="8" t="str">
        <f t="shared" si="16"/>
        <v/>
      </c>
      <c r="S13" t="s">
        <v>166</v>
      </c>
      <c r="T13" s="9" t="s">
        <v>116</v>
      </c>
      <c r="U13" s="10">
        <f t="shared" si="2"/>
        <v>3</v>
      </c>
      <c r="V13" s="10">
        <f>IF(OR(U13="",U13=0),"",COUNTIF(U$2:U13,"&gt;0"))</f>
        <v>10</v>
      </c>
      <c r="W13" s="10" t="str">
        <f t="shared" si="5"/>
        <v/>
      </c>
      <c r="X13" s="10" t="str">
        <f t="shared" si="6"/>
        <v/>
      </c>
      <c r="Z13" t="s">
        <v>68</v>
      </c>
      <c r="AB13" s="11" t="s">
        <v>773</v>
      </c>
      <c r="AC13" s="10">
        <f t="shared" si="7"/>
        <v>1</v>
      </c>
      <c r="AD13" s="12">
        <f t="shared" si="19"/>
        <v>1</v>
      </c>
      <c r="AE13" s="8">
        <f t="shared" si="4"/>
        <v>15</v>
      </c>
      <c r="AF13" s="8">
        <f>IF(AE13="","",AE13+COUNTIF(AE$2:AE13,AE13)-1)</f>
        <v>18</v>
      </c>
      <c r="AK13" s="18" t="s">
        <v>1082</v>
      </c>
      <c r="AL13" s="14" t="str">
        <f>IF(セルの固定色(AK13)=セルの固定色(AK$6),1,"")</f>
        <v/>
      </c>
      <c r="AM13" s="14" t="str">
        <f>IF(OR(ISBLANK(AL13),AL13=""),"",COUNTIF(AL$6:AL13,"&gt;0"))</f>
        <v/>
      </c>
      <c r="AN13" s="14" t="str">
        <f t="shared" si="17"/>
        <v>ＮＳ本</v>
      </c>
      <c r="AO13" s="14">
        <f t="shared" si="18"/>
        <v>-13</v>
      </c>
      <c r="AP13" s="14" t="str">
        <f>IF(ISBLANK(AK13),"",LOOKUP(1,0/(AM$6:AM13=MAX(AM$6:AM13)),AK$6:AK13))</f>
        <v>ＶＣ本</v>
      </c>
    </row>
    <row r="14" spans="1:47" ht="19.5" thickTop="1">
      <c r="A14" s="21">
        <f ca="1">COUNTIF(INDIRECT("C"&amp;包括抽出&amp;":C"&amp;包括抽出,FALSE),"技輸審*")</f>
        <v>10</v>
      </c>
      <c r="B14" t="s">
        <v>191</v>
      </c>
      <c r="C14" s="8" t="b">
        <f>IF(B14="","",COUNTIF(B$1:B13,B14)=0)</f>
        <v>1</v>
      </c>
      <c r="D14" s="8">
        <f>IF(B14="","",IF(C14,COUNTIF(C$2:C14,TRUE),""))</f>
        <v>7</v>
      </c>
      <c r="E14" s="8" t="str">
        <f t="shared" si="0"/>
        <v>ＧＩＯ</v>
      </c>
      <c r="F14" s="8" t="str">
        <f t="shared" si="1"/>
        <v>ＧＢ本</v>
      </c>
      <c r="G14" s="8" t="str">
        <f>IF(ISBLANK(E14),"",IF(COUNTIF(AK:AK,"="&amp;E14)&gt;0,"",MAX(G$1:G13)+1))</f>
        <v/>
      </c>
      <c r="H14" s="8">
        <f t="shared" si="8"/>
        <v>2</v>
      </c>
      <c r="J14" s="19" t="str">
        <f t="shared" si="9"/>
        <v>ＲＤＣ</v>
      </c>
      <c r="K14" s="19">
        <f t="shared" si="12"/>
        <v>0</v>
      </c>
      <c r="M14" s="8" t="b">
        <f t="shared" si="13"/>
        <v>0</v>
      </c>
      <c r="N14" s="8">
        <f>IF(J14="","",IF(M14,COUNTIF(M$4:M14,TRUE),0))</f>
        <v>0</v>
      </c>
      <c r="O14" s="8" t="str">
        <f t="shared" si="14"/>
        <v/>
      </c>
      <c r="P14" s="8" t="str">
        <f t="shared" si="15"/>
        <v/>
      </c>
      <c r="Q14" s="8" t="str">
        <f t="shared" si="16"/>
        <v/>
      </c>
      <c r="S14" t="s">
        <v>259</v>
      </c>
      <c r="W14" s="26" t="s">
        <v>1100</v>
      </c>
      <c r="X14" s="26" t="s">
        <v>1100</v>
      </c>
      <c r="Z14" t="s">
        <v>733</v>
      </c>
      <c r="AB14" s="11" t="s">
        <v>780</v>
      </c>
      <c r="AC14" s="10">
        <f t="shared" si="7"/>
        <v>3</v>
      </c>
      <c r="AD14" s="12">
        <f t="shared" si="19"/>
        <v>3</v>
      </c>
      <c r="AE14" s="8">
        <f t="shared" si="4"/>
        <v>7</v>
      </c>
      <c r="AF14" s="8">
        <f>IF(AE14="","",AE14+COUNTIF(AE$2:AE14,AE14)-1)</f>
        <v>9</v>
      </c>
      <c r="AK14" s="18" t="s">
        <v>886</v>
      </c>
      <c r="AL14" s="14" t="str">
        <f>IF(セルの固定色(AK14)=セルの固定色(AK$6),1,"")</f>
        <v/>
      </c>
      <c r="AM14" s="14" t="str">
        <f>IF(OR(ISBLANK(AL14),AL14=""),"",COUNTIF(AL$6:AL14,"&gt;0"))</f>
        <v/>
      </c>
      <c r="AN14" s="14" t="str">
        <f t="shared" si="17"/>
        <v>ＩＰＣ</v>
      </c>
      <c r="AO14" s="14">
        <f t="shared" si="18"/>
        <v>-12</v>
      </c>
      <c r="AP14" s="14" t="str">
        <f>IF(ISBLANK(AK14),"",LOOKUP(1,0/(AM$6:AM14=MAX(AM$6:AM14)),AK$6:AK14))</f>
        <v>ＶＣ本</v>
      </c>
    </row>
    <row r="15" spans="1:47">
      <c r="A15" s="7" t="s">
        <v>1088</v>
      </c>
      <c r="B15" t="s">
        <v>101</v>
      </c>
      <c r="C15" s="8" t="b">
        <f>IF(B15="","",COUNTIF(B$1:B14,B15)=0)</f>
        <v>0</v>
      </c>
      <c r="D15" s="8" t="str">
        <f>IF(B15="","",IF(C15,COUNTIF(C$2:C15,TRUE),""))</f>
        <v/>
      </c>
      <c r="E15" s="8" t="str">
        <f t="shared" si="0"/>
        <v>ＶＴＳ</v>
      </c>
      <c r="F15" s="8" t="str">
        <f t="shared" si="1"/>
        <v>ＶＣ本</v>
      </c>
      <c r="G15" s="8" t="str">
        <f>IF(ISBLANK(E15),"",IF(COUNTIF(AK:AK,"="&amp;E15)&gt;0,"",MAX(G$1:G14)+1))</f>
        <v/>
      </c>
      <c r="H15" s="8">
        <f t="shared" si="8"/>
        <v>2</v>
      </c>
      <c r="J15" s="19" t="str">
        <f t="shared" si="9"/>
        <v>２０推</v>
      </c>
      <c r="K15" s="19">
        <f t="shared" si="12"/>
        <v>0</v>
      </c>
      <c r="M15" s="8" t="b">
        <f t="shared" si="13"/>
        <v>0</v>
      </c>
      <c r="N15" s="8">
        <f>IF(J15="","",IF(M15,COUNTIF(M$4:M15,TRUE),0))</f>
        <v>0</v>
      </c>
      <c r="O15" s="8" t="str">
        <f t="shared" si="14"/>
        <v/>
      </c>
      <c r="P15" s="8" t="str">
        <f t="shared" si="15"/>
        <v/>
      </c>
      <c r="Q15" s="8" t="str">
        <f t="shared" si="16"/>
        <v/>
      </c>
      <c r="S15" t="s">
        <v>54</v>
      </c>
      <c r="Z15" t="s">
        <v>83</v>
      </c>
      <c r="AB15" s="11" t="s">
        <v>59</v>
      </c>
      <c r="AC15" s="10">
        <f t="shared" si="7"/>
        <v>4</v>
      </c>
      <c r="AD15" s="12">
        <f t="shared" si="19"/>
        <v>4</v>
      </c>
      <c r="AE15" s="8">
        <f t="shared" si="4"/>
        <v>6</v>
      </c>
      <c r="AF15" s="8">
        <f>IF(AE15="","",AE15+COUNTIF(AE$2:AE15,AE15)-1)</f>
        <v>6</v>
      </c>
      <c r="AK15" s="18" t="s">
        <v>604</v>
      </c>
      <c r="AL15" s="14" t="str">
        <f>IF(セルの固定色(AK15)=セルの固定色(AK$6),1,"")</f>
        <v/>
      </c>
      <c r="AM15" s="14" t="str">
        <f>IF(OR(ISBLANK(AL15),AL15=""),"",COUNTIF(AL$6:AL15,"&gt;0"))</f>
        <v/>
      </c>
      <c r="AN15" s="14" t="str">
        <f t="shared" si="17"/>
        <v>ＮＰＣ</v>
      </c>
      <c r="AO15" s="14">
        <f t="shared" si="18"/>
        <v>-11</v>
      </c>
      <c r="AP15" s="14" t="str">
        <f>IF(ISBLANK(AK15),"",LOOKUP(1,0/(AM$6:AM15=MAX(AM$6:AM15)),AK$6:AK15))</f>
        <v>ＶＣ本</v>
      </c>
    </row>
    <row r="16" spans="1:47">
      <c r="A16" s="11">
        <f>COLUMN(AS1)</f>
        <v>45</v>
      </c>
      <c r="B16" t="s">
        <v>32</v>
      </c>
      <c r="C16" s="8" t="b">
        <f>IF(B16="","",COUNTIF(B$1:B15,B16)=0)</f>
        <v>0</v>
      </c>
      <c r="D16" s="8" t="str">
        <f>IF(B16="","",IF(C16,COUNTIF(C$2:C16,TRUE),""))</f>
        <v/>
      </c>
      <c r="E16" s="8" t="str">
        <f t="shared" si="0"/>
        <v/>
      </c>
      <c r="F16" s="8" t="str">
        <f t="shared" si="1"/>
        <v/>
      </c>
      <c r="G16" s="8" t="str">
        <f>IF(ISBLANK(E16),"",IF(COUNTIF(AK:AK,"="&amp;E16)&gt;0,"",MAX(G$1:G15)+1))</f>
        <v/>
      </c>
      <c r="H16" s="8" t="str">
        <f t="shared" si="8"/>
        <v/>
      </c>
      <c r="J16" s="19" t="str">
        <f t="shared" si="9"/>
        <v>ＩＯ推</v>
      </c>
      <c r="K16" s="19">
        <f t="shared" si="12"/>
        <v>0</v>
      </c>
      <c r="M16" s="8" t="b">
        <f t="shared" si="13"/>
        <v>0</v>
      </c>
      <c r="N16" s="8">
        <f>IF(J16="","",IF(M16,COUNTIF(M$4:M16,TRUE),0))</f>
        <v>0</v>
      </c>
      <c r="O16" s="8" t="str">
        <f t="shared" si="14"/>
        <v/>
      </c>
      <c r="P16" s="8" t="str">
        <f t="shared" si="15"/>
        <v/>
      </c>
      <c r="Q16" s="8" t="str">
        <f t="shared" si="16"/>
        <v/>
      </c>
      <c r="S16" t="s">
        <v>54</v>
      </c>
      <c r="Z16" t="s">
        <v>68</v>
      </c>
      <c r="AB16" s="11" t="s">
        <v>795</v>
      </c>
      <c r="AC16" s="10">
        <f t="shared" si="7"/>
        <v>1</v>
      </c>
      <c r="AD16" s="12">
        <f t="shared" si="19"/>
        <v>1</v>
      </c>
      <c r="AE16" s="8">
        <f t="shared" si="4"/>
        <v>15</v>
      </c>
      <c r="AF16" s="8">
        <f>IF(AE16="","",AE16+COUNTIF(AE$2:AE16,AE16)-1)</f>
        <v>19</v>
      </c>
      <c r="AK16" s="18" t="s">
        <v>408</v>
      </c>
      <c r="AL16" s="14" t="str">
        <f>IF(セルの固定色(AK16)=セルの固定色(AK$6),1,"")</f>
        <v/>
      </c>
      <c r="AM16" s="14" t="str">
        <f>IF(OR(ISBLANK(AL16),AL16=""),"",COUNTIF(AL$6:AL16,"&gt;0"))</f>
        <v/>
      </c>
      <c r="AN16" s="14" t="str">
        <f t="shared" si="17"/>
        <v>ＲＤＣ</v>
      </c>
      <c r="AO16" s="14">
        <f t="shared" si="18"/>
        <v>-10</v>
      </c>
      <c r="AP16" s="14" t="str">
        <f>IF(ISBLANK(AK16),"",LOOKUP(1,0/(AM$6:AM16=MAX(AM$6:AM16)),AK$6:AK16))</f>
        <v>ＶＣ本</v>
      </c>
    </row>
    <row r="17" spans="1:42">
      <c r="A17" s="21">
        <f ca="1">COUNTIF(INDIRECT("C"&amp;特例抽出&amp;":C"&amp;特例抽出,FALSE),"技輸審*")</f>
        <v>10</v>
      </c>
      <c r="B17" t="s">
        <v>32</v>
      </c>
      <c r="C17" s="8" t="b">
        <f>IF(B17="","",COUNTIF(B$1:B16,B17)=0)</f>
        <v>0</v>
      </c>
      <c r="D17" s="8" t="str">
        <f>IF(B17="","",IF(C17,COUNTIF(C$2:C17,TRUE),""))</f>
        <v/>
      </c>
      <c r="E17" s="8" t="str">
        <f t="shared" si="0"/>
        <v/>
      </c>
      <c r="F17" s="8" t="str">
        <f t="shared" si="1"/>
        <v/>
      </c>
      <c r="G17" s="8" t="str">
        <f>IF(ISBLANK(E17),"",IF(COUNTIF(AK:AK,"="&amp;E17)&gt;0,"",MAX(G$1:G16)+1))</f>
        <v/>
      </c>
      <c r="H17" s="8" t="str">
        <f t="shared" si="8"/>
        <v/>
      </c>
      <c r="J17" s="19" t="str">
        <f t="shared" si="9"/>
        <v>営推部</v>
      </c>
      <c r="K17" s="19">
        <f t="shared" si="12"/>
        <v>0</v>
      </c>
      <c r="M17" s="8" t="b">
        <f t="shared" si="13"/>
        <v>0</v>
      </c>
      <c r="N17" s="8">
        <f>IF(J17="","",IF(M17,COUNTIF(M$4:M17,TRUE),0))</f>
        <v>0</v>
      </c>
      <c r="O17" s="8" t="str">
        <f t="shared" si="14"/>
        <v/>
      </c>
      <c r="P17" s="8" t="str">
        <f t="shared" si="15"/>
        <v/>
      </c>
      <c r="Q17" s="8" t="str">
        <f t="shared" si="16"/>
        <v/>
      </c>
      <c r="S17" t="s">
        <v>27</v>
      </c>
      <c r="Z17" t="s">
        <v>246</v>
      </c>
      <c r="AB17" s="11" t="s">
        <v>532</v>
      </c>
      <c r="AC17" s="10">
        <f t="shared" si="7"/>
        <v>2</v>
      </c>
      <c r="AD17" s="12">
        <f t="shared" si="19"/>
        <v>2</v>
      </c>
      <c r="AE17" s="8">
        <f t="shared" si="4"/>
        <v>10</v>
      </c>
      <c r="AF17" s="8">
        <f>IF(AE17="","",AE17+COUNTIF(AE$2:AE17,AE17)-1)</f>
        <v>11</v>
      </c>
      <c r="AK17" s="18" t="s">
        <v>1086</v>
      </c>
      <c r="AL17" s="14" t="str">
        <f>IF(セルの固定色(AK17)=セルの固定色(AK$6),1,"")</f>
        <v/>
      </c>
      <c r="AM17" s="14" t="str">
        <f>IF(OR(ISBLANK(AL17),AL17=""),"",COUNTIF(AL$6:AL17,"&gt;0"))</f>
        <v/>
      </c>
      <c r="AN17" s="14" t="str">
        <f t="shared" si="17"/>
        <v>２０推</v>
      </c>
      <c r="AO17" s="14">
        <f t="shared" si="18"/>
        <v>-9</v>
      </c>
      <c r="AP17" s="14" t="str">
        <f>IF(ISBLANK(AK17),"",LOOKUP(1,0/(AM$6:AM17=MAX(AM$6:AM17)),AK$6:AK17))</f>
        <v>ＶＣ本</v>
      </c>
    </row>
    <row r="18" spans="1:42">
      <c r="A18" s="7" t="s">
        <v>1091</v>
      </c>
      <c r="B18" t="s">
        <v>32</v>
      </c>
      <c r="C18" s="8" t="b">
        <f>IF(B18="","",COUNTIF(B$1:B17,B18)=0)</f>
        <v>0</v>
      </c>
      <c r="D18" s="8" t="str">
        <f>IF(B18="","",IF(C18,COUNTIF(C$2:C18,TRUE),""))</f>
        <v/>
      </c>
      <c r="E18" s="8" t="str">
        <f t="shared" si="0"/>
        <v/>
      </c>
      <c r="F18" s="8" t="str">
        <f t="shared" si="1"/>
        <v/>
      </c>
      <c r="G18" s="8" t="str">
        <f>IF(ISBLANK(E18),"",IF(COUNTIF(AK:AK,"="&amp;E18)&gt;0,"",MAX(G$1:G17)+1))</f>
        <v/>
      </c>
      <c r="H18" s="8" t="str">
        <f t="shared" si="8"/>
        <v/>
      </c>
      <c r="J18" s="19" t="str">
        <f t="shared" si="9"/>
        <v>情セ部</v>
      </c>
      <c r="K18" s="19">
        <f t="shared" si="12"/>
        <v>0</v>
      </c>
      <c r="M18" s="8" t="b">
        <f t="shared" si="13"/>
        <v>0</v>
      </c>
      <c r="N18" s="8">
        <f>IF(J18="","",IF(M18,COUNTIF(M$4:M18,TRUE),0))</f>
        <v>0</v>
      </c>
      <c r="O18" s="8" t="str">
        <f t="shared" si="14"/>
        <v/>
      </c>
      <c r="P18" s="8" t="str">
        <f t="shared" si="15"/>
        <v/>
      </c>
      <c r="Q18" s="8" t="str">
        <f t="shared" si="16"/>
        <v/>
      </c>
      <c r="S18" t="s">
        <v>27</v>
      </c>
      <c r="Z18" t="s">
        <v>83</v>
      </c>
      <c r="AB18" s="11" t="s">
        <v>208</v>
      </c>
      <c r="AC18" s="10">
        <f t="shared" si="7"/>
        <v>2</v>
      </c>
      <c r="AD18" s="12">
        <f t="shared" si="19"/>
        <v>2</v>
      </c>
      <c r="AE18" s="8">
        <f t="shared" si="4"/>
        <v>10</v>
      </c>
      <c r="AF18" s="8">
        <f>IF(AE18="","",AE18+COUNTIF(AE$2:AE18,AE18)-1)</f>
        <v>12</v>
      </c>
      <c r="AK18" s="22" t="s">
        <v>1087</v>
      </c>
      <c r="AL18" s="14" t="str">
        <f>IF(セルの固定色(AK18)=セルの固定色(AK$6),1,"")</f>
        <v/>
      </c>
      <c r="AM18" s="14" t="str">
        <f>IF(OR(ISBLANK(AL18),AL18=""),"",COUNTIF(AL$6:AL18,"&gt;0"))</f>
        <v/>
      </c>
      <c r="AN18" s="14" t="str">
        <f t="shared" si="17"/>
        <v>ＩＯ推</v>
      </c>
      <c r="AO18" s="14">
        <f t="shared" si="18"/>
        <v>-8</v>
      </c>
      <c r="AP18" s="14" t="str">
        <f>IF(ISBLANK(AK18),"",LOOKUP(1,0/(AM$6:AM18=MAX(AM$6:AM18)),AK$6:AK18))</f>
        <v>ＶＣ本</v>
      </c>
    </row>
    <row r="19" spans="1:42" ht="19.5" thickBot="1">
      <c r="A19" s="11">
        <f>COLUMN(AU1)</f>
        <v>47</v>
      </c>
      <c r="B19" t="s">
        <v>47</v>
      </c>
      <c r="C19" s="8" t="b">
        <f>IF(B19="","",COUNTIF(B$1:B18,B19)=0)</f>
        <v>0</v>
      </c>
      <c r="D19" s="8" t="str">
        <f>IF(B19="","",IF(C19,COUNTIF(C$2:C19,TRUE),""))</f>
        <v/>
      </c>
      <c r="E19" s="8" t="str">
        <f>IFERROR(LOOKUP(1,0/(D:D=ROW()-ROW(E$1)),B:B),"")</f>
        <v/>
      </c>
      <c r="F19" s="8" t="str">
        <f t="shared" si="1"/>
        <v/>
      </c>
      <c r="G19" s="8" t="str">
        <f>IF(ISBLANK(E19),"",IF(COUNTIF(AK:AK,"="&amp;E19)&gt;0,"",MAX(G$1:G18)+1))</f>
        <v/>
      </c>
      <c r="H19" s="8" t="str">
        <f t="shared" si="8"/>
        <v/>
      </c>
      <c r="J19" s="19" t="str">
        <f t="shared" si="9"/>
        <v>ＤＸ部</v>
      </c>
      <c r="K19" s="19">
        <f t="shared" si="12"/>
        <v>0</v>
      </c>
      <c r="M19" s="8" t="b">
        <f t="shared" si="13"/>
        <v>0</v>
      </c>
      <c r="N19" s="8">
        <f>IF(J19="","",IF(M19,COUNTIF(M$4:M19,TRUE),0))</f>
        <v>0</v>
      </c>
      <c r="O19" s="8" t="str">
        <f t="shared" si="14"/>
        <v/>
      </c>
      <c r="P19" s="8" t="str">
        <f t="shared" si="15"/>
        <v/>
      </c>
      <c r="Q19" s="8" t="str">
        <f t="shared" si="16"/>
        <v/>
      </c>
      <c r="S19" t="s">
        <v>54</v>
      </c>
      <c r="Z19" t="s">
        <v>83</v>
      </c>
      <c r="AB19" s="11" t="s">
        <v>826</v>
      </c>
      <c r="AC19" s="10">
        <f t="shared" si="7"/>
        <v>1</v>
      </c>
      <c r="AD19" s="12">
        <f t="shared" si="19"/>
        <v>1</v>
      </c>
      <c r="AE19" s="8">
        <f t="shared" si="4"/>
        <v>15</v>
      </c>
      <c r="AF19" s="8">
        <f>IF(AE19="","",AE19+COUNTIF(AE$2:AE19,AE19)-1)</f>
        <v>20</v>
      </c>
      <c r="AK19" s="22" t="s">
        <v>1089</v>
      </c>
      <c r="AL19" s="14" t="str">
        <f>IF(セルの固定色(AK19)=セルの固定色(AK$6),1,"")</f>
        <v/>
      </c>
      <c r="AM19" s="14" t="str">
        <f>IF(OR(ISBLANK(AL19),AL19=""),"",COUNTIF(AL$6:AL19,"&gt;0"))</f>
        <v/>
      </c>
      <c r="AN19" s="14" t="str">
        <f t="shared" si="17"/>
        <v>営推部</v>
      </c>
      <c r="AO19" s="14">
        <f t="shared" si="18"/>
        <v>-7</v>
      </c>
      <c r="AP19" s="14" t="str">
        <f>IF(ISBLANK(AK19),"",LOOKUP(1,0/(AM$6:AM19=MAX(AM$6:AM19)),AK$6:AK19))</f>
        <v>ＶＣ本</v>
      </c>
    </row>
    <row r="20" spans="1:42">
      <c r="A20" s="21">
        <f ca="1">COUNTIF(INDIRECT("C"&amp;非許可特例抽出&amp;":C"&amp;非許可特例抽出,FALSE),"技輸審*")</f>
        <v>1</v>
      </c>
      <c r="B20" t="s">
        <v>47</v>
      </c>
      <c r="C20" s="8" t="b">
        <f>IF(B20="","",COUNTIF(B$1:B19,B20)=0)</f>
        <v>0</v>
      </c>
      <c r="D20" s="8" t="str">
        <f>IF(B20="","",IF(C20,COUNTIF(C$2:C20,TRUE),""))</f>
        <v/>
      </c>
      <c r="E20" s="8" t="str">
        <f t="shared" ref="E20:E83" si="20">IFERROR(LOOKUP(1,0/(D:D=ROW()-ROW(E$1)),B:B),"")</f>
        <v/>
      </c>
      <c r="F20" s="8" t="str">
        <f t="shared" si="1"/>
        <v/>
      </c>
      <c r="G20" s="8" t="str">
        <f>IF(ISBLANK(E20),"",IF(COUNTIF(AK:AK,"="&amp;E20)&gt;0,"",MAX(G$1:G19)+1))</f>
        <v/>
      </c>
      <c r="H20" s="8" t="str">
        <f t="shared" si="8"/>
        <v/>
      </c>
      <c r="J20" s="19" t="str">
        <f t="shared" si="9"/>
        <v>経企部</v>
      </c>
      <c r="K20" s="19">
        <f t="shared" si="12"/>
        <v>0</v>
      </c>
      <c r="M20" s="8" t="b">
        <f t="shared" si="13"/>
        <v>0</v>
      </c>
      <c r="N20" s="8">
        <f>IF(J20="","",IF(M20,COUNTIF(M$4:M20,TRUE),0))</f>
        <v>0</v>
      </c>
      <c r="O20" s="8" t="str">
        <f t="shared" si="14"/>
        <v/>
      </c>
      <c r="P20" s="8" t="str">
        <f t="shared" si="15"/>
        <v/>
      </c>
      <c r="Q20" s="8" t="str">
        <f t="shared" si="16"/>
        <v/>
      </c>
      <c r="S20" t="s">
        <v>54</v>
      </c>
      <c r="Z20" t="s">
        <v>68</v>
      </c>
      <c r="AB20" s="11" t="s">
        <v>222</v>
      </c>
      <c r="AC20" s="10">
        <f t="shared" si="7"/>
        <v>7</v>
      </c>
      <c r="AD20" s="12">
        <f t="shared" si="19"/>
        <v>7</v>
      </c>
      <c r="AE20" s="8">
        <f t="shared" si="4"/>
        <v>4</v>
      </c>
      <c r="AF20" s="8">
        <f>IF(AE20="","",AE20+COUNTIF(AE$2:AE20,AE20)-1)</f>
        <v>4</v>
      </c>
      <c r="AK20" s="23" t="s">
        <v>1463</v>
      </c>
      <c r="AL20" s="14">
        <f>IF(セルの固定色(AK20)=セルの固定色(AK$6),1,"")</f>
        <v>1</v>
      </c>
      <c r="AM20" s="14">
        <f>IF(OR(ISBLANK(AL20),AL20=""),"",COUNTIF(AL$6:AL20,"&gt;0"))</f>
        <v>2</v>
      </c>
      <c r="AN20" s="14" t="str">
        <f t="shared" si="17"/>
        <v>情セ部</v>
      </c>
      <c r="AO20" s="14">
        <f t="shared" si="18"/>
        <v>-6</v>
      </c>
      <c r="AP20" s="14" t="str">
        <f>IF(ISBLANK(AK20),"",LOOKUP(1,0/(AM$6:AM20=MAX(AM$6:AM20)),AK$6:AK20))</f>
        <v>西本部</v>
      </c>
    </row>
    <row r="21" spans="1:42">
      <c r="A21" s="7" t="s">
        <v>1095</v>
      </c>
      <c r="B21" t="s">
        <v>47</v>
      </c>
      <c r="C21" s="8" t="b">
        <f>IF(B21="","",COUNTIF(B$1:B20,B21)=0)</f>
        <v>0</v>
      </c>
      <c r="D21" s="8" t="str">
        <f>IF(B21="","",IF(C21,COUNTIF(C$2:C21,TRUE),""))</f>
        <v/>
      </c>
      <c r="E21" s="8" t="str">
        <f t="shared" si="20"/>
        <v/>
      </c>
      <c r="F21" s="8" t="str">
        <f t="shared" si="1"/>
        <v/>
      </c>
      <c r="G21" s="8" t="str">
        <f>IF(ISBLANK(E21),"",IF(COUNTIF(AK:AK,"="&amp;E21)&gt;0,"",MAX(G$1:G20)+1))</f>
        <v/>
      </c>
      <c r="H21" s="8" t="str">
        <f t="shared" si="8"/>
        <v/>
      </c>
      <c r="J21" s="19" t="str">
        <f t="shared" si="9"/>
        <v>総務部</v>
      </c>
      <c r="K21" s="19">
        <f t="shared" si="12"/>
        <v>0</v>
      </c>
      <c r="M21" s="8" t="b">
        <f t="shared" si="13"/>
        <v>0</v>
      </c>
      <c r="N21" s="8">
        <f>IF(J21="","",IF(M21,COUNTIF(M$4:M21,TRUE),0))</f>
        <v>0</v>
      </c>
      <c r="O21" s="8" t="str">
        <f t="shared" si="14"/>
        <v/>
      </c>
      <c r="P21" s="8" t="str">
        <f t="shared" si="15"/>
        <v/>
      </c>
      <c r="Q21" s="8" t="str">
        <f t="shared" si="16"/>
        <v/>
      </c>
      <c r="S21" t="s">
        <v>27</v>
      </c>
      <c r="Z21" t="s">
        <v>68</v>
      </c>
      <c r="AB21" s="11" t="s">
        <v>105</v>
      </c>
      <c r="AC21" s="10">
        <f t="shared" si="7"/>
        <v>1</v>
      </c>
      <c r="AD21" s="12">
        <f t="shared" si="19"/>
        <v>1</v>
      </c>
      <c r="AE21" s="8">
        <f t="shared" si="4"/>
        <v>15</v>
      </c>
      <c r="AF21" s="8">
        <f>IF(AE21="","",AE21+COUNTIF(AE$2:AE21,AE21)-1)</f>
        <v>21</v>
      </c>
      <c r="AK21" s="18" t="s">
        <v>1090</v>
      </c>
      <c r="AL21" s="14" t="str">
        <f>IF(セルの固定色(AK21)=セルの固定色(AK$6),1,"")</f>
        <v/>
      </c>
      <c r="AM21" s="14" t="str">
        <f>IF(OR(ISBLANK(AL21),AL21=""),"",COUNTIF(AL$6:AL21,"&gt;0"))</f>
        <v/>
      </c>
      <c r="AN21" s="14" t="str">
        <f t="shared" si="17"/>
        <v>ＤＸ部</v>
      </c>
      <c r="AO21" s="14">
        <f t="shared" si="18"/>
        <v>-5</v>
      </c>
      <c r="AP21" s="14" t="str">
        <f>IF(ISBLANK(AK21),"",LOOKUP(1,0/(AM$6:AM21=MAX(AM$6:AM21)),AK$6:AK21))</f>
        <v>西本部</v>
      </c>
    </row>
    <row r="22" spans="1:42">
      <c r="A22" s="21">
        <v>105</v>
      </c>
      <c r="B22" t="s">
        <v>47</v>
      </c>
      <c r="C22" s="8" t="b">
        <f>IF(B22="","",COUNTIF(B$1:B21,B22)=0)</f>
        <v>0</v>
      </c>
      <c r="D22" s="8" t="str">
        <f>IF(B22="","",IF(C22,COUNTIF(C$2:C22,TRUE),""))</f>
        <v/>
      </c>
      <c r="E22" s="8" t="str">
        <f t="shared" si="20"/>
        <v/>
      </c>
      <c r="F22" s="8" t="str">
        <f t="shared" si="1"/>
        <v/>
      </c>
      <c r="G22" s="8" t="str">
        <f>IF(ISBLANK(E22),"",IF(COUNTIF(AK:AK,"="&amp;E22)&gt;0,"",MAX(G$1:G21)+1))</f>
        <v/>
      </c>
      <c r="H22" s="8" t="str">
        <f t="shared" si="8"/>
        <v/>
      </c>
      <c r="J22" s="19" t="str">
        <f t="shared" si="9"/>
        <v>人事部</v>
      </c>
      <c r="K22" s="19">
        <f t="shared" si="12"/>
        <v>1</v>
      </c>
      <c r="M22" s="8" t="b">
        <f t="shared" si="13"/>
        <v>1</v>
      </c>
      <c r="N22" s="8">
        <f>IF(J22="","",IF(M22,COUNTIF(M$4:M22,TRUE),0))</f>
        <v>7</v>
      </c>
      <c r="O22" s="8" t="str">
        <f t="shared" si="14"/>
        <v/>
      </c>
      <c r="P22" s="8" t="str">
        <f t="shared" si="15"/>
        <v/>
      </c>
      <c r="Q22" s="8" t="str">
        <f t="shared" si="16"/>
        <v/>
      </c>
      <c r="S22" t="s">
        <v>494</v>
      </c>
      <c r="Z22" t="s">
        <v>44</v>
      </c>
      <c r="AB22" s="11" t="s">
        <v>903</v>
      </c>
      <c r="AC22" s="10">
        <f t="shared" si="7"/>
        <v>2</v>
      </c>
      <c r="AD22" s="12">
        <f t="shared" si="19"/>
        <v>2</v>
      </c>
      <c r="AE22" s="8">
        <f t="shared" si="4"/>
        <v>10</v>
      </c>
      <c r="AF22" s="8">
        <f>IF(AE22="","",AE22+COUNTIF(AE$2:AE22,AE22)-1)</f>
        <v>13</v>
      </c>
      <c r="AK22" s="18" t="s">
        <v>1092</v>
      </c>
      <c r="AL22" s="14" t="str">
        <f>IF(セルの固定色(AK22)=セルの固定色(AK$6),1,"")</f>
        <v/>
      </c>
      <c r="AM22" s="14" t="str">
        <f>IF(OR(ISBLANK(AL22),AL22=""),"",COUNTIF(AL$6:AL22,"&gt;0"))</f>
        <v/>
      </c>
      <c r="AN22" s="14" t="str">
        <f t="shared" si="17"/>
        <v>経企部</v>
      </c>
      <c r="AO22" s="14">
        <f t="shared" si="18"/>
        <v>-4</v>
      </c>
      <c r="AP22" s="14" t="str">
        <f>IF(ISBLANK(AK22),"",LOOKUP(1,0/(AM$6:AM22=MAX(AM$6:AM22)),AK$6:AK22))</f>
        <v>西本部</v>
      </c>
    </row>
    <row r="23" spans="1:42">
      <c r="A23" s="7" t="s">
        <v>1457</v>
      </c>
      <c r="B23" t="s">
        <v>128</v>
      </c>
      <c r="C23" s="8" t="b">
        <f>IF(B23="","",COUNTIF(B$1:B22,B23)=0)</f>
        <v>1</v>
      </c>
      <c r="D23" s="8">
        <f>IF(B23="","",IF(C23,COUNTIF(C$2:C23,TRUE),""))</f>
        <v>8</v>
      </c>
      <c r="E23" s="8" t="str">
        <f t="shared" si="20"/>
        <v/>
      </c>
      <c r="F23" s="8" t="str">
        <f t="shared" si="1"/>
        <v/>
      </c>
      <c r="G23" s="8" t="str">
        <f>IF(ISBLANK(E23),"",IF(COUNTIF(AK:AK,"="&amp;E23)&gt;0,"",MAX(G$1:G22)+1))</f>
        <v/>
      </c>
      <c r="H23" s="8" t="str">
        <f t="shared" si="8"/>
        <v/>
      </c>
      <c r="J23" s="19" t="str">
        <f t="shared" si="9"/>
        <v>考査部</v>
      </c>
      <c r="K23" s="19">
        <f t="shared" si="12"/>
        <v>0</v>
      </c>
      <c r="M23" s="8" t="b">
        <f t="shared" si="13"/>
        <v>0</v>
      </c>
      <c r="N23" s="8">
        <f>IF(J23="","",IF(M23,COUNTIF(M$4:M23,TRUE),0))</f>
        <v>0</v>
      </c>
      <c r="O23" s="8" t="str">
        <f t="shared" si="14"/>
        <v/>
      </c>
      <c r="P23" s="8" t="str">
        <f t="shared" si="15"/>
        <v/>
      </c>
      <c r="Q23" s="8" t="str">
        <f t="shared" si="16"/>
        <v/>
      </c>
      <c r="S23" t="s">
        <v>54</v>
      </c>
      <c r="Z23" t="s">
        <v>37</v>
      </c>
      <c r="AB23" s="11" t="s">
        <v>911</v>
      </c>
      <c r="AC23" s="10">
        <f t="shared" si="7"/>
        <v>1</v>
      </c>
      <c r="AD23" s="12">
        <f t="shared" si="19"/>
        <v>1</v>
      </c>
      <c r="AE23" s="8">
        <f t="shared" si="4"/>
        <v>15</v>
      </c>
      <c r="AF23" s="8">
        <f>IF(AE23="","",AE23+COUNTIF(AE$2:AE23,AE23)-1)</f>
        <v>22</v>
      </c>
      <c r="AK23" s="18" t="s">
        <v>1093</v>
      </c>
      <c r="AL23" s="14" t="str">
        <f>IF(セルの固定色(AK23)=セルの固定色(AK$6),1,"")</f>
        <v/>
      </c>
      <c r="AM23" s="14" t="str">
        <f>IF(OR(ISBLANK(AL23),AL23=""),"",COUNTIF(AL$6:AL23,"&gt;0"))</f>
        <v/>
      </c>
      <c r="AN23" s="14" t="str">
        <f t="shared" si="17"/>
        <v>総務部</v>
      </c>
      <c r="AO23" s="14">
        <f t="shared" si="18"/>
        <v>-3</v>
      </c>
      <c r="AP23" s="14" t="str">
        <f>IF(ISBLANK(AK23),"",LOOKUP(1,0/(AM$6:AM23=MAX(AM$6:AM23)),AK$6:AK23))</f>
        <v>西本部</v>
      </c>
    </row>
    <row r="24" spans="1:42">
      <c r="A24" s="62">
        <f ca="1">_xlfn.SHEET(組織名称・略称・英文呼称!$E$1)</f>
        <v>6</v>
      </c>
      <c r="B24" t="s">
        <v>32</v>
      </c>
      <c r="C24" s="8" t="b">
        <f>IF(B24="","",COUNTIF(B$1:B23,B24)=0)</f>
        <v>0</v>
      </c>
      <c r="D24" s="8" t="str">
        <f>IF(B24="","",IF(C24,COUNTIF(C$2:C24,TRUE),""))</f>
        <v/>
      </c>
      <c r="E24" s="8" t="str">
        <f t="shared" si="20"/>
        <v/>
      </c>
      <c r="F24" s="8" t="str">
        <f t="shared" si="1"/>
        <v/>
      </c>
      <c r="G24" s="8" t="str">
        <f>IF(ISBLANK(E24),"",IF(COUNTIF(AK:AK,"="&amp;E24)&gt;0,"",MAX(G$1:G23)+1))</f>
        <v/>
      </c>
      <c r="H24" s="8" t="str">
        <f t="shared" si="8"/>
        <v/>
      </c>
      <c r="J24" s="19" t="str">
        <f t="shared" si="9"/>
        <v>監査室</v>
      </c>
      <c r="K24" s="19">
        <f t="shared" si="12"/>
        <v>0</v>
      </c>
      <c r="M24" s="8" t="b">
        <f t="shared" si="13"/>
        <v>0</v>
      </c>
      <c r="N24" s="8">
        <f>IF(J24="","",IF(M24,COUNTIF(M$4:M24,TRUE),0))</f>
        <v>0</v>
      </c>
      <c r="O24" s="8" t="str">
        <f t="shared" si="14"/>
        <v/>
      </c>
      <c r="P24" s="8" t="str">
        <f t="shared" si="15"/>
        <v/>
      </c>
      <c r="Q24" s="8" t="str">
        <f t="shared" si="16"/>
        <v/>
      </c>
      <c r="S24" t="s">
        <v>494</v>
      </c>
      <c r="Z24" t="s">
        <v>773</v>
      </c>
      <c r="AB24" s="11" t="s">
        <v>985</v>
      </c>
      <c r="AC24" s="10">
        <f t="shared" si="7"/>
        <v>1</v>
      </c>
      <c r="AD24" s="12">
        <f>SUM(AC24)</f>
        <v>1</v>
      </c>
      <c r="AE24" s="8">
        <f t="shared" si="4"/>
        <v>15</v>
      </c>
      <c r="AF24" s="8">
        <f>IF(AE24="","",AE24+COUNTIF(AE$2:AE24,AE24)-1)</f>
        <v>23</v>
      </c>
      <c r="AK24" s="24" t="s">
        <v>1094</v>
      </c>
      <c r="AL24" s="14" t="str">
        <f>IF(セルの固定色(AK24)=セルの固定色(AK$6),1,"")</f>
        <v/>
      </c>
      <c r="AM24" s="14" t="str">
        <f>IF(OR(ISBLANK(AL24),AL24=""),"",COUNTIF(AL$6:AL24,"&gt;0"))</f>
        <v/>
      </c>
      <c r="AN24" s="14" t="str">
        <f t="shared" si="17"/>
        <v>人事部</v>
      </c>
      <c r="AO24" s="14">
        <f t="shared" si="18"/>
        <v>-2</v>
      </c>
      <c r="AP24" s="14" t="str">
        <f>IF(ISBLANK(AK24),"",LOOKUP(1,0/(AM$6:AM24=MAX(AM$6:AM24)),AK$6:AK24))</f>
        <v>西本部</v>
      </c>
    </row>
    <row r="25" spans="1:42">
      <c r="A25" t="s">
        <v>1458</v>
      </c>
      <c r="B25" t="s">
        <v>32</v>
      </c>
      <c r="C25" s="8" t="b">
        <f>IF(B25="","",COUNTIF(B$1:B24,B25)=0)</f>
        <v>0</v>
      </c>
      <c r="D25" s="8" t="str">
        <f>IF(B25="","",IF(C25,COUNTIF(C$2:C25,TRUE),""))</f>
        <v/>
      </c>
      <c r="E25" s="8" t="str">
        <f t="shared" si="20"/>
        <v/>
      </c>
      <c r="F25" s="8" t="str">
        <f t="shared" si="1"/>
        <v/>
      </c>
      <c r="G25" s="8" t="str">
        <f>IF(ISBLANK(E25),"",IF(COUNTIF(AK:AK,"="&amp;E25)&gt;0,"",MAX(G$1:G24)+1))</f>
        <v/>
      </c>
      <c r="H25" s="8" t="str">
        <f t="shared" si="8"/>
        <v/>
      </c>
      <c r="J25" s="19" t="str">
        <f t="shared" si="9"/>
        <v/>
      </c>
      <c r="K25" s="19" t="str">
        <f t="shared" si="12"/>
        <v/>
      </c>
      <c r="M25" s="8" t="str">
        <f t="shared" si="13"/>
        <v/>
      </c>
      <c r="N25" s="8" t="str">
        <f>IF(J25="","",IF(M25,COUNTIF(M$4:M25,TRUE),0))</f>
        <v/>
      </c>
      <c r="O25" s="8" t="str">
        <f t="shared" si="14"/>
        <v/>
      </c>
      <c r="P25" s="8" t="str">
        <f t="shared" si="15"/>
        <v/>
      </c>
      <c r="Q25" s="8" t="str">
        <f t="shared" si="16"/>
        <v/>
      </c>
      <c r="S25" t="s">
        <v>779</v>
      </c>
      <c r="Z25" t="s">
        <v>780</v>
      </c>
      <c r="AB25" s="11" t="s">
        <v>477</v>
      </c>
      <c r="AC25" s="10">
        <f t="shared" si="7"/>
        <v>1</v>
      </c>
      <c r="AD25" s="12">
        <f t="shared" ref="AD25" si="21">SUM(AC25)</f>
        <v>1</v>
      </c>
      <c r="AE25" s="8">
        <f t="shared" si="4"/>
        <v>15</v>
      </c>
      <c r="AF25" s="8">
        <f>IF(AE25="","",AE25+COUNTIF(AE$2:AE25,AE25)-1)</f>
        <v>24</v>
      </c>
      <c r="AK25" s="24" t="s">
        <v>1096</v>
      </c>
      <c r="AL25" s="14" t="str">
        <f>IF(セルの固定色(AK25)=セルの固定色(AK$6),1,"")</f>
        <v/>
      </c>
      <c r="AM25" s="14" t="str">
        <f>IF(OR(ISBLANK(AL25),AL25=""),"",COUNTIF(AL$6:AL25,"&gt;0"))</f>
        <v/>
      </c>
      <c r="AN25" s="14" t="str">
        <f t="shared" si="17"/>
        <v>考査部</v>
      </c>
      <c r="AO25" s="14">
        <f t="shared" si="18"/>
        <v>-1</v>
      </c>
      <c r="AP25" s="14" t="str">
        <f>IF(ISBLANK(AK25),"",LOOKUP(1,0/(AM$6:AM25=MAX(AM$6:AM25)),AK$6:AK25))</f>
        <v>西本部</v>
      </c>
    </row>
    <row r="26" spans="1:42">
      <c r="A26" s="62">
        <f>COLUMN(組織名称・略称・英文呼称!$E$1)</f>
        <v>5</v>
      </c>
      <c r="B26" t="s">
        <v>90</v>
      </c>
      <c r="C26" s="8" t="b">
        <f>IF(B26="","",COUNTIF(B$1:B25,B26)=0)</f>
        <v>0</v>
      </c>
      <c r="D26" s="8" t="str">
        <f>IF(B26="","",IF(C26,COUNTIF(C$2:C26,TRUE),""))</f>
        <v/>
      </c>
      <c r="E26" s="8" t="str">
        <f t="shared" si="20"/>
        <v/>
      </c>
      <c r="F26" s="8" t="str">
        <f t="shared" si="1"/>
        <v/>
      </c>
      <c r="G26" s="8" t="str">
        <f>IF(ISBLANK(E26),"",IF(COUNTIF(AK:AK,"="&amp;E26)&gt;0,"",MAX(G$1:G25)+1))</f>
        <v/>
      </c>
      <c r="H26" s="8" t="str">
        <f t="shared" si="8"/>
        <v/>
      </c>
      <c r="J26" s="19" t="str">
        <f t="shared" si="9"/>
        <v/>
      </c>
      <c r="K26" s="19" t="str">
        <f t="shared" si="12"/>
        <v/>
      </c>
      <c r="M26" s="8" t="str">
        <f t="shared" si="13"/>
        <v/>
      </c>
      <c r="N26" s="8" t="str">
        <f>IF(J26="","",IF(M26,COUNTIF(M$4:M26,TRUE),0))</f>
        <v/>
      </c>
      <c r="O26" s="8" t="str">
        <f t="shared" si="14"/>
        <v/>
      </c>
      <c r="P26" s="8" t="str">
        <f t="shared" si="15"/>
        <v/>
      </c>
      <c r="Q26" s="8" t="str">
        <f t="shared" si="16"/>
        <v/>
      </c>
      <c r="S26" t="s">
        <v>87</v>
      </c>
      <c r="Z26" t="s">
        <v>68</v>
      </c>
      <c r="AB26" s="11" t="s">
        <v>999</v>
      </c>
      <c r="AC26" s="10">
        <f t="shared" si="7"/>
        <v>1</v>
      </c>
      <c r="AD26" s="12">
        <f>SUM(AC26)</f>
        <v>1</v>
      </c>
      <c r="AE26" s="8">
        <f t="shared" si="4"/>
        <v>15</v>
      </c>
      <c r="AF26" s="8">
        <f>IF(AE26="","",AE26+COUNTIF(AE$2:AE26,AE26)-1)</f>
        <v>25</v>
      </c>
      <c r="AK26" s="24" t="s">
        <v>1097</v>
      </c>
      <c r="AL26" s="14" t="str">
        <f>IF(セルの固定色(AK26)=セルの固定色(AK$6),1,"")</f>
        <v/>
      </c>
      <c r="AM26" s="14" t="str">
        <f>IF(OR(ISBLANK(AL26),AL26=""),"",COUNTIF(AL$6:AL26,"&gt;0"))</f>
        <v/>
      </c>
      <c r="AN26" s="14" t="str">
        <f t="shared" si="17"/>
        <v>監査室</v>
      </c>
      <c r="AO26" s="14">
        <f t="shared" si="18"/>
        <v>0</v>
      </c>
      <c r="AP26" s="14" t="str">
        <f>IF(ISBLANK(AK26),"",LOOKUP(1,0/(AM$6:AM26=MAX(AM$6:AM26)),AK$6:AK26))</f>
        <v>西本部</v>
      </c>
    </row>
    <row r="27" spans="1:42" ht="19.5" thickBot="1">
      <c r="B27" t="s">
        <v>47</v>
      </c>
      <c r="C27" s="8" t="b">
        <f>IF(B27="","",COUNTIF(B$1:B26,B27)=0)</f>
        <v>0</v>
      </c>
      <c r="D27" s="8" t="str">
        <f>IF(B27="","",IF(C27,COUNTIF(C$2:C27,TRUE),""))</f>
        <v/>
      </c>
      <c r="E27" s="8" t="str">
        <f t="shared" si="20"/>
        <v/>
      </c>
      <c r="F27" s="8" t="str">
        <f t="shared" si="1"/>
        <v/>
      </c>
      <c r="G27" s="8" t="str">
        <f>IF(ISBLANK(E27),"",IF(COUNTIF(AK:AK,"="&amp;E27)&gt;0,"",MAX(G$1:G26)+1))</f>
        <v/>
      </c>
      <c r="H27" s="8" t="str">
        <f t="shared" si="8"/>
        <v/>
      </c>
      <c r="J27" s="19" t="str">
        <f t="shared" si="9"/>
        <v/>
      </c>
      <c r="K27" s="19" t="str">
        <f t="shared" si="12"/>
        <v/>
      </c>
      <c r="M27" s="8" t="str">
        <f t="shared" si="13"/>
        <v/>
      </c>
      <c r="N27" s="8" t="str">
        <f>IF(J27="","",IF(M27,COUNTIF(M$4:M27,TRUE),0))</f>
        <v/>
      </c>
      <c r="P27" s="27">
        <f>SUM(P4:P26)</f>
        <v>105</v>
      </c>
      <c r="Q27" s="27">
        <f>SUM(Q4:Q26)</f>
        <v>82</v>
      </c>
      <c r="S27" t="s">
        <v>27</v>
      </c>
      <c r="Z27" t="s">
        <v>59</v>
      </c>
      <c r="AB27" s="11" t="s">
        <v>639</v>
      </c>
      <c r="AC27" s="10">
        <f t="shared" si="7"/>
        <v>1</v>
      </c>
      <c r="AD27" s="12">
        <f>SUM(AC27)</f>
        <v>1</v>
      </c>
      <c r="AE27" s="8">
        <f t="shared" si="4"/>
        <v>15</v>
      </c>
      <c r="AF27" s="8">
        <f>IF(AE27="","",AE27+COUNTIF(AE$2:AE27,AE27)-1)</f>
        <v>26</v>
      </c>
      <c r="AK27" s="25" t="s">
        <v>1098</v>
      </c>
      <c r="AL27" s="14" t="str">
        <f>IF(セルの固定色(AK27)=セルの固定色(AK$6),1,"")</f>
        <v/>
      </c>
      <c r="AM27" s="14" t="str">
        <f>IF(OR(ISBLANK(AL27),AL27=""),"",COUNTIF(AL$6:AL27,"&gt;0"))</f>
        <v/>
      </c>
      <c r="AN27" s="14" t="str">
        <f t="shared" si="17"/>
        <v/>
      </c>
      <c r="AO27" s="14">
        <f t="shared" si="18"/>
        <v>1</v>
      </c>
      <c r="AP27" s="14" t="str">
        <f>IF(ISBLANK(AK27),"",LOOKUP(1,0/(AM$6:AM27=MAX(AM$6:AM27)),AK$6:AK27))</f>
        <v>西本部</v>
      </c>
    </row>
    <row r="28" spans="1:42" ht="20.25" thickTop="1" thickBot="1">
      <c r="A28" t="b">
        <f>IF(ISREF(非許可特例抽出),TRUE,FALSE)</f>
        <v>1</v>
      </c>
      <c r="B28" t="s">
        <v>47</v>
      </c>
      <c r="C28" s="8" t="b">
        <f>IF(B28="","",COUNTIF(B$1:B27,B28)=0)</f>
        <v>0</v>
      </c>
      <c r="D28" s="8" t="str">
        <f>IF(B28="","",IF(C28,COUNTIF(C$2:C28,TRUE),""))</f>
        <v/>
      </c>
      <c r="E28" s="8" t="str">
        <f t="shared" si="20"/>
        <v/>
      </c>
      <c r="F28" s="8" t="str">
        <f t="shared" si="1"/>
        <v/>
      </c>
      <c r="G28" s="8" t="str">
        <f>IF(ISBLANK(E28),"",IF(COUNTIF(AK:AK,"="&amp;E28)&gt;0,"",MAX(G$1:G27)+1))</f>
        <v/>
      </c>
      <c r="H28" s="8" t="str">
        <f t="shared" si="8"/>
        <v/>
      </c>
      <c r="J28" s="19" t="str">
        <f t="shared" si="9"/>
        <v/>
      </c>
      <c r="K28" s="19" t="str">
        <f t="shared" si="12"/>
        <v/>
      </c>
      <c r="M28" s="8" t="str">
        <f t="shared" si="13"/>
        <v/>
      </c>
      <c r="N28" s="8" t="str">
        <f>IF(J28="","",IF(M28,COUNTIF(M$4:M28,TRUE),0))</f>
        <v/>
      </c>
      <c r="O28" s="26" t="s">
        <v>1100</v>
      </c>
      <c r="P28" s="26" t="s">
        <v>1100</v>
      </c>
      <c r="Q28" s="26" t="s">
        <v>1100</v>
      </c>
      <c r="S28" t="s">
        <v>87</v>
      </c>
      <c r="Z28" t="s">
        <v>68</v>
      </c>
      <c r="AB28" s="11" t="s">
        <v>1037</v>
      </c>
      <c r="AC28" s="10">
        <f t="shared" si="7"/>
        <v>1</v>
      </c>
      <c r="AD28" s="12">
        <f>SUM(AC28)</f>
        <v>1</v>
      </c>
      <c r="AE28" s="8">
        <f t="shared" si="4"/>
        <v>15</v>
      </c>
      <c r="AF28" s="8">
        <f>IF(AE28="","",AE28+COUNTIF(AE$2:AE28,AE28)-1)</f>
        <v>27</v>
      </c>
      <c r="AK28" s="22" t="s">
        <v>1099</v>
      </c>
      <c r="AL28" s="14" t="str">
        <f>IF(セルの固定色(AK28)=セルの固定色(AK$6),1,"")</f>
        <v/>
      </c>
      <c r="AM28" s="14" t="str">
        <f>IF(OR(ISBLANK(AL28),AL28=""),"",COUNTIF(AL$6:AL28,"&gt;0"))</f>
        <v/>
      </c>
      <c r="AN28" s="14" t="str">
        <f t="shared" si="17"/>
        <v/>
      </c>
      <c r="AO28" s="14">
        <f t="shared" si="18"/>
        <v>2</v>
      </c>
      <c r="AP28" s="14" t="str">
        <f>IF(ISBLANK(AK28),"",LOOKUP(1,0/(AM$6:AM28=MAX(AM$6:AM28)),AK$6:AK28))</f>
        <v>西本部</v>
      </c>
    </row>
    <row r="29" spans="1:42">
      <c r="B29" t="s">
        <v>47</v>
      </c>
      <c r="C29" s="8" t="b">
        <f>IF(B29="","",COUNTIF(B$1:B28,B29)=0)</f>
        <v>0</v>
      </c>
      <c r="D29" s="8" t="str">
        <f>IF(B29="","",IF(C29,COUNTIF(C$2:C29,TRUE),""))</f>
        <v/>
      </c>
      <c r="E29" s="8" t="str">
        <f t="shared" si="20"/>
        <v/>
      </c>
      <c r="F29" s="8" t="str">
        <f t="shared" si="1"/>
        <v/>
      </c>
      <c r="G29" s="8" t="str">
        <f>IF(ISBLANK(E29),"",IF(COUNTIF(AK:AK,"="&amp;E29)&gt;0,"",MAX(G$1:G28)+1))</f>
        <v/>
      </c>
      <c r="H29" s="8" t="str">
        <f t="shared" si="8"/>
        <v/>
      </c>
      <c r="J29" s="19" t="str">
        <f t="shared" si="9"/>
        <v/>
      </c>
      <c r="K29" s="19" t="str">
        <f t="shared" si="12"/>
        <v/>
      </c>
      <c r="M29" s="8" t="str">
        <f t="shared" si="13"/>
        <v/>
      </c>
      <c r="N29" s="8" t="str">
        <f>IF(J29="","",IF(M29,COUNTIF(M$4:M29,TRUE),0))</f>
        <v/>
      </c>
      <c r="S29" t="s">
        <v>27</v>
      </c>
      <c r="Z29" t="s">
        <v>37</v>
      </c>
      <c r="AC29" s="8" t="str">
        <f t="shared" si="7"/>
        <v/>
      </c>
      <c r="AE29" s="8" t="str">
        <f t="shared" si="4"/>
        <v/>
      </c>
      <c r="AF29" s="8" t="str">
        <f>IF(AE29="","",AE29+COUNTIF(AE$2:AE29,AE29)-1)</f>
        <v/>
      </c>
      <c r="AK29" s="23" t="s">
        <v>1464</v>
      </c>
      <c r="AL29" s="14">
        <f>IF(セルの固定色(AK29)=セルの固定色(AK$6),1,"")</f>
        <v>1</v>
      </c>
      <c r="AM29" s="14">
        <f>IF(OR(ISBLANK(AL29),AL29=""),"",COUNTIF(AL$6:AL29,"&gt;0"))</f>
        <v>3</v>
      </c>
      <c r="AN29" s="14" t="str">
        <f t="shared" si="17"/>
        <v/>
      </c>
      <c r="AO29" s="14">
        <f t="shared" si="18"/>
        <v>3</v>
      </c>
      <c r="AP29" s="14" t="str">
        <f>IF(ISBLANK(AK29),"",LOOKUP(1,0/(AM$6:AM29=MAX(AM$6:AM29)),AK$6:AK29))</f>
        <v>ＧＢ本</v>
      </c>
    </row>
    <row r="30" spans="1:42">
      <c r="B30" t="s">
        <v>32</v>
      </c>
      <c r="C30" s="8" t="b">
        <f>IF(B30="","",COUNTIF(B$1:B29,B30)=0)</f>
        <v>0</v>
      </c>
      <c r="D30" s="8" t="str">
        <f>IF(B30="","",IF(C30,COUNTIF(C$2:C30,TRUE),""))</f>
        <v/>
      </c>
      <c r="E30" s="8" t="str">
        <f t="shared" si="20"/>
        <v/>
      </c>
      <c r="F30" s="8" t="str">
        <f t="shared" si="1"/>
        <v/>
      </c>
      <c r="G30" s="8" t="str">
        <f>IF(ISBLANK(E30),"",IF(COUNTIF(AK:AK,"="&amp;E30)&gt;0,"",MAX(G$1:G29)+1))</f>
        <v/>
      </c>
      <c r="H30" s="8" t="str">
        <f t="shared" si="8"/>
        <v/>
      </c>
      <c r="J30" s="19" t="str">
        <f t="shared" si="9"/>
        <v/>
      </c>
      <c r="K30" s="19" t="str">
        <f t="shared" si="12"/>
        <v/>
      </c>
      <c r="M30" s="8" t="str">
        <f t="shared" si="13"/>
        <v/>
      </c>
      <c r="N30" s="8" t="str">
        <f>IF(J30="","",IF(M30,COUNTIF(M$4:M30,TRUE),0))</f>
        <v/>
      </c>
      <c r="S30" t="s">
        <v>27</v>
      </c>
      <c r="Z30" t="s">
        <v>795</v>
      </c>
      <c r="AB30" s="28" t="s">
        <v>715</v>
      </c>
      <c r="AC30" s="8">
        <f t="shared" si="7"/>
        <v>1</v>
      </c>
      <c r="AD30" s="12">
        <f>SUM(AC30)</f>
        <v>1</v>
      </c>
      <c r="AE30" s="8">
        <f t="shared" si="4"/>
        <v>15</v>
      </c>
      <c r="AF30" s="8">
        <f>IF(AE30="","",AE30+COUNTIF(AE$2:AE30,AE30)-1)</f>
        <v>28</v>
      </c>
      <c r="AK30" s="18" t="s">
        <v>1101</v>
      </c>
      <c r="AL30" s="14" t="str">
        <f>IF(セルの固定色(AK30)=セルの固定色(AK$6),1,"")</f>
        <v/>
      </c>
      <c r="AM30" s="14" t="str">
        <f>IF(OR(ISBLANK(AL30),AL30=""),"",COUNTIF(AL$6:AL30,"&gt;0"))</f>
        <v/>
      </c>
      <c r="AN30" s="14" t="str">
        <f t="shared" si="17"/>
        <v/>
      </c>
      <c r="AO30" s="14">
        <f t="shared" si="18"/>
        <v>4</v>
      </c>
      <c r="AP30" s="14" t="str">
        <f>IF(ISBLANK(AK30),"",LOOKUP(1,0/(AM$6:AM30=MAX(AM$6:AM30)),AK$6:AK30))</f>
        <v>ＧＢ本</v>
      </c>
    </row>
    <row r="31" spans="1:42">
      <c r="B31" t="s">
        <v>32</v>
      </c>
      <c r="C31" s="8" t="b">
        <f>IF(B31="","",COUNTIF(B$1:B30,B31)=0)</f>
        <v>0</v>
      </c>
      <c r="D31" s="8" t="str">
        <f>IF(B31="","",IF(C31,COUNTIF(C$2:C31,TRUE),""))</f>
        <v/>
      </c>
      <c r="E31" s="8" t="str">
        <f t="shared" si="20"/>
        <v/>
      </c>
      <c r="F31" s="8" t="str">
        <f t="shared" si="1"/>
        <v/>
      </c>
      <c r="G31" s="8" t="str">
        <f>IF(ISBLANK(E31),"",IF(COUNTIF(AK:AK,"="&amp;E31)&gt;0,"",MAX(G$1:G30)+1))</f>
        <v/>
      </c>
      <c r="H31" s="8" t="str">
        <f t="shared" si="8"/>
        <v/>
      </c>
      <c r="J31" s="19" t="str">
        <f t="shared" si="9"/>
        <v/>
      </c>
      <c r="K31" s="19" t="str">
        <f t="shared" si="12"/>
        <v/>
      </c>
      <c r="M31" s="8" t="str">
        <f t="shared" si="13"/>
        <v/>
      </c>
      <c r="N31" s="8" t="str">
        <f>IF(J31="","",IF(M31,COUNTIF(M$4:M31,TRUE),0))</f>
        <v/>
      </c>
      <c r="S31" t="s">
        <v>27</v>
      </c>
      <c r="Z31" t="s">
        <v>246</v>
      </c>
      <c r="AB31" s="28" t="s">
        <v>733</v>
      </c>
      <c r="AC31" s="8">
        <f t="shared" si="7"/>
        <v>1</v>
      </c>
      <c r="AD31" s="12">
        <f>SUM(AC31)</f>
        <v>1</v>
      </c>
      <c r="AE31" s="8">
        <f t="shared" si="4"/>
        <v>15</v>
      </c>
      <c r="AF31" s="8">
        <f>IF(AE31="","",AE31+COUNTIF(AE$2:AE31,AE31)-1)</f>
        <v>29</v>
      </c>
      <c r="AK31" s="18" t="s">
        <v>47</v>
      </c>
      <c r="AL31" s="14" t="str">
        <f>IF(セルの固定色(AK31)=セルの固定色(AK$6),1,"")</f>
        <v/>
      </c>
      <c r="AM31" s="14" t="str">
        <f>IF(OR(ISBLANK(AL31),AL31=""),"",COUNTIF(AL$6:AL31,"&gt;0"))</f>
        <v/>
      </c>
      <c r="AN31" s="14" t="str">
        <f t="shared" si="17"/>
        <v/>
      </c>
      <c r="AO31" s="14">
        <f t="shared" si="18"/>
        <v>5</v>
      </c>
      <c r="AP31" s="14" t="str">
        <f>IF(ISBLANK(AK31),"",LOOKUP(1,0/(AM$6:AM31=MAX(AM$6:AM31)),AK$6:AK31))</f>
        <v>ＧＢ本</v>
      </c>
    </row>
    <row r="32" spans="1:42">
      <c r="B32" t="s">
        <v>101</v>
      </c>
      <c r="C32" s="8" t="b">
        <f>IF(B32="","",COUNTIF(B$1:B31,B32)=0)</f>
        <v>0</v>
      </c>
      <c r="D32" s="8" t="str">
        <f>IF(B32="","",IF(C32,COUNTIF(C$2:C32,TRUE),""))</f>
        <v/>
      </c>
      <c r="E32" s="8" t="str">
        <f t="shared" si="20"/>
        <v/>
      </c>
      <c r="F32" s="8" t="str">
        <f t="shared" si="1"/>
        <v/>
      </c>
      <c r="G32" s="8" t="str">
        <f>IF(ISBLANK(E32),"",IF(COUNTIF(AK:AK,"="&amp;E32)&gt;0,"",MAX(G$1:G31)+1))</f>
        <v/>
      </c>
      <c r="H32" s="8" t="str">
        <f t="shared" si="8"/>
        <v/>
      </c>
      <c r="J32" s="19" t="str">
        <f t="shared" si="9"/>
        <v/>
      </c>
      <c r="K32" s="19" t="str">
        <f t="shared" si="12"/>
        <v/>
      </c>
      <c r="M32" s="8" t="str">
        <f t="shared" si="13"/>
        <v/>
      </c>
      <c r="N32" s="8" t="str">
        <f>IF(J32="","",IF(M32,COUNTIF(M$4:M32,TRUE),0))</f>
        <v/>
      </c>
      <c r="S32" t="s">
        <v>54</v>
      </c>
      <c r="Z32" t="s">
        <v>532</v>
      </c>
      <c r="AB32" s="28" t="s">
        <v>242</v>
      </c>
      <c r="AC32" s="8">
        <f t="shared" si="7"/>
        <v>1</v>
      </c>
      <c r="AD32" s="12">
        <f>SUM(AC32)</f>
        <v>1</v>
      </c>
      <c r="AE32" s="8">
        <f t="shared" si="4"/>
        <v>15</v>
      </c>
      <c r="AF32" s="8">
        <f>IF(AE32="","",AE32+COUNTIF(AE$2:AE32,AE32)-1)</f>
        <v>30</v>
      </c>
      <c r="AK32" s="18" t="s">
        <v>1102</v>
      </c>
      <c r="AL32" s="14" t="str">
        <f>IF(セルの固定色(AK32)=セルの固定色(AK$6),1,"")</f>
        <v/>
      </c>
      <c r="AM32" s="14" t="str">
        <f>IF(OR(ISBLANK(AL32),AL32=""),"",COUNTIF(AL$6:AL32,"&gt;0"))</f>
        <v/>
      </c>
      <c r="AN32" s="14" t="str">
        <f t="shared" si="17"/>
        <v/>
      </c>
      <c r="AO32" s="14">
        <f t="shared" si="18"/>
        <v>6</v>
      </c>
      <c r="AP32" s="14" t="str">
        <f>IF(ISBLANK(AK32),"",LOOKUP(1,0/(AM$6:AM32=MAX(AM$6:AM32)),AK$6:AK32))</f>
        <v>ＧＢ本</v>
      </c>
    </row>
    <row r="33" spans="2:42">
      <c r="B33" t="s">
        <v>32</v>
      </c>
      <c r="C33" s="8" t="b">
        <f>IF(B33="","",COUNTIF(B$1:B32,B33)=0)</f>
        <v>0</v>
      </c>
      <c r="D33" s="8" t="str">
        <f>IF(B33="","",IF(C33,COUNTIF(C$2:C33,TRUE),""))</f>
        <v/>
      </c>
      <c r="E33" s="8" t="str">
        <f t="shared" si="20"/>
        <v/>
      </c>
      <c r="F33" s="8" t="str">
        <f t="shared" si="1"/>
        <v/>
      </c>
      <c r="G33" s="8" t="str">
        <f>IF(ISBLANK(E33),"",IF(COUNTIF(AK:AK,"="&amp;E33)&gt;0,"",MAX(G$1:G32)+1))</f>
        <v/>
      </c>
      <c r="H33" s="8" t="str">
        <f t="shared" si="8"/>
        <v/>
      </c>
      <c r="J33" s="19" t="str">
        <f t="shared" si="9"/>
        <v/>
      </c>
      <c r="K33" s="19" t="str">
        <f t="shared" si="12"/>
        <v/>
      </c>
      <c r="M33" s="8" t="str">
        <f t="shared" si="13"/>
        <v/>
      </c>
      <c r="N33" s="8" t="str">
        <f>IF(J33="","",IF(M33,COUNTIF(M$4:M33,TRUE),0))</f>
        <v/>
      </c>
      <c r="S33" t="s">
        <v>27</v>
      </c>
      <c r="Z33" t="s">
        <v>208</v>
      </c>
      <c r="AB33" s="28" t="s">
        <v>925</v>
      </c>
      <c r="AC33" s="8">
        <f t="shared" si="7"/>
        <v>2</v>
      </c>
      <c r="AD33" s="12">
        <f>SUM(AC33)</f>
        <v>2</v>
      </c>
      <c r="AE33" s="8">
        <f t="shared" si="4"/>
        <v>10</v>
      </c>
      <c r="AF33" s="8">
        <f>IF(AE33="","",AE33+COUNTIF(AE$2:AE33,AE33)-1)</f>
        <v>14</v>
      </c>
      <c r="AK33" s="18" t="s">
        <v>1103</v>
      </c>
      <c r="AL33" s="14" t="str">
        <f>IF(セルの固定色(AK33)=セルの固定色(AK$6),1,"")</f>
        <v/>
      </c>
      <c r="AM33" s="14" t="str">
        <f>IF(OR(ISBLANK(AL33),AL33=""),"",COUNTIF(AL$6:AL33,"&gt;0"))</f>
        <v/>
      </c>
      <c r="AN33" s="14" t="str">
        <f t="shared" si="17"/>
        <v/>
      </c>
      <c r="AO33" s="14">
        <f t="shared" si="18"/>
        <v>7</v>
      </c>
      <c r="AP33" s="14" t="str">
        <f>IF(ISBLANK(AK33),"",LOOKUP(1,0/(AM$6:AM33=MAX(AM$6:AM33)),AK$6:AK33))</f>
        <v>ＧＢ本</v>
      </c>
    </row>
    <row r="34" spans="2:42">
      <c r="B34" t="s">
        <v>271</v>
      </c>
      <c r="C34" s="8" t="b">
        <f>IF(B34="","",COUNTIF(B$1:B33,B34)=0)</f>
        <v>1</v>
      </c>
      <c r="D34" s="8">
        <f>IF(B34="","",IF(C34,COUNTIF(C$2:C34,TRUE),""))</f>
        <v>9</v>
      </c>
      <c r="E34" s="8" t="str">
        <f t="shared" si="20"/>
        <v/>
      </c>
      <c r="F34" s="8" t="str">
        <f t="shared" ref="F34:F65" si="22">IF(E34="","",IFERROR(LOOKUP(1,0/(AK:AK=E34),AP:AP),"旧 "&amp;E34))</f>
        <v/>
      </c>
      <c r="G34" s="8" t="str">
        <f>IF(ISBLANK(E34),"",IF(COUNTIF(AK:AK,"="&amp;E34)&gt;0,"",MAX(G$1:G33)+1))</f>
        <v/>
      </c>
      <c r="H34" s="8" t="str">
        <f t="shared" si="8"/>
        <v/>
      </c>
      <c r="J34" s="19" t="str">
        <f t="shared" si="9"/>
        <v/>
      </c>
      <c r="K34" s="19" t="str">
        <f t="shared" si="12"/>
        <v/>
      </c>
      <c r="M34" s="8" t="str">
        <f t="shared" si="13"/>
        <v/>
      </c>
      <c r="N34" s="8" t="str">
        <f>IF(J34="","",IF(M34,COUNTIF(M$4:M34,TRUE),0))</f>
        <v/>
      </c>
      <c r="S34" t="s">
        <v>27</v>
      </c>
      <c r="Z34" t="s">
        <v>532</v>
      </c>
      <c r="AC34" s="8" t="str">
        <f t="shared" si="7"/>
        <v/>
      </c>
      <c r="AE34" s="8" t="str">
        <f t="shared" si="4"/>
        <v/>
      </c>
      <c r="AF34" s="8" t="str">
        <f>IF(AE34="","",AE34+COUNTIF(AE$2:AE34,AE34)-1)</f>
        <v/>
      </c>
      <c r="AK34" s="18" t="s">
        <v>1104</v>
      </c>
      <c r="AL34" s="14" t="str">
        <f>IF(セルの固定色(AK34)=セルの固定色(AK$6),1,"")</f>
        <v/>
      </c>
      <c r="AM34" s="14" t="str">
        <f>IF(OR(ISBLANK(AL34),AL34=""),"",COUNTIF(AL$6:AL34,"&gt;0"))</f>
        <v/>
      </c>
      <c r="AN34" s="14" t="str">
        <f t="shared" si="17"/>
        <v/>
      </c>
      <c r="AO34" s="14">
        <f t="shared" si="18"/>
        <v>8</v>
      </c>
      <c r="AP34" s="14" t="str">
        <f>IF(ISBLANK(AK34),"",LOOKUP(1,0/(AM$6:AM34=MAX(AM$6:AM34)),AK$6:AK34))</f>
        <v>ＧＢ本</v>
      </c>
    </row>
    <row r="35" spans="2:42">
      <c r="B35" t="s">
        <v>128</v>
      </c>
      <c r="C35" s="8" t="b">
        <f>IF(B35="","",COUNTIF(B$1:B34,B35)=0)</f>
        <v>0</v>
      </c>
      <c r="D35" s="8" t="str">
        <f>IF(B35="","",IF(C35,COUNTIF(C$2:C35,TRUE),""))</f>
        <v/>
      </c>
      <c r="E35" s="8" t="str">
        <f t="shared" si="20"/>
        <v/>
      </c>
      <c r="F35" s="8" t="str">
        <f t="shared" si="22"/>
        <v/>
      </c>
      <c r="G35" s="8" t="str">
        <f>IF(ISBLANK(E35),"",IF(COUNTIF(AK:AK,"="&amp;E35)&gt;0,"",MAX(G$1:G34)+1))</f>
        <v/>
      </c>
      <c r="H35" s="8" t="str">
        <f t="shared" si="8"/>
        <v/>
      </c>
      <c r="J35" s="19" t="str">
        <f t="shared" si="9"/>
        <v/>
      </c>
      <c r="K35" s="19" t="str">
        <f t="shared" si="12"/>
        <v/>
      </c>
      <c r="M35" s="8" t="str">
        <f t="shared" si="13"/>
        <v/>
      </c>
      <c r="N35" s="8" t="str">
        <f>IF(J35="","",IF(M35,COUNTIF(M$4:M35,TRUE),0))</f>
        <v/>
      </c>
      <c r="S35" t="s">
        <v>27</v>
      </c>
      <c r="Z35" t="s">
        <v>37</v>
      </c>
      <c r="AC35" s="8" t="str">
        <f t="shared" si="7"/>
        <v/>
      </c>
      <c r="AE35" s="8" t="str">
        <f t="shared" si="4"/>
        <v/>
      </c>
      <c r="AF35" s="8" t="str">
        <f>IF(AE35="","",AE35+COUNTIF(AE$2:AE35,AE35)-1)</f>
        <v/>
      </c>
      <c r="AK35" s="18" t="s">
        <v>101</v>
      </c>
      <c r="AL35" s="14" t="str">
        <f>IF(セルの固定色(AK35)=セルの固定色(AK$6),1,"")</f>
        <v/>
      </c>
      <c r="AM35" s="14" t="str">
        <f>IF(OR(ISBLANK(AL35),AL35=""),"",COUNTIF(AL$6:AL35,"&gt;0"))</f>
        <v/>
      </c>
      <c r="AN35" s="14" t="str">
        <f t="shared" si="17"/>
        <v/>
      </c>
      <c r="AO35" s="14">
        <f t="shared" si="18"/>
        <v>9</v>
      </c>
      <c r="AP35" s="14" t="str">
        <f>IF(ISBLANK(AK35),"",LOOKUP(1,0/(AM$6:AM35=MAX(AM$6:AM35)),AK$6:AK35))</f>
        <v>ＧＢ本</v>
      </c>
    </row>
    <row r="36" spans="2:42">
      <c r="B36" t="s">
        <v>128</v>
      </c>
      <c r="C36" s="8" t="b">
        <f>IF(B36="","",COUNTIF(B$1:B35,B36)=0)</f>
        <v>0</v>
      </c>
      <c r="D36" s="8" t="str">
        <f>IF(B36="","",IF(C36,COUNTIF(C$2:C36,TRUE),""))</f>
        <v/>
      </c>
      <c r="E36" s="8" t="str">
        <f t="shared" si="20"/>
        <v/>
      </c>
      <c r="F36" s="8" t="str">
        <f t="shared" si="22"/>
        <v/>
      </c>
      <c r="G36" s="8" t="str">
        <f>IF(ISBLANK(E36),"",IF(COUNTIF(AK:AK,"="&amp;E36)&gt;0,"",MAX(G$1:G35)+1))</f>
        <v/>
      </c>
      <c r="H36" s="8" t="str">
        <f t="shared" si="8"/>
        <v/>
      </c>
      <c r="J36" s="19" t="str">
        <f t="shared" si="9"/>
        <v/>
      </c>
      <c r="K36" s="19" t="str">
        <f t="shared" si="12"/>
        <v/>
      </c>
      <c r="M36" s="8" t="str">
        <f t="shared" si="13"/>
        <v/>
      </c>
      <c r="N36" s="8" t="str">
        <f>IF(J36="","",IF(M36,COUNTIF(M$4:M36,TRUE),0))</f>
        <v/>
      </c>
      <c r="S36" t="s">
        <v>54</v>
      </c>
      <c r="Z36" t="s">
        <v>37</v>
      </c>
      <c r="AC36" s="8" t="str">
        <f t="shared" si="7"/>
        <v/>
      </c>
      <c r="AE36" s="8" t="str">
        <f t="shared" si="4"/>
        <v/>
      </c>
      <c r="AF36" s="8" t="str">
        <f>IF(AE36="","",AE36+COUNTIF(AE$2:AE36,AE36)-1)</f>
        <v/>
      </c>
      <c r="AK36" s="18" t="s">
        <v>1105</v>
      </c>
      <c r="AL36" s="14" t="str">
        <f>IF(セルの固定色(AK36)=セルの固定色(AK$6),1,"")</f>
        <v/>
      </c>
      <c r="AM36" s="14" t="str">
        <f>IF(OR(ISBLANK(AL36),AL36=""),"",COUNTIF(AL$6:AL36,"&gt;0"))</f>
        <v/>
      </c>
      <c r="AN36" s="14" t="str">
        <f t="shared" si="17"/>
        <v/>
      </c>
      <c r="AO36" s="14">
        <f t="shared" si="18"/>
        <v>10</v>
      </c>
      <c r="AP36" s="14" t="str">
        <f>IF(ISBLANK(AK36),"",LOOKUP(1,0/(AM$6:AM36=MAX(AM$6:AM36)),AK$6:AK36))</f>
        <v>ＧＢ本</v>
      </c>
    </row>
    <row r="37" spans="2:42">
      <c r="B37" t="s">
        <v>32</v>
      </c>
      <c r="C37" s="8" t="b">
        <f>IF(B37="","",COUNTIF(B$1:B36,B37)=0)</f>
        <v>0</v>
      </c>
      <c r="D37" s="8" t="str">
        <f>IF(B37="","",IF(C37,COUNTIF(C$2:C37,TRUE),""))</f>
        <v/>
      </c>
      <c r="E37" s="8" t="str">
        <f t="shared" si="20"/>
        <v/>
      </c>
      <c r="F37" s="8" t="str">
        <f t="shared" si="22"/>
        <v/>
      </c>
      <c r="G37" s="8" t="str">
        <f>IF(ISBLANK(E37),"",IF(COUNTIF(AK:AK,"="&amp;E37)&gt;0,"",MAX(G$1:G36)+1))</f>
        <v/>
      </c>
      <c r="H37" s="8" t="str">
        <f t="shared" si="8"/>
        <v/>
      </c>
      <c r="J37" s="19" t="str">
        <f t="shared" si="9"/>
        <v/>
      </c>
      <c r="K37" s="19" t="str">
        <f t="shared" si="12"/>
        <v/>
      </c>
      <c r="M37" s="8" t="str">
        <f t="shared" si="13"/>
        <v/>
      </c>
      <c r="N37" s="8" t="str">
        <f>IF(J37="","",IF(M37,COUNTIF(M$4:M37,TRUE),0))</f>
        <v/>
      </c>
      <c r="S37" t="s">
        <v>27</v>
      </c>
      <c r="Z37" t="s">
        <v>68</v>
      </c>
      <c r="AC37" s="8" t="str">
        <f t="shared" si="7"/>
        <v/>
      </c>
      <c r="AE37" s="8" t="str">
        <f t="shared" si="4"/>
        <v/>
      </c>
      <c r="AF37" s="8" t="str">
        <f>IF(AE37="","",AE37+COUNTIF(AE$2:AE37,AE37)-1)</f>
        <v/>
      </c>
      <c r="AK37" s="18" t="s">
        <v>32</v>
      </c>
      <c r="AL37" s="14" t="str">
        <f>IF(セルの固定色(AK37)=セルの固定色(AK$6),1,"")</f>
        <v/>
      </c>
      <c r="AM37" s="14" t="str">
        <f>IF(OR(ISBLANK(AL37),AL37=""),"",COUNTIF(AL$6:AL37,"&gt;0"))</f>
        <v/>
      </c>
      <c r="AN37" s="14" t="str">
        <f t="shared" si="17"/>
        <v/>
      </c>
      <c r="AO37" s="14">
        <f t="shared" si="18"/>
        <v>11</v>
      </c>
      <c r="AP37" s="14" t="str">
        <f>IF(ISBLANK(AK37),"",LOOKUP(1,0/(AM$6:AM37=MAX(AM$6:AM37)),AK$6:AK37))</f>
        <v>ＧＢ本</v>
      </c>
    </row>
    <row r="38" spans="2:42">
      <c r="B38" t="s">
        <v>47</v>
      </c>
      <c r="C38" s="8" t="b">
        <f>IF(B38="","",COUNTIF(B$1:B37,B38)=0)</f>
        <v>0</v>
      </c>
      <c r="D38" s="8" t="str">
        <f>IF(B38="","",IF(C38,COUNTIF(C$2:C38,TRUE),""))</f>
        <v/>
      </c>
      <c r="E38" s="8" t="str">
        <f t="shared" si="20"/>
        <v/>
      </c>
      <c r="F38" s="8" t="str">
        <f t="shared" si="22"/>
        <v/>
      </c>
      <c r="G38" s="8" t="str">
        <f>IF(ISBLANK(E38),"",IF(COUNTIF(AK:AK,"="&amp;E38)&gt;0,"",MAX(G$1:G37)+1))</f>
        <v/>
      </c>
      <c r="H38" s="8" t="str">
        <f t="shared" si="8"/>
        <v/>
      </c>
      <c r="J38" s="19" t="str">
        <f t="shared" si="9"/>
        <v/>
      </c>
      <c r="K38" s="19" t="str">
        <f t="shared" si="12"/>
        <v/>
      </c>
      <c r="M38" s="8" t="str">
        <f t="shared" si="13"/>
        <v/>
      </c>
      <c r="N38" s="8" t="str">
        <f>IF(J38="","",IF(M38,COUNTIF(M$4:M38,TRUE),0))</f>
        <v/>
      </c>
      <c r="S38" t="s">
        <v>27</v>
      </c>
      <c r="Z38" t="s">
        <v>242</v>
      </c>
      <c r="AC38" s="8" t="str">
        <f t="shared" si="7"/>
        <v/>
      </c>
      <c r="AE38" s="8" t="str">
        <f t="shared" si="4"/>
        <v/>
      </c>
      <c r="AF38" s="8" t="str">
        <f>IF(AE38="","",AE38+COUNTIF(AE$2:AE38,AE38)-1)</f>
        <v/>
      </c>
      <c r="AK38" s="18" t="s">
        <v>128</v>
      </c>
      <c r="AL38" s="14" t="str">
        <f>IF(セルの固定色(AK38)=セルの固定色(AK$6),1,"")</f>
        <v/>
      </c>
      <c r="AM38" s="14" t="str">
        <f>IF(OR(ISBLANK(AL38),AL38=""),"",COUNTIF(AL$6:AL38,"&gt;0"))</f>
        <v/>
      </c>
      <c r="AN38" s="14" t="str">
        <f t="shared" si="17"/>
        <v/>
      </c>
      <c r="AO38" s="14">
        <f t="shared" si="18"/>
        <v>12</v>
      </c>
      <c r="AP38" s="14" t="str">
        <f>IF(ISBLANK(AK38),"",LOOKUP(1,0/(AM$6:AM38=MAX(AM$6:AM38)),AK$6:AK38))</f>
        <v>ＧＢ本</v>
      </c>
    </row>
    <row r="39" spans="2:42">
      <c r="B39" t="s">
        <v>128</v>
      </c>
      <c r="C39" s="8" t="b">
        <f>IF(B39="","",COUNTIF(B$1:B38,B39)=0)</f>
        <v>0</v>
      </c>
      <c r="D39" s="8" t="str">
        <f>IF(B39="","",IF(C39,COUNTIF(C$2:C39,TRUE),""))</f>
        <v/>
      </c>
      <c r="E39" s="8" t="str">
        <f t="shared" si="20"/>
        <v/>
      </c>
      <c r="F39" s="8" t="str">
        <f t="shared" si="22"/>
        <v/>
      </c>
      <c r="G39" s="8" t="str">
        <f>IF(ISBLANK(E39),"",IF(COUNTIF(AK:AK,"="&amp;E39)&gt;0,"",MAX(G$1:G38)+1))</f>
        <v/>
      </c>
      <c r="H39" s="8" t="str">
        <f t="shared" si="8"/>
        <v/>
      </c>
      <c r="J39" s="19" t="str">
        <f t="shared" si="9"/>
        <v/>
      </c>
      <c r="K39" s="19" t="str">
        <f t="shared" si="12"/>
        <v/>
      </c>
      <c r="M39" s="8" t="str">
        <f t="shared" si="13"/>
        <v/>
      </c>
      <c r="N39" s="8" t="str">
        <f>IF(J39="","",IF(M39,COUNTIF(M$4:M39,TRUE),0))</f>
        <v/>
      </c>
      <c r="S39" t="s">
        <v>27</v>
      </c>
      <c r="Z39" t="s">
        <v>826</v>
      </c>
      <c r="AC39" s="8" t="str">
        <f t="shared" si="7"/>
        <v/>
      </c>
      <c r="AE39" s="8" t="str">
        <f t="shared" si="4"/>
        <v/>
      </c>
      <c r="AF39" s="8" t="str">
        <f>IF(AE39="","",AE39+COUNTIF(AE$2:AE39,AE39)-1)</f>
        <v/>
      </c>
      <c r="AK39" s="18" t="s">
        <v>1106</v>
      </c>
      <c r="AL39" s="14" t="str">
        <f>IF(セルの固定色(AK39)=セルの固定色(AK$6),1,"")</f>
        <v/>
      </c>
      <c r="AM39" s="14" t="str">
        <f>IF(OR(ISBLANK(AL39),AL39=""),"",COUNTIF(AL$6:AL39,"&gt;0"))</f>
        <v/>
      </c>
      <c r="AN39" s="14" t="str">
        <f t="shared" si="17"/>
        <v/>
      </c>
      <c r="AO39" s="14">
        <f t="shared" si="18"/>
        <v>13</v>
      </c>
      <c r="AP39" s="14" t="str">
        <f>IF(ISBLANK(AK39),"",LOOKUP(1,0/(AM$6:AM39=MAX(AM$6:AM39)),AK$6:AK39))</f>
        <v>ＧＢ本</v>
      </c>
    </row>
    <row r="40" spans="2:42">
      <c r="B40" t="s">
        <v>47</v>
      </c>
      <c r="C40" s="8" t="b">
        <f>IF(B40="","",COUNTIF(B$1:B39,B40)=0)</f>
        <v>0</v>
      </c>
      <c r="D40" s="8" t="str">
        <f>IF(B40="","",IF(C40,COUNTIF(C$2:C40,TRUE),""))</f>
        <v/>
      </c>
      <c r="E40" s="8" t="str">
        <f t="shared" si="20"/>
        <v/>
      </c>
      <c r="F40" s="8" t="str">
        <f t="shared" si="22"/>
        <v/>
      </c>
      <c r="G40" s="8" t="str">
        <f>IF(ISBLANK(E40),"",IF(COUNTIF(AK:AK,"="&amp;E40)&gt;0,"",MAX(G$1:G39)+1))</f>
        <v/>
      </c>
      <c r="H40" s="8" t="str">
        <f t="shared" si="8"/>
        <v/>
      </c>
      <c r="J40" s="19" t="str">
        <f t="shared" si="9"/>
        <v/>
      </c>
      <c r="K40" s="19" t="str">
        <f t="shared" si="12"/>
        <v/>
      </c>
      <c r="M40" s="8" t="str">
        <f t="shared" si="13"/>
        <v/>
      </c>
      <c r="N40" s="8" t="str">
        <f>IF(J40="","",IF(M40,COUNTIF(M$4:M40,TRUE),0))</f>
        <v/>
      </c>
      <c r="S40" t="s">
        <v>54</v>
      </c>
      <c r="Z40" t="s">
        <v>44</v>
      </c>
      <c r="AC40" s="8" t="str">
        <f t="shared" si="7"/>
        <v/>
      </c>
      <c r="AE40" s="8" t="str">
        <f t="shared" si="4"/>
        <v/>
      </c>
      <c r="AF40" s="8" t="str">
        <f>IF(AE40="","",AE40+COUNTIF(AE$2:AE40,AE40)-1)</f>
        <v/>
      </c>
      <c r="AK40" s="18" t="s">
        <v>1107</v>
      </c>
      <c r="AL40" s="14" t="str">
        <f>IF(セルの固定色(AK40)=セルの固定色(AK$6),1,"")</f>
        <v/>
      </c>
      <c r="AM40" s="14" t="str">
        <f>IF(OR(ISBLANK(AL40),AL40=""),"",COUNTIF(AL$6:AL40,"&gt;0"))</f>
        <v/>
      </c>
      <c r="AN40" s="14" t="str">
        <f t="shared" si="17"/>
        <v/>
      </c>
      <c r="AO40" s="14">
        <f t="shared" si="18"/>
        <v>14</v>
      </c>
      <c r="AP40" s="14" t="str">
        <f>IF(ISBLANK(AK40),"",LOOKUP(1,0/(AM$6:AM40=MAX(AM$6:AM40)),AK$6:AK40))</f>
        <v>ＧＢ本</v>
      </c>
    </row>
    <row r="41" spans="2:42">
      <c r="B41" t="s">
        <v>47</v>
      </c>
      <c r="C41" s="8" t="b">
        <f>IF(B41="","",COUNTIF(B$1:B40,B41)=0)</f>
        <v>0</v>
      </c>
      <c r="D41" s="8" t="str">
        <f>IF(B41="","",IF(C41,COUNTIF(C$2:C41,TRUE),""))</f>
        <v/>
      </c>
      <c r="E41" s="8" t="str">
        <f t="shared" si="20"/>
        <v/>
      </c>
      <c r="F41" s="8" t="str">
        <f t="shared" si="22"/>
        <v/>
      </c>
      <c r="G41" s="8" t="str">
        <f>IF(ISBLANK(E41),"",IF(COUNTIF(AK:AK,"="&amp;E41)&gt;0,"",MAX(G$1:G40)+1))</f>
        <v/>
      </c>
      <c r="H41" s="8" t="str">
        <f t="shared" si="8"/>
        <v/>
      </c>
      <c r="J41" t="str">
        <f t="shared" si="9"/>
        <v/>
      </c>
      <c r="S41" t="s">
        <v>27</v>
      </c>
      <c r="Z41" t="s">
        <v>59</v>
      </c>
      <c r="AC41" s="8" t="str">
        <f t="shared" si="7"/>
        <v/>
      </c>
      <c r="AE41" s="8" t="str">
        <f t="shared" si="4"/>
        <v/>
      </c>
      <c r="AF41" s="8" t="str">
        <f>IF(AE41="","",AE41+COUNTIF(AE$2:AE41,AE41)-1)</f>
        <v/>
      </c>
      <c r="AK41" s="18" t="s">
        <v>1108</v>
      </c>
      <c r="AL41" s="14" t="str">
        <f>IF(セルの固定色(AK41)=セルの固定色(AK$6),1,"")</f>
        <v/>
      </c>
      <c r="AM41" s="14" t="str">
        <f>IF(OR(ISBLANK(AL41),AL41=""),"",COUNTIF(AL$6:AL41,"&gt;0"))</f>
        <v/>
      </c>
      <c r="AN41" s="14" t="str">
        <f t="shared" si="17"/>
        <v/>
      </c>
      <c r="AO41" s="14">
        <f t="shared" si="18"/>
        <v>15</v>
      </c>
      <c r="AP41" s="14" t="str">
        <f>IF(ISBLANK(AK41),"",LOOKUP(1,0/(AM$6:AM41=MAX(AM$6:AM41)),AK$6:AK41))</f>
        <v>ＧＢ本</v>
      </c>
    </row>
    <row r="42" spans="2:42">
      <c r="B42" t="s">
        <v>47</v>
      </c>
      <c r="C42" s="8" t="b">
        <f>IF(B42="","",COUNTIF(B$1:B41,B42)=0)</f>
        <v>0</v>
      </c>
      <c r="D42" s="8" t="str">
        <f>IF(B42="","",IF(C42,COUNTIF(C$2:C42,TRUE),""))</f>
        <v/>
      </c>
      <c r="E42" s="8" t="str">
        <f t="shared" si="20"/>
        <v/>
      </c>
      <c r="F42" s="8" t="str">
        <f t="shared" si="22"/>
        <v/>
      </c>
      <c r="G42" s="8" t="str">
        <f>IF(ISBLANK(E42),"",IF(COUNTIF(AK:AK,"="&amp;E42)&gt;0,"",MAX(G$1:G41)+1))</f>
        <v/>
      </c>
      <c r="H42" s="8" t="str">
        <f t="shared" si="8"/>
        <v/>
      </c>
      <c r="J42" t="str">
        <f t="shared" si="9"/>
        <v/>
      </c>
      <c r="S42" t="s">
        <v>116</v>
      </c>
      <c r="Z42" t="s">
        <v>68</v>
      </c>
      <c r="AC42" s="8" t="str">
        <f t="shared" si="7"/>
        <v/>
      </c>
      <c r="AE42" s="8" t="str">
        <f t="shared" si="4"/>
        <v/>
      </c>
      <c r="AF42" s="8" t="str">
        <f>IF(AE42="","",AE42+COUNTIF(AE$2:AE42,AE42)-1)</f>
        <v/>
      </c>
      <c r="AK42" s="18" t="s">
        <v>1109</v>
      </c>
      <c r="AL42" s="14" t="str">
        <f>IF(セルの固定色(AK42)=セルの固定色(AK$6),1,"")</f>
        <v/>
      </c>
      <c r="AM42" s="14" t="str">
        <f>IF(OR(ISBLANK(AL42),AL42=""),"",COUNTIF(AL$6:AL42,"&gt;0"))</f>
        <v/>
      </c>
      <c r="AN42" s="14" t="str">
        <f t="shared" si="17"/>
        <v/>
      </c>
      <c r="AO42" s="14">
        <f t="shared" si="18"/>
        <v>16</v>
      </c>
      <c r="AP42" s="14" t="str">
        <f>IF(ISBLANK(AK42),"",LOOKUP(1,0/(AM$6:AM42=MAX(AM$6:AM42)),AK$6:AK42))</f>
        <v>ＧＢ本</v>
      </c>
    </row>
    <row r="43" spans="2:42" ht="19.5" thickBot="1">
      <c r="B43" t="s">
        <v>47</v>
      </c>
      <c r="C43" s="8" t="b">
        <f>IF(B43="","",COUNTIF(B$1:B42,B43)=0)</f>
        <v>0</v>
      </c>
      <c r="D43" s="8" t="str">
        <f>IF(B43="","",IF(C43,COUNTIF(C$2:C43,TRUE),""))</f>
        <v/>
      </c>
      <c r="E43" s="8" t="str">
        <f t="shared" si="20"/>
        <v/>
      </c>
      <c r="F43" s="8" t="str">
        <f t="shared" si="22"/>
        <v/>
      </c>
      <c r="G43" s="8" t="str">
        <f>IF(ISBLANK(E43),"",IF(COUNTIF(AK:AK,"="&amp;E43)&gt;0,"",MAX(G$1:G42)+1))</f>
        <v/>
      </c>
      <c r="H43" s="8" t="str">
        <f t="shared" si="8"/>
        <v/>
      </c>
      <c r="S43" t="s">
        <v>27</v>
      </c>
      <c r="Z43" t="s">
        <v>780</v>
      </c>
      <c r="AC43" s="8" t="str">
        <f t="shared" si="7"/>
        <v/>
      </c>
      <c r="AE43" s="8" t="str">
        <f t="shared" si="4"/>
        <v/>
      </c>
      <c r="AF43" s="8" t="str">
        <f>IF(AE43="","",AE43+COUNTIF(AE$2:AE43,AE43)-1)</f>
        <v/>
      </c>
      <c r="AK43" s="29" t="s">
        <v>1110</v>
      </c>
      <c r="AL43" s="14" t="str">
        <f>IF(セルの固定色(AK43)=セルの固定色(AK$6),1,"")</f>
        <v/>
      </c>
      <c r="AM43" s="14" t="str">
        <f>IF(OR(ISBLANK(AL43),AL43=""),"",COUNTIF(AL$6:AL43,"&gt;0"))</f>
        <v/>
      </c>
      <c r="AN43" s="14" t="str">
        <f t="shared" si="17"/>
        <v/>
      </c>
      <c r="AO43" s="14">
        <f t="shared" si="18"/>
        <v>17</v>
      </c>
      <c r="AP43" s="14" t="str">
        <f>IF(ISBLANK(AK43),"",LOOKUP(1,0/(AM$6:AM43=MAX(AM$6:AM43)),AK$6:AK43))</f>
        <v>ＧＢ本</v>
      </c>
    </row>
    <row r="44" spans="2:42">
      <c r="B44" t="s">
        <v>128</v>
      </c>
      <c r="C44" s="8" t="b">
        <f>IF(B44="","",COUNTIF(B$1:B43,B44)=0)</f>
        <v>0</v>
      </c>
      <c r="D44" s="8" t="str">
        <f>IF(B44="","",IF(C44,COUNTIF(C$2:C44,TRUE),""))</f>
        <v/>
      </c>
      <c r="E44" s="8" t="str">
        <f t="shared" si="20"/>
        <v/>
      </c>
      <c r="F44" s="8" t="str">
        <f t="shared" si="22"/>
        <v/>
      </c>
      <c r="G44" s="8" t="str">
        <f>IF(ISBLANK(E44),"",IF(COUNTIF(AK:AK,"="&amp;E44)&gt;0,"",MAX(G$1:G43)+1))</f>
        <v/>
      </c>
      <c r="H44" s="8" t="str">
        <f t="shared" si="8"/>
        <v/>
      </c>
      <c r="S44" t="s">
        <v>54</v>
      </c>
      <c r="Z44" t="s">
        <v>68</v>
      </c>
      <c r="AC44" s="8" t="str">
        <f t="shared" si="7"/>
        <v/>
      </c>
      <c r="AE44" s="8" t="str">
        <f t="shared" si="4"/>
        <v/>
      </c>
      <c r="AF44" s="8" t="str">
        <f>IF(AE44="","",AE44+COUNTIF(AE$2:AE44,AE44)-1)</f>
        <v/>
      </c>
      <c r="AK44" s="30" t="s">
        <v>1465</v>
      </c>
      <c r="AL44" s="14">
        <f>IF(セルの固定色(AK44)=セルの固定色(AK$6),1,"")</f>
        <v>1</v>
      </c>
      <c r="AM44" s="14">
        <f>IF(OR(ISBLANK(AL44),AL44=""),"",COUNTIF(AL$6:AL44,"&gt;0"))</f>
        <v>4</v>
      </c>
      <c r="AN44" s="14" t="str">
        <f t="shared" si="17"/>
        <v/>
      </c>
      <c r="AO44" s="14">
        <f t="shared" si="18"/>
        <v>18</v>
      </c>
      <c r="AP44" s="14" t="str">
        <f>IF(ISBLANK(AK44),"",LOOKUP(1,0/(AM$6:AM44=MAX(AM$6:AM44)),AK$6:AK44))</f>
        <v>セ事本</v>
      </c>
    </row>
    <row r="45" spans="2:42">
      <c r="B45" t="s">
        <v>264</v>
      </c>
      <c r="C45" s="8" t="b">
        <f>IF(B45="","",COUNTIF(B$1:B44,B45)=0)</f>
        <v>1</v>
      </c>
      <c r="D45" s="8">
        <f>IF(B45="","",IF(C45,COUNTIF(C$2:C45,TRUE),""))</f>
        <v>10</v>
      </c>
      <c r="E45" s="8" t="str">
        <f t="shared" si="20"/>
        <v/>
      </c>
      <c r="F45" s="8" t="str">
        <f t="shared" si="22"/>
        <v/>
      </c>
      <c r="G45" s="8" t="str">
        <f>IF(ISBLANK(E45),"",IF(COUNTIF(AK:AK,"="&amp;E45)&gt;0,"",MAX(G$1:G44)+1))</f>
        <v/>
      </c>
      <c r="H45" s="8" t="str">
        <f t="shared" si="8"/>
        <v/>
      </c>
      <c r="S45" t="s">
        <v>259</v>
      </c>
      <c r="Z45" t="s">
        <v>68</v>
      </c>
      <c r="AC45" s="8" t="str">
        <f t="shared" si="7"/>
        <v/>
      </c>
      <c r="AE45" s="8" t="str">
        <f t="shared" si="4"/>
        <v/>
      </c>
      <c r="AF45" s="8" t="str">
        <f>IF(AE45="","",AE45+COUNTIF(AE$2:AE45,AE45)-1)</f>
        <v/>
      </c>
      <c r="AK45" s="24" t="s">
        <v>1111</v>
      </c>
      <c r="AL45" s="14" t="str">
        <f>IF(セルの固定色(AK45)=セルの固定色(AK$6),1,"")</f>
        <v/>
      </c>
      <c r="AM45" s="14" t="str">
        <f>IF(OR(ISBLANK(AL45),AL45=""),"",COUNTIF(AL$6:AL45,"&gt;0"))</f>
        <v/>
      </c>
      <c r="AP45" s="14" t="str">
        <f>IF(ISBLANK(AK45),"",LOOKUP(1,0/(AM$6:AM45=MAX(AM$6:AM45)),AK$6:AK45))</f>
        <v>セ事本</v>
      </c>
    </row>
    <row r="46" spans="2:42">
      <c r="B46" t="s">
        <v>264</v>
      </c>
      <c r="C46" s="8" t="b">
        <f>IF(B46="","",COUNTIF(B$1:B45,B46)=0)</f>
        <v>0</v>
      </c>
      <c r="D46" s="8" t="str">
        <f>IF(B46="","",IF(C46,COUNTIF(C$2:C46,TRUE),""))</f>
        <v/>
      </c>
      <c r="E46" s="8" t="str">
        <f t="shared" si="20"/>
        <v/>
      </c>
      <c r="F46" s="8" t="str">
        <f t="shared" si="22"/>
        <v/>
      </c>
      <c r="G46" s="8" t="str">
        <f>IF(ISBLANK(E46),"",IF(COUNTIF(AK:AK,"="&amp;E46)&gt;0,"",MAX(G$1:G45)+1))</f>
        <v/>
      </c>
      <c r="H46" s="8" t="str">
        <f t="shared" si="8"/>
        <v/>
      </c>
      <c r="S46" t="s">
        <v>259</v>
      </c>
      <c r="Z46" t="s">
        <v>68</v>
      </c>
      <c r="AC46" s="8" t="str">
        <f t="shared" si="7"/>
        <v/>
      </c>
      <c r="AE46" s="8" t="str">
        <f t="shared" si="4"/>
        <v/>
      </c>
      <c r="AF46" s="8" t="str">
        <f>IF(AE46="","",AE46+COUNTIF(AE$2:AE46,AE46)-1)</f>
        <v/>
      </c>
      <c r="AK46" s="18" t="s">
        <v>1112</v>
      </c>
      <c r="AL46" s="14" t="str">
        <f>IF(セルの固定色(AK46)=セルの固定色(AK$6),1,"")</f>
        <v/>
      </c>
      <c r="AM46" s="14" t="str">
        <f>IF(OR(ISBLANK(AL46),AL46=""),"",COUNTIF(AL$6:AL46,"&gt;0"))</f>
        <v/>
      </c>
      <c r="AP46" s="14" t="str">
        <f>IF(ISBLANK(AK46),"",LOOKUP(1,0/(AM$6:AM46=MAX(AM$6:AM46)),AK$6:AK46))</f>
        <v>セ事本</v>
      </c>
    </row>
    <row r="47" spans="2:42">
      <c r="B47" t="s">
        <v>47</v>
      </c>
      <c r="C47" s="8" t="b">
        <f>IF(B47="","",COUNTIF(B$1:B46,B47)=0)</f>
        <v>0</v>
      </c>
      <c r="D47" s="8" t="str">
        <f>IF(B47="","",IF(C47,COUNTIF(C$2:C47,TRUE),""))</f>
        <v/>
      </c>
      <c r="E47" s="8" t="str">
        <f t="shared" si="20"/>
        <v/>
      </c>
      <c r="F47" s="8" t="str">
        <f t="shared" si="22"/>
        <v/>
      </c>
      <c r="G47" s="8" t="str">
        <f>IF(ISBLANK(E47),"",IF(COUNTIF(AK:AK,"="&amp;E47)&gt;0,"",MAX(G$1:G46)+1))</f>
        <v/>
      </c>
      <c r="H47" s="8" t="str">
        <f t="shared" si="8"/>
        <v/>
      </c>
      <c r="S47" t="s">
        <v>27</v>
      </c>
      <c r="Z47" t="s">
        <v>208</v>
      </c>
      <c r="AC47" s="8" t="str">
        <f t="shared" si="7"/>
        <v/>
      </c>
      <c r="AE47" s="8" t="str">
        <f t="shared" si="4"/>
        <v/>
      </c>
      <c r="AF47" s="8" t="str">
        <f>IF(AE47="","",AE47+COUNTIF(AE$2:AE47,AE47)-1)</f>
        <v/>
      </c>
      <c r="AK47" s="18" t="s">
        <v>1113</v>
      </c>
      <c r="AL47" s="14" t="str">
        <f>IF(セルの固定色(AK47)=セルの固定色(AK$6),1,"")</f>
        <v/>
      </c>
      <c r="AM47" s="14" t="str">
        <f>IF(OR(ISBLANK(AL47),AL47=""),"",COUNTIF(AL$6:AL47,"&gt;0"))</f>
        <v/>
      </c>
      <c r="AP47" s="14" t="str">
        <f>IF(ISBLANK(AK47),"",LOOKUP(1,0/(AM$6:AM47=MAX(AM$6:AM47)),AK$6:AK47))</f>
        <v>セ事本</v>
      </c>
    </row>
    <row r="48" spans="2:42" ht="19.5" thickBot="1">
      <c r="B48" t="s">
        <v>101</v>
      </c>
      <c r="C48" s="8" t="b">
        <f>IF(B48="","",COUNTIF(B$1:B47,B48)=0)</f>
        <v>0</v>
      </c>
      <c r="D48" s="8" t="str">
        <f>IF(B48="","",IF(C48,COUNTIF(C$2:C48,TRUE),""))</f>
        <v/>
      </c>
      <c r="E48" s="8" t="str">
        <f t="shared" si="20"/>
        <v/>
      </c>
      <c r="F48" s="8" t="str">
        <f t="shared" si="22"/>
        <v/>
      </c>
      <c r="G48" s="8" t="str">
        <f>IF(ISBLANK(E48),"",IF(COUNTIF(AK:AK,"="&amp;E48)&gt;0,"",MAX(G$1:G47)+1))</f>
        <v/>
      </c>
      <c r="H48" s="8" t="str">
        <f t="shared" si="8"/>
        <v/>
      </c>
      <c r="S48" t="s">
        <v>252</v>
      </c>
      <c r="Z48" t="s">
        <v>79</v>
      </c>
      <c r="AC48" s="8" t="str">
        <f t="shared" si="7"/>
        <v/>
      </c>
      <c r="AE48" s="8" t="str">
        <f t="shared" si="4"/>
        <v/>
      </c>
      <c r="AF48" s="8" t="str">
        <f>IF(AE48="","",AE48+COUNTIF(AE$2:AE48,AE48)-1)</f>
        <v/>
      </c>
      <c r="AK48" s="22" t="s">
        <v>1114</v>
      </c>
      <c r="AL48" s="14" t="str">
        <f>IF(セルの固定色(AK48)=セルの固定色(AK$6),1,"")</f>
        <v/>
      </c>
      <c r="AM48" s="14" t="str">
        <f>IF(OR(ISBLANK(AL48),AL48=""),"",COUNTIF(AL$6:AL48,"&gt;0"))</f>
        <v/>
      </c>
      <c r="AP48" s="14" t="str">
        <f>IF(ISBLANK(AK48),"",LOOKUP(1,0/(AM$6:AM48=MAX(AM$6:AM48)),AK$6:AK48))</f>
        <v>セ事本</v>
      </c>
    </row>
    <row r="49" spans="2:42">
      <c r="B49" t="s">
        <v>139</v>
      </c>
      <c r="C49" s="8" t="b">
        <f>IF(B49="","",COUNTIF(B$1:B48,B49)=0)</f>
        <v>0</v>
      </c>
      <c r="D49" s="8" t="str">
        <f>IF(B49="","",IF(C49,COUNTIF(C$2:C49,TRUE),""))</f>
        <v/>
      </c>
      <c r="E49" s="8" t="str">
        <f t="shared" si="20"/>
        <v/>
      </c>
      <c r="F49" s="8" t="str">
        <f t="shared" si="22"/>
        <v/>
      </c>
      <c r="G49" s="8" t="str">
        <f>IF(ISBLANK(E49),"",IF(COUNTIF(AK:AK,"="&amp;E49)&gt;0,"",MAX(G$1:G48)+1))</f>
        <v/>
      </c>
      <c r="H49" s="8" t="str">
        <f t="shared" si="8"/>
        <v/>
      </c>
      <c r="S49" t="s">
        <v>54</v>
      </c>
      <c r="Z49" t="s">
        <v>222</v>
      </c>
      <c r="AC49" s="8" t="str">
        <f t="shared" si="7"/>
        <v/>
      </c>
      <c r="AE49" s="8" t="str">
        <f t="shared" si="4"/>
        <v/>
      </c>
      <c r="AF49" s="8" t="str">
        <f>IF(AE49="","",AE49+COUNTIF(AE$2:AE49,AE49)-1)</f>
        <v/>
      </c>
      <c r="AK49" s="23" t="s">
        <v>1466</v>
      </c>
      <c r="AL49" s="14">
        <f>IF(セルの固定色(AK49)=セルの固定色(AK$6),1,"")</f>
        <v>1</v>
      </c>
      <c r="AM49" s="14">
        <f>IF(OR(ISBLANK(AL49),AL49=""),"",COUNTIF(AL$6:AL49,"&gt;0"))</f>
        <v>5</v>
      </c>
      <c r="AP49" s="14" t="str">
        <f>IF(ISBLANK(AK49),"",LOOKUP(1,0/(AM$6:AM49=MAX(AM$6:AM49)),AK$6:AK49))</f>
        <v>ＣＩ本</v>
      </c>
    </row>
    <row r="50" spans="2:42">
      <c r="B50" t="s">
        <v>47</v>
      </c>
      <c r="C50" s="8" t="b">
        <f>IF(B50="","",COUNTIF(B$1:B49,B50)=0)</f>
        <v>0</v>
      </c>
      <c r="D50" s="8" t="str">
        <f>IF(B50="","",IF(C50,COUNTIF(C$2:C50,TRUE),""))</f>
        <v/>
      </c>
      <c r="E50" s="8" t="str">
        <f t="shared" si="20"/>
        <v/>
      </c>
      <c r="F50" s="8" t="str">
        <f t="shared" si="22"/>
        <v/>
      </c>
      <c r="G50" s="8" t="str">
        <f>IF(ISBLANK(E50),"",IF(COUNTIF(AK:AK,"="&amp;E50)&gt;0,"",MAX(G$1:G49)+1))</f>
        <v/>
      </c>
      <c r="H50" s="8" t="str">
        <f t="shared" si="8"/>
        <v/>
      </c>
      <c r="S50" t="s">
        <v>27</v>
      </c>
      <c r="Z50" t="s">
        <v>37</v>
      </c>
      <c r="AC50" s="8" t="str">
        <f t="shared" si="7"/>
        <v/>
      </c>
      <c r="AE50" s="8" t="str">
        <f t="shared" si="4"/>
        <v/>
      </c>
      <c r="AF50" s="8" t="str">
        <f>IF(AE50="","",AE50+COUNTIF(AE$2:AE50,AE50)-1)</f>
        <v/>
      </c>
      <c r="AK50" s="24" t="s">
        <v>1115</v>
      </c>
      <c r="AL50" s="14" t="str">
        <f>IF(セルの固定色(AK50)=セルの固定色(AK$6),1,"")</f>
        <v/>
      </c>
      <c r="AM50" s="14" t="str">
        <f>IF(OR(ISBLANK(AL50),AL50=""),"",COUNTIF(AL$6:AL50,"&gt;0"))</f>
        <v/>
      </c>
      <c r="AP50" s="14" t="str">
        <f>IF(ISBLANK(AK50),"",LOOKUP(1,0/(AM$6:AM50=MAX(AM$6:AM50)),AK$6:AK50))</f>
        <v>ＣＩ本</v>
      </c>
    </row>
    <row r="51" spans="2:42">
      <c r="B51" t="s">
        <v>32</v>
      </c>
      <c r="C51" s="8" t="b">
        <f>IF(B51="","",COUNTIF(B$1:B50,B51)=0)</f>
        <v>0</v>
      </c>
      <c r="D51" s="8" t="str">
        <f>IF(B51="","",IF(C51,COUNTIF(C$2:C51,TRUE),""))</f>
        <v/>
      </c>
      <c r="E51" s="8" t="str">
        <f t="shared" si="20"/>
        <v/>
      </c>
      <c r="F51" s="8" t="str">
        <f t="shared" si="22"/>
        <v/>
      </c>
      <c r="G51" s="8" t="str">
        <f>IF(ISBLANK(E51),"",IF(COUNTIF(AK:AK,"="&amp;E51)&gt;0,"",MAX(G$1:G50)+1))</f>
        <v/>
      </c>
      <c r="H51" s="8" t="str">
        <f t="shared" si="8"/>
        <v/>
      </c>
      <c r="S51" t="s">
        <v>27</v>
      </c>
      <c r="Z51" t="s">
        <v>105</v>
      </c>
      <c r="AC51" s="8" t="str">
        <f t="shared" si="7"/>
        <v/>
      </c>
      <c r="AE51" s="8" t="str">
        <f t="shared" si="4"/>
        <v/>
      </c>
      <c r="AF51" s="8" t="str">
        <f>IF(AE51="","",AE51+COUNTIF(AE$2:AE51,AE51)-1)</f>
        <v/>
      </c>
      <c r="AK51" s="18" t="s">
        <v>368</v>
      </c>
      <c r="AL51" s="14" t="str">
        <f>IF(セルの固定色(AK51)=セルの固定色(AK$6),1,"")</f>
        <v/>
      </c>
      <c r="AM51" s="14" t="str">
        <f>IF(OR(ISBLANK(AL51),AL51=""),"",COUNTIF(AL$6:AL51,"&gt;0"))</f>
        <v/>
      </c>
      <c r="AP51" s="14" t="str">
        <f>IF(ISBLANK(AK51),"",LOOKUP(1,0/(AM$6:AM51=MAX(AM$6:AM51)),AK$6:AK51))</f>
        <v>ＣＩ本</v>
      </c>
    </row>
    <row r="52" spans="2:42">
      <c r="B52" t="s">
        <v>32</v>
      </c>
      <c r="C52" s="8" t="b">
        <f>IF(B52="","",COUNTIF(B$1:B51,B52)=0)</f>
        <v>0</v>
      </c>
      <c r="D52" s="8" t="str">
        <f>IF(B52="","",IF(C52,COUNTIF(C$2:C52,TRUE),""))</f>
        <v/>
      </c>
      <c r="E52" s="8" t="str">
        <f t="shared" si="20"/>
        <v/>
      </c>
      <c r="F52" s="8" t="str">
        <f t="shared" si="22"/>
        <v/>
      </c>
      <c r="G52" s="8" t="str">
        <f>IF(ISBLANK(E52),"",IF(COUNTIF(AK:AK,"="&amp;E52)&gt;0,"",MAX(G$1:G51)+1))</f>
        <v/>
      </c>
      <c r="H52" s="8" t="str">
        <f t="shared" si="8"/>
        <v/>
      </c>
      <c r="S52" t="s">
        <v>27</v>
      </c>
      <c r="Z52" t="s">
        <v>37</v>
      </c>
      <c r="AC52" s="8" t="str">
        <f t="shared" si="7"/>
        <v/>
      </c>
      <c r="AE52" s="8" t="str">
        <f t="shared" si="4"/>
        <v/>
      </c>
      <c r="AF52" s="8" t="str">
        <f>IF(AE52="","",AE52+COUNTIF(AE$2:AE52,AE52)-1)</f>
        <v/>
      </c>
      <c r="AK52" s="18" t="s">
        <v>1116</v>
      </c>
      <c r="AL52" s="14" t="str">
        <f>IF(セルの固定色(AK52)=セルの固定色(AK$6),1,"")</f>
        <v/>
      </c>
      <c r="AM52" s="14" t="str">
        <f>IF(OR(ISBLANK(AL52),AL52=""),"",COUNTIF(AL$6:AL52,"&gt;0"))</f>
        <v/>
      </c>
      <c r="AP52" s="14" t="str">
        <f>IF(ISBLANK(AK52),"",LOOKUP(1,0/(AM$6:AM52=MAX(AM$6:AM52)),AK$6:AK52))</f>
        <v>ＣＩ本</v>
      </c>
    </row>
    <row r="53" spans="2:42" ht="19.5" thickBot="1">
      <c r="B53" t="s">
        <v>47</v>
      </c>
      <c r="C53" s="8" t="b">
        <f>IF(B53="","",COUNTIF(B$1:B52,B53)=0)</f>
        <v>0</v>
      </c>
      <c r="D53" s="8" t="str">
        <f>IF(B53="","",IF(C53,COUNTIF(C$2:C53,TRUE),""))</f>
        <v/>
      </c>
      <c r="E53" s="8" t="str">
        <f t="shared" si="20"/>
        <v/>
      </c>
      <c r="F53" s="8" t="str">
        <f t="shared" si="22"/>
        <v/>
      </c>
      <c r="G53" s="8" t="str">
        <f>IF(ISBLANK(E53),"",IF(COUNTIF(AK:AK,"="&amp;E53)&gt;0,"",MAX(G$1:G52)+1))</f>
        <v/>
      </c>
      <c r="H53" s="8" t="str">
        <f t="shared" si="8"/>
        <v/>
      </c>
      <c r="S53" t="s">
        <v>27</v>
      </c>
      <c r="Z53" t="s">
        <v>68</v>
      </c>
      <c r="AC53" s="8" t="str">
        <f t="shared" si="7"/>
        <v/>
      </c>
      <c r="AE53" s="8" t="str">
        <f t="shared" si="4"/>
        <v/>
      </c>
      <c r="AF53" s="8" t="str">
        <f>IF(AE53="","",AE53+COUNTIF(AE$2:AE53,AE53)-1)</f>
        <v/>
      </c>
      <c r="AK53" s="29" t="s">
        <v>1117</v>
      </c>
      <c r="AL53" s="14" t="str">
        <f>IF(セルの固定色(AK53)=セルの固定色(AK$6),1,"")</f>
        <v/>
      </c>
      <c r="AM53" s="14" t="str">
        <f>IF(OR(ISBLANK(AL53),AL53=""),"",COUNTIF(AL$6:AL53,"&gt;0"))</f>
        <v/>
      </c>
      <c r="AP53" s="14" t="str">
        <f>IF(ISBLANK(AK53),"",LOOKUP(1,0/(AM$6:AM53=MAX(AM$6:AM53)),AK$6:AK53))</f>
        <v>ＣＩ本</v>
      </c>
    </row>
    <row r="54" spans="2:42">
      <c r="B54" t="s">
        <v>47</v>
      </c>
      <c r="C54" s="8" t="b">
        <f>IF(B54="","",COUNTIF(B$1:B53,B54)=0)</f>
        <v>0</v>
      </c>
      <c r="D54" s="8" t="str">
        <f>IF(B54="","",IF(C54,COUNTIF(C$2:C54,TRUE),""))</f>
        <v/>
      </c>
      <c r="E54" s="8" t="str">
        <f t="shared" si="20"/>
        <v/>
      </c>
      <c r="F54" s="8" t="str">
        <f t="shared" si="22"/>
        <v/>
      </c>
      <c r="G54" s="8" t="str">
        <f>IF(ISBLANK(E54),"",IF(COUNTIF(AK:AK,"="&amp;E54)&gt;0,"",MAX(G$1:G53)+1))</f>
        <v/>
      </c>
      <c r="H54" s="8" t="str">
        <f t="shared" si="8"/>
        <v/>
      </c>
      <c r="S54" t="s">
        <v>27</v>
      </c>
      <c r="Z54" t="s">
        <v>44</v>
      </c>
      <c r="AC54" s="8" t="str">
        <f t="shared" si="7"/>
        <v/>
      </c>
      <c r="AE54" s="8" t="str">
        <f t="shared" si="4"/>
        <v/>
      </c>
      <c r="AF54" s="8" t="str">
        <f>IF(AE54="","",AE54+COUNTIF(AE$2:AE54,AE54)-1)</f>
        <v/>
      </c>
      <c r="AK54" s="30" t="s">
        <v>1467</v>
      </c>
      <c r="AL54" s="14">
        <f>IF(セルの固定色(AK54)=セルの固定色(AK$6),1,"")</f>
        <v>1</v>
      </c>
      <c r="AM54" s="14">
        <f>IF(OR(ISBLANK(AL54),AL54=""),"",COUNTIF(AL$6:AL54,"&gt;0"))</f>
        <v>6</v>
      </c>
      <c r="AP54" s="14" t="str">
        <f>IF(ISBLANK(AK54),"",LOOKUP(1,0/(AM$6:AM54=MAX(AM$6:AM54)),AK$6:AK54))</f>
        <v>ＮＩ本</v>
      </c>
    </row>
    <row r="55" spans="2:42">
      <c r="B55" t="s">
        <v>47</v>
      </c>
      <c r="C55" s="8" t="b">
        <f>IF(B55="","",COUNTIF(B$1:B54,B55)=0)</f>
        <v>0</v>
      </c>
      <c r="D55" s="8" t="str">
        <f>IF(B55="","",IF(C55,COUNTIF(C$2:C55,TRUE),""))</f>
        <v/>
      </c>
      <c r="E55" s="8" t="str">
        <f t="shared" si="20"/>
        <v/>
      </c>
      <c r="F55" s="8" t="str">
        <f t="shared" si="22"/>
        <v/>
      </c>
      <c r="G55" s="8" t="str">
        <f>IF(ISBLANK(E55),"",IF(COUNTIF(AK:AK,"="&amp;E55)&gt;0,"",MAX(G$1:G54)+1))</f>
        <v/>
      </c>
      <c r="H55" s="8" t="str">
        <f t="shared" si="8"/>
        <v/>
      </c>
      <c r="S55" t="s">
        <v>27</v>
      </c>
      <c r="Z55" t="s">
        <v>68</v>
      </c>
      <c r="AC55" s="8" t="str">
        <f t="shared" si="7"/>
        <v/>
      </c>
      <c r="AE55" s="8" t="str">
        <f t="shared" si="4"/>
        <v/>
      </c>
      <c r="AF55" s="8" t="str">
        <f>IF(AE55="","",AE55+COUNTIF(AE$2:AE55,AE55)-1)</f>
        <v/>
      </c>
      <c r="AK55" s="18" t="s">
        <v>1118</v>
      </c>
      <c r="AL55" s="14" t="str">
        <f>IF(セルの固定色(AK55)=セルの固定色(AK$6),1,"")</f>
        <v/>
      </c>
      <c r="AM55" s="14" t="str">
        <f>IF(OR(ISBLANK(AL55),AL55=""),"",COUNTIF(AL$6:AL55,"&gt;0"))</f>
        <v/>
      </c>
      <c r="AP55" s="14" t="str">
        <f>IF(ISBLANK(AK55),"",LOOKUP(1,0/(AM$6:AM55=MAX(AM$6:AM55)),AK$6:AK55))</f>
        <v>ＮＩ本</v>
      </c>
    </row>
    <row r="56" spans="2:42">
      <c r="B56" t="s">
        <v>886</v>
      </c>
      <c r="C56" s="8" t="b">
        <f>IF(B56="","",COUNTIF(B$1:B55,B56)=0)</f>
        <v>1</v>
      </c>
      <c r="D56" s="8">
        <f>IF(B56="","",IF(C56,COUNTIF(C$2:C56,TRUE),""))</f>
        <v>11</v>
      </c>
      <c r="E56" s="8" t="str">
        <f t="shared" si="20"/>
        <v/>
      </c>
      <c r="F56" s="8" t="str">
        <f t="shared" si="22"/>
        <v/>
      </c>
      <c r="G56" s="8" t="str">
        <f>IF(ISBLANK(E56),"",IF(COUNTIF(AK:AK,"="&amp;E56)&gt;0,"",MAX(G$1:G55)+1))</f>
        <v/>
      </c>
      <c r="H56" s="8" t="str">
        <f t="shared" si="8"/>
        <v/>
      </c>
      <c r="S56" t="s">
        <v>259</v>
      </c>
      <c r="Z56" t="s">
        <v>68</v>
      </c>
      <c r="AC56" s="8" t="str">
        <f t="shared" si="7"/>
        <v/>
      </c>
      <c r="AE56" s="8" t="str">
        <f t="shared" si="4"/>
        <v/>
      </c>
      <c r="AF56" s="8" t="str">
        <f>IF(AE56="","",AE56+COUNTIF(AE$2:AE56,AE56)-1)</f>
        <v/>
      </c>
      <c r="AK56" s="18" t="s">
        <v>1119</v>
      </c>
      <c r="AL56" s="14" t="str">
        <f>IF(セルの固定色(AK56)=セルの固定色(AK$6),1,"")</f>
        <v/>
      </c>
      <c r="AM56" s="14" t="str">
        <f>IF(OR(ISBLANK(AL56),AL56=""),"",COUNTIF(AL$6:AL56,"&gt;0"))</f>
        <v/>
      </c>
      <c r="AP56" s="14" t="str">
        <f>IF(ISBLANK(AK56),"",LOOKUP(1,0/(AM$6:AM56=MAX(AM$6:AM56)),AK$6:AK56))</f>
        <v>ＮＩ本</v>
      </c>
    </row>
    <row r="57" spans="2:42">
      <c r="B57" t="s">
        <v>139</v>
      </c>
      <c r="C57" s="8" t="b">
        <f>IF(B57="","",COUNTIF(B$1:B56,B57)=0)</f>
        <v>0</v>
      </c>
      <c r="D57" s="8" t="str">
        <f>IF(B57="","",IF(C57,COUNTIF(C$2:C57,TRUE),""))</f>
        <v/>
      </c>
      <c r="E57" s="8" t="str">
        <f t="shared" si="20"/>
        <v/>
      </c>
      <c r="F57" s="8" t="str">
        <f t="shared" si="22"/>
        <v/>
      </c>
      <c r="G57" s="8" t="str">
        <f>IF(ISBLANK(E57),"",IF(COUNTIF(AK:AK,"="&amp;E57)&gt;0,"",MAX(G$1:G56)+1))</f>
        <v/>
      </c>
      <c r="H57" s="8" t="str">
        <f t="shared" si="8"/>
        <v/>
      </c>
      <c r="S57" t="s">
        <v>54</v>
      </c>
      <c r="Z57" t="s">
        <v>454</v>
      </c>
      <c r="AC57" s="8" t="str">
        <f t="shared" si="7"/>
        <v/>
      </c>
      <c r="AE57" s="8" t="str">
        <f t="shared" si="4"/>
        <v/>
      </c>
      <c r="AF57" s="8" t="str">
        <f>IF(AE57="","",AE57+COUNTIF(AE$2:AE57,AE57)-1)</f>
        <v/>
      </c>
      <c r="AK57" s="18" t="s">
        <v>1120</v>
      </c>
      <c r="AL57" s="14" t="str">
        <f>IF(セルの固定色(AK57)=セルの固定色(AK$6),1,"")</f>
        <v/>
      </c>
      <c r="AM57" s="14" t="str">
        <f>IF(OR(ISBLANK(AL57),AL57=""),"",COUNTIF(AL$6:AL57,"&gt;0"))</f>
        <v/>
      </c>
      <c r="AP57" s="14" t="str">
        <f>IF(ISBLANK(AK57),"",LOOKUP(1,0/(AM$6:AM57=MAX(AM$6:AM57)),AK$6:AK57))</f>
        <v>ＮＩ本</v>
      </c>
    </row>
    <row r="58" spans="2:42">
      <c r="B58" t="s">
        <v>139</v>
      </c>
      <c r="C58" s="8" t="b">
        <f>IF(B58="","",COUNTIF(B$1:B57,B58)=0)</f>
        <v>0</v>
      </c>
      <c r="D58" s="8" t="str">
        <f>IF(B58="","",IF(C58,COUNTIF(C$2:C58,TRUE),""))</f>
        <v/>
      </c>
      <c r="E58" s="8" t="str">
        <f t="shared" si="20"/>
        <v/>
      </c>
      <c r="F58" s="8" t="str">
        <f t="shared" si="22"/>
        <v/>
      </c>
      <c r="G58" s="8" t="str">
        <f>IF(ISBLANK(E58),"",IF(COUNTIF(AK:AK,"="&amp;E58)&gt;0,"",MAX(G$1:G57)+1))</f>
        <v/>
      </c>
      <c r="H58" s="8" t="str">
        <f t="shared" si="8"/>
        <v/>
      </c>
      <c r="S58" t="s">
        <v>54</v>
      </c>
      <c r="Z58" t="s">
        <v>222</v>
      </c>
      <c r="AC58" s="8" t="str">
        <f t="shared" si="7"/>
        <v/>
      </c>
      <c r="AE58" s="8" t="str">
        <f t="shared" si="4"/>
        <v/>
      </c>
      <c r="AF58" s="8" t="str">
        <f>IF(AE58="","",AE58+COUNTIF(AE$2:AE58,AE58)-1)</f>
        <v/>
      </c>
      <c r="AK58" s="18" t="s">
        <v>1121</v>
      </c>
      <c r="AL58" s="14" t="str">
        <f>IF(セルの固定色(AK58)=セルの固定色(AK$6),1,"")</f>
        <v/>
      </c>
      <c r="AM58" s="14" t="str">
        <f>IF(OR(ISBLANK(AL58),AL58=""),"",COUNTIF(AL$6:AL58,"&gt;0"))</f>
        <v/>
      </c>
      <c r="AP58" s="14" t="str">
        <f>IF(ISBLANK(AK58),"",LOOKUP(1,0/(AM$6:AM58=MAX(AM$6:AM58)),AK$6:AK58))</f>
        <v>ＮＩ本</v>
      </c>
    </row>
    <row r="59" spans="2:42">
      <c r="B59" t="s">
        <v>47</v>
      </c>
      <c r="C59" s="8" t="b">
        <f>IF(B59="","",COUNTIF(B$1:B58,B59)=0)</f>
        <v>0</v>
      </c>
      <c r="D59" s="8" t="str">
        <f>IF(B59="","",IF(C59,COUNTIF(C$2:C59,TRUE),""))</f>
        <v/>
      </c>
      <c r="E59" s="8" t="str">
        <f t="shared" si="20"/>
        <v/>
      </c>
      <c r="F59" s="8" t="str">
        <f t="shared" si="22"/>
        <v/>
      </c>
      <c r="G59" s="8" t="str">
        <f>IF(ISBLANK(E59),"",IF(COUNTIF(AK:AK,"="&amp;E59)&gt;0,"",MAX(G$1:G58)+1))</f>
        <v/>
      </c>
      <c r="H59" s="8" t="str">
        <f t="shared" si="8"/>
        <v/>
      </c>
      <c r="S59" t="s">
        <v>27</v>
      </c>
      <c r="Z59" t="s">
        <v>68</v>
      </c>
      <c r="AC59" s="8" t="str">
        <f t="shared" si="7"/>
        <v/>
      </c>
      <c r="AE59" s="8" t="str">
        <f t="shared" si="4"/>
        <v/>
      </c>
      <c r="AF59" s="8" t="str">
        <f>IF(AE59="","",AE59+COUNTIF(AE$2:AE59,AE59)-1)</f>
        <v/>
      </c>
      <c r="AK59" s="18" t="s">
        <v>1122</v>
      </c>
      <c r="AL59" s="14" t="str">
        <f>IF(セルの固定色(AK59)=セルの固定色(AK$6),1,"")</f>
        <v/>
      </c>
      <c r="AM59" s="14" t="str">
        <f>IF(OR(ISBLANK(AL59),AL59=""),"",COUNTIF(AL$6:AL59,"&gt;0"))</f>
        <v/>
      </c>
      <c r="AP59" s="14" t="str">
        <f>IF(ISBLANK(AK59),"",LOOKUP(1,0/(AM$6:AM59=MAX(AM$6:AM59)),AK$6:AK59))</f>
        <v>ＮＩ本</v>
      </c>
    </row>
    <row r="60" spans="2:42" ht="19.5" thickBot="1">
      <c r="B60" t="s">
        <v>47</v>
      </c>
      <c r="C60" s="8" t="b">
        <f>IF(B60="","",COUNTIF(B$1:B59,B60)=0)</f>
        <v>0</v>
      </c>
      <c r="D60" s="8" t="str">
        <f>IF(B60="","",IF(C60,COUNTIF(C$2:C60,TRUE),""))</f>
        <v/>
      </c>
      <c r="E60" s="8" t="str">
        <f t="shared" si="20"/>
        <v/>
      </c>
      <c r="F60" s="8" t="str">
        <f t="shared" si="22"/>
        <v/>
      </c>
      <c r="G60" s="8" t="str">
        <f>IF(ISBLANK(E60),"",IF(COUNTIF(AK:AK,"="&amp;E60)&gt;0,"",MAX(G$1:G59)+1))</f>
        <v/>
      </c>
      <c r="H60" s="8" t="str">
        <f t="shared" si="8"/>
        <v/>
      </c>
      <c r="S60" t="s">
        <v>27</v>
      </c>
      <c r="Z60" t="s">
        <v>68</v>
      </c>
      <c r="AC60" s="8" t="str">
        <f t="shared" si="7"/>
        <v/>
      </c>
      <c r="AE60" s="8" t="str">
        <f t="shared" si="4"/>
        <v/>
      </c>
      <c r="AF60" s="8" t="str">
        <f>IF(AE60="","",AE60+COUNTIF(AE$2:AE60,AE60)-1)</f>
        <v/>
      </c>
      <c r="AK60" s="22" t="s">
        <v>1123</v>
      </c>
      <c r="AL60" s="14" t="str">
        <f>IF(セルの固定色(AK60)=セルの固定色(AK$6),1,"")</f>
        <v/>
      </c>
      <c r="AM60" s="14" t="str">
        <f>IF(OR(ISBLANK(AL60),AL60=""),"",COUNTIF(AL$6:AL60,"&gt;0"))</f>
        <v/>
      </c>
      <c r="AP60" s="14" t="str">
        <f>IF(ISBLANK(AK60),"",LOOKUP(1,0/(AM$6:AM60=MAX(AM$6:AM60)),AK$6:AK60))</f>
        <v>ＮＩ本</v>
      </c>
    </row>
    <row r="61" spans="2:42">
      <c r="B61" t="s">
        <v>32</v>
      </c>
      <c r="C61" s="8" t="b">
        <f>IF(B61="","",COUNTIF(B$1:B60,B61)=0)</f>
        <v>0</v>
      </c>
      <c r="D61" s="8" t="str">
        <f>IF(B61="","",IF(C61,COUNTIF(C$2:C61,TRUE),""))</f>
        <v/>
      </c>
      <c r="E61" s="8" t="str">
        <f t="shared" si="20"/>
        <v/>
      </c>
      <c r="F61" s="8" t="str">
        <f t="shared" si="22"/>
        <v/>
      </c>
      <c r="G61" s="8" t="str">
        <f>IF(ISBLANK(E61),"",IF(COUNTIF(AK:AK,"="&amp;E61)&gt;0,"",MAX(G$1:G60)+1))</f>
        <v/>
      </c>
      <c r="H61" s="8" t="str">
        <f t="shared" si="8"/>
        <v/>
      </c>
      <c r="S61" t="s">
        <v>27</v>
      </c>
      <c r="Z61" t="s">
        <v>903</v>
      </c>
      <c r="AC61" s="8" t="str">
        <f t="shared" si="7"/>
        <v/>
      </c>
      <c r="AE61" s="8" t="str">
        <f t="shared" si="4"/>
        <v/>
      </c>
      <c r="AF61" s="8" t="str">
        <f>IF(AE61="","",AE61+COUNTIF(AE$2:AE61,AE61)-1)</f>
        <v/>
      </c>
      <c r="AK61" s="23" t="s">
        <v>1468</v>
      </c>
      <c r="AL61" s="14">
        <f>IF(セルの固定色(AK61)=セルの固定色(AK$6),1,"")</f>
        <v>1</v>
      </c>
      <c r="AM61" s="14">
        <f>IF(OR(ISBLANK(AL61),AL61=""),"",COUNTIF(AL$6:AL61,"&gt;0"))</f>
        <v>7</v>
      </c>
      <c r="AP61" s="14" t="str">
        <f>IF(ISBLANK(AK61),"",LOOKUP(1,0/(AM$6:AM61=MAX(AM$6:AM61)),AK$6:AK61))</f>
        <v>ＡＩ本</v>
      </c>
    </row>
    <row r="62" spans="2:42">
      <c r="B62" t="s">
        <v>47</v>
      </c>
      <c r="C62" s="8" t="b">
        <f>IF(B62="","",COUNTIF(B$1:B61,B62)=0)</f>
        <v>0</v>
      </c>
      <c r="D62" s="8" t="str">
        <f>IF(B62="","",IF(C62,COUNTIF(C$2:C62,TRUE),""))</f>
        <v/>
      </c>
      <c r="E62" s="8" t="str">
        <f t="shared" si="20"/>
        <v/>
      </c>
      <c r="F62" s="8" t="str">
        <f t="shared" si="22"/>
        <v/>
      </c>
      <c r="G62" s="8" t="str">
        <f>IF(ISBLANK(E62),"",IF(COUNTIF(AK:AK,"="&amp;E62)&gt;0,"",MAX(G$1:G61)+1))</f>
        <v/>
      </c>
      <c r="H62" s="8" t="str">
        <f t="shared" si="8"/>
        <v/>
      </c>
      <c r="S62" t="s">
        <v>73</v>
      </c>
      <c r="Z62" t="s">
        <v>37</v>
      </c>
      <c r="AC62" s="8" t="str">
        <f t="shared" si="7"/>
        <v/>
      </c>
      <c r="AE62" s="8" t="str">
        <f t="shared" si="4"/>
        <v/>
      </c>
      <c r="AF62" s="8" t="str">
        <f>IF(AE62="","",AE62+COUNTIF(AE$2:AE62,AE62)-1)</f>
        <v/>
      </c>
      <c r="AK62" s="18" t="s">
        <v>1124</v>
      </c>
      <c r="AL62" s="14" t="str">
        <f>IF(セルの固定色(AK62)=セルの固定色(AK$6),1,"")</f>
        <v/>
      </c>
      <c r="AM62" s="14" t="str">
        <f>IF(OR(ISBLANK(AL62),AL62=""),"",COUNTIF(AL$6:AL62,"&gt;0"))</f>
        <v/>
      </c>
      <c r="AP62" s="14" t="str">
        <f>IF(ISBLANK(AK62),"",LOOKUP(1,0/(AM$6:AM62=MAX(AM$6:AM62)),AK$6:AK62))</f>
        <v>ＡＩ本</v>
      </c>
    </row>
    <row r="63" spans="2:42">
      <c r="B63" t="s">
        <v>545</v>
      </c>
      <c r="C63" s="8" t="b">
        <f>IF(B63="","",COUNTIF(B$1:B62,B63)=0)</f>
        <v>1</v>
      </c>
      <c r="D63" s="8">
        <f>IF(B63="","",IF(C63,COUNTIF(C$2:C63,TRUE),""))</f>
        <v>12</v>
      </c>
      <c r="E63" s="8" t="str">
        <f t="shared" si="20"/>
        <v/>
      </c>
      <c r="F63" s="8" t="str">
        <f t="shared" si="22"/>
        <v/>
      </c>
      <c r="G63" s="8" t="str">
        <f>IF(ISBLANK(E63),"",IF(COUNTIF(AK:AK,"="&amp;E63)&gt;0,"",MAX(G$1:G62)+1))</f>
        <v/>
      </c>
      <c r="H63" s="8" t="str">
        <f t="shared" si="8"/>
        <v/>
      </c>
      <c r="S63" t="s">
        <v>252</v>
      </c>
      <c r="Z63" t="s">
        <v>911</v>
      </c>
      <c r="AC63" s="8" t="str">
        <f t="shared" si="7"/>
        <v/>
      </c>
      <c r="AE63" s="8" t="str">
        <f t="shared" si="4"/>
        <v/>
      </c>
      <c r="AF63" s="8" t="str">
        <f>IF(AE63="","",AE63+COUNTIF(AE$2:AE63,AE63)-1)</f>
        <v/>
      </c>
      <c r="AK63" s="18" t="s">
        <v>1125</v>
      </c>
      <c r="AL63" s="14" t="str">
        <f>IF(セルの固定色(AK63)=セルの固定色(AK$6),1,"")</f>
        <v/>
      </c>
      <c r="AM63" s="14" t="str">
        <f>IF(OR(ISBLANK(AL63),AL63=""),"",COUNTIF(AL$6:AL63,"&gt;0"))</f>
        <v/>
      </c>
      <c r="AP63" s="14" t="str">
        <f>IF(ISBLANK(AK63),"",LOOKUP(1,0/(AM$6:AM63=MAX(AM$6:AM63)),AK$6:AK63))</f>
        <v>ＡＩ本</v>
      </c>
    </row>
    <row r="64" spans="2:42">
      <c r="B64" t="s">
        <v>32</v>
      </c>
      <c r="C64" s="8" t="b">
        <f>IF(B64="","",COUNTIF(B$1:B63,B64)=0)</f>
        <v>0</v>
      </c>
      <c r="D64" s="8" t="str">
        <f>IF(B64="","",IF(C64,COUNTIF(C$2:C64,TRUE),""))</f>
        <v/>
      </c>
      <c r="E64" s="8" t="str">
        <f t="shared" si="20"/>
        <v/>
      </c>
      <c r="F64" s="8" t="str">
        <f t="shared" si="22"/>
        <v/>
      </c>
      <c r="G64" s="8" t="str">
        <f>IF(ISBLANK(E64),"",IF(COUNTIF(AK:AK,"="&amp;E64)&gt;0,"",MAX(G$1:G63)+1))</f>
        <v/>
      </c>
      <c r="H64" s="8" t="str">
        <f t="shared" si="8"/>
        <v/>
      </c>
      <c r="S64" t="s">
        <v>27</v>
      </c>
      <c r="Z64" t="s">
        <v>903</v>
      </c>
      <c r="AC64" s="8" t="str">
        <f t="shared" si="7"/>
        <v/>
      </c>
      <c r="AE64" s="8" t="str">
        <f t="shared" si="4"/>
        <v/>
      </c>
      <c r="AF64" s="8" t="str">
        <f>IF(AE64="","",AE64+COUNTIF(AE$2:AE64,AE64)-1)</f>
        <v/>
      </c>
      <c r="AK64" s="18" t="s">
        <v>1126</v>
      </c>
      <c r="AL64" s="14" t="str">
        <f>IF(セルの固定色(AK64)=セルの固定色(AK$6),1,"")</f>
        <v/>
      </c>
      <c r="AM64" s="14" t="str">
        <f>IF(OR(ISBLANK(AL64),AL64=""),"",COUNTIF(AL$6:AL64,"&gt;0"))</f>
        <v/>
      </c>
      <c r="AP64" s="14" t="str">
        <f>IF(ISBLANK(AK64),"",LOOKUP(1,0/(AM$6:AM64=MAX(AM$6:AM64)),AK$6:AK64))</f>
        <v>ＡＩ本</v>
      </c>
    </row>
    <row r="65" spans="2:42">
      <c r="B65" t="s">
        <v>128</v>
      </c>
      <c r="C65" s="8" t="b">
        <f>IF(B65="","",COUNTIF(B$1:B64,B65)=0)</f>
        <v>0</v>
      </c>
      <c r="D65" s="8" t="str">
        <f>IF(B65="","",IF(C65,COUNTIF(C$2:C65,TRUE),""))</f>
        <v/>
      </c>
      <c r="E65" s="8" t="str">
        <f t="shared" si="20"/>
        <v/>
      </c>
      <c r="F65" s="8" t="str">
        <f t="shared" si="22"/>
        <v/>
      </c>
      <c r="G65" s="8" t="str">
        <f>IF(ISBLANK(E65),"",IF(COUNTIF(AK:AK,"="&amp;E65)&gt;0,"",MAX(G$1:G64)+1))</f>
        <v/>
      </c>
      <c r="H65" s="8" t="str">
        <f t="shared" si="8"/>
        <v/>
      </c>
      <c r="S65" t="s">
        <v>54</v>
      </c>
      <c r="Z65" t="s">
        <v>780</v>
      </c>
      <c r="AC65" s="8" t="str">
        <f t="shared" si="7"/>
        <v/>
      </c>
      <c r="AE65" s="8" t="str">
        <f t="shared" si="4"/>
        <v/>
      </c>
      <c r="AF65" s="8" t="str">
        <f>IF(AE65="","",AE65+COUNTIF(AE$2:AE65,AE65)-1)</f>
        <v/>
      </c>
      <c r="AK65" s="24" t="s">
        <v>1127</v>
      </c>
      <c r="AL65" s="14" t="str">
        <f>IF(セルの固定色(AK65)=セルの固定色(AK$6),1,"")</f>
        <v/>
      </c>
      <c r="AM65" s="14" t="str">
        <f>IF(OR(ISBLANK(AL65),AL65=""),"",COUNTIF(AL$6:AL65,"&gt;0"))</f>
        <v/>
      </c>
      <c r="AP65" s="14" t="str">
        <f>IF(ISBLANK(AK65),"",LOOKUP(1,0/(AM$6:AM65=MAX(AM$6:AM65)),AK$6:AK65))</f>
        <v>ＡＩ本</v>
      </c>
    </row>
    <row r="66" spans="2:42">
      <c r="B66" t="s">
        <v>264</v>
      </c>
      <c r="C66" s="8" t="b">
        <f>IF(B66="","",COUNTIF(B$1:B65,B66)=0)</f>
        <v>0</v>
      </c>
      <c r="D66" s="8" t="str">
        <f>IF(B66="","",IF(C66,COUNTIF(C$2:C66,TRUE),""))</f>
        <v/>
      </c>
      <c r="E66" s="8" t="str">
        <f t="shared" si="20"/>
        <v/>
      </c>
      <c r="F66" s="8" t="str">
        <f t="shared" ref="F66:F97" si="23">IF(E66="","",IFERROR(LOOKUP(1,0/(AK:AK=E66),AP:AP),"旧 "&amp;E66))</f>
        <v/>
      </c>
      <c r="G66" s="8" t="str">
        <f>IF(ISBLANK(E66),"",IF(COUNTIF(AK:AK,"="&amp;E66)&gt;0,"",MAX(G$1:G65)+1))</f>
        <v/>
      </c>
      <c r="H66" s="8" t="str">
        <f t="shared" si="8"/>
        <v/>
      </c>
      <c r="S66" t="s">
        <v>116</v>
      </c>
      <c r="Z66" t="s">
        <v>925</v>
      </c>
      <c r="AC66" s="8" t="str">
        <f t="shared" si="7"/>
        <v/>
      </c>
      <c r="AE66" s="8" t="str">
        <f t="shared" ref="AE66:AE129" si="24">IF(ISBLANK(AD66),"",RANK(AD66,AD$2:AD$256,0))</f>
        <v/>
      </c>
      <c r="AF66" s="8" t="str">
        <f>IF(AE66="","",AE66+COUNTIF(AE$2:AE66,AE66)-1)</f>
        <v/>
      </c>
      <c r="AK66" s="22" t="s">
        <v>1128</v>
      </c>
      <c r="AL66" s="14" t="str">
        <f>IF(セルの固定色(AK66)=セルの固定色(AK$6),1,"")</f>
        <v/>
      </c>
      <c r="AM66" s="14" t="str">
        <f>IF(OR(ISBLANK(AL66),AL66=""),"",COUNTIF(AL$6:AL66,"&gt;0"))</f>
        <v/>
      </c>
      <c r="AP66" s="14" t="str">
        <f>IF(ISBLANK(AK66),"",LOOKUP(1,0/(AM$6:AM66=MAX(AM$6:AM66)),AK$6:AK66))</f>
        <v>ＡＩ本</v>
      </c>
    </row>
    <row r="67" spans="2:42" ht="19.5" thickBot="1">
      <c r="B67" t="s">
        <v>47</v>
      </c>
      <c r="C67" s="8" t="b">
        <f>IF(B67="","",COUNTIF(B$1:B66,B67)=0)</f>
        <v>0</v>
      </c>
      <c r="D67" s="8" t="str">
        <f>IF(B67="","",IF(C67,COUNTIF(C$2:C67,TRUE),""))</f>
        <v/>
      </c>
      <c r="E67" s="8" t="str">
        <f t="shared" si="20"/>
        <v/>
      </c>
      <c r="F67" s="8" t="str">
        <f t="shared" si="23"/>
        <v/>
      </c>
      <c r="G67" s="8" t="str">
        <f>IF(ISBLANK(E67),"",IF(COUNTIF(AK:AK,"="&amp;E67)&gt;0,"",MAX(G$1:G66)+1))</f>
        <v/>
      </c>
      <c r="H67" s="8" t="str">
        <f t="shared" si="8"/>
        <v/>
      </c>
      <c r="S67" t="s">
        <v>27</v>
      </c>
      <c r="Z67" t="s">
        <v>68</v>
      </c>
      <c r="AC67" s="8" t="str">
        <f t="shared" ref="AC67:AC102" si="25">IF(ISBLANK(AB67),"",COUNTIF(Z:Z,AB67))</f>
        <v/>
      </c>
      <c r="AE67" s="8" t="str">
        <f t="shared" si="24"/>
        <v/>
      </c>
      <c r="AF67" s="8" t="str">
        <f>IF(AE67="","",AE67+COUNTIF(AE$2:AE67,AE67)-1)</f>
        <v/>
      </c>
      <c r="AK67" s="22" t="s">
        <v>1129</v>
      </c>
      <c r="AL67" s="14" t="str">
        <f>IF(セルの固定色(AK67)=セルの固定色(AK$6),1,"")</f>
        <v/>
      </c>
      <c r="AM67" s="14" t="str">
        <f>IF(OR(ISBLANK(AL67),AL67=""),"",COUNTIF(AL$6:AL67,"&gt;0"))</f>
        <v/>
      </c>
      <c r="AP67" s="14" t="str">
        <f>IF(ISBLANK(AK67),"",LOOKUP(1,0/(AM$6:AM67=MAX(AM$6:AM67)),AK$6:AK67))</f>
        <v>ＡＩ本</v>
      </c>
    </row>
    <row r="68" spans="2:42">
      <c r="B68" t="s">
        <v>32</v>
      </c>
      <c r="C68" s="8" t="b">
        <f>IF(B68="","",COUNTIF(B$1:B67,B68)=0)</f>
        <v>0</v>
      </c>
      <c r="D68" s="8" t="str">
        <f>IF(B68="","",IF(C68,COUNTIF(C$2:C68,TRUE),""))</f>
        <v/>
      </c>
      <c r="E68" s="8" t="str">
        <f t="shared" si="20"/>
        <v/>
      </c>
      <c r="F68" s="8" t="str">
        <f t="shared" si="23"/>
        <v/>
      </c>
      <c r="G68" s="8" t="str">
        <f>IF(ISBLANK(E68),"",IF(COUNTIF(AK:AK,"="&amp;E68)&gt;0,"",MAX(G$1:G67)+1))</f>
        <v/>
      </c>
      <c r="H68" s="8" t="str">
        <f t="shared" ref="H68:H101" si="26">IF(E68="","",COUNTIF(B:B,E68))</f>
        <v/>
      </c>
      <c r="S68" t="s">
        <v>54</v>
      </c>
      <c r="Z68" t="s">
        <v>222</v>
      </c>
      <c r="AC68" s="8" t="str">
        <f t="shared" si="25"/>
        <v/>
      </c>
      <c r="AE68" s="8" t="str">
        <f t="shared" si="24"/>
        <v/>
      </c>
      <c r="AF68" s="8" t="str">
        <f>IF(AE68="","",AE68+COUNTIF(AE$2:AE68,AE68)-1)</f>
        <v/>
      </c>
      <c r="AK68" s="23" t="s">
        <v>1469</v>
      </c>
      <c r="AL68" s="14">
        <f>IF(セルの固定色(AK68)=セルの固定色(AK$6),1,"")</f>
        <v>1</v>
      </c>
      <c r="AM68" s="14">
        <f>IF(OR(ISBLANK(AL68),AL68=""),"",COUNTIF(AL$6:AL68,"&gt;0"))</f>
        <v>8</v>
      </c>
      <c r="AP68" s="14" t="str">
        <f>IF(ISBLANK(AK68),"",LOOKUP(1,0/(AM$6:AM68=MAX(AM$6:AM68)),AK$6:AK68))</f>
        <v>ＮＳ本</v>
      </c>
    </row>
    <row r="69" spans="2:42">
      <c r="B69" t="s">
        <v>47</v>
      </c>
      <c r="C69" s="8" t="b">
        <f>IF(B69="","",COUNTIF(B$1:B68,B69)=0)</f>
        <v>0</v>
      </c>
      <c r="D69" s="8" t="str">
        <f>IF(B69="","",IF(C69,COUNTIF(C$2:C69,TRUE),""))</f>
        <v/>
      </c>
      <c r="E69" s="8" t="str">
        <f t="shared" si="20"/>
        <v/>
      </c>
      <c r="F69" s="8" t="str">
        <f t="shared" si="23"/>
        <v/>
      </c>
      <c r="G69" s="8" t="str">
        <f>IF(ISBLANK(E69),"",IF(COUNTIF(AK:AK,"="&amp;E69)&gt;0,"",MAX(G$1:G68)+1))</f>
        <v/>
      </c>
      <c r="H69" s="8" t="str">
        <f t="shared" si="26"/>
        <v/>
      </c>
      <c r="S69" t="s">
        <v>116</v>
      </c>
      <c r="Z69" t="s">
        <v>44</v>
      </c>
      <c r="AC69" s="8" t="str">
        <f t="shared" si="25"/>
        <v/>
      </c>
      <c r="AE69" s="8" t="str">
        <f t="shared" si="24"/>
        <v/>
      </c>
      <c r="AF69" s="8" t="str">
        <f>IF(AE69="","",AE69+COUNTIF(AE$2:AE69,AE69)-1)</f>
        <v/>
      </c>
      <c r="AK69" s="18" t="s">
        <v>1130</v>
      </c>
      <c r="AL69" s="14" t="str">
        <f>IF(セルの固定色(AK69)=セルの固定色(AK$6),1,"")</f>
        <v/>
      </c>
      <c r="AM69" s="14" t="str">
        <f>IF(OR(ISBLANK(AL69),AL69=""),"",COUNTIF(AL$6:AL69,"&gt;0"))</f>
        <v/>
      </c>
      <c r="AP69" s="14" t="str">
        <f>IF(ISBLANK(AK69),"",LOOKUP(1,0/(AM$6:AM69=MAX(AM$6:AM69)),AK$6:AK69))</f>
        <v>ＮＳ本</v>
      </c>
    </row>
    <row r="70" spans="2:42">
      <c r="B70" t="s">
        <v>47</v>
      </c>
      <c r="C70" s="8" t="b">
        <f>IF(B70="","",COUNTIF(B$1:B69,B70)=0)</f>
        <v>0</v>
      </c>
      <c r="D70" s="8" t="str">
        <f>IF(B70="","",IF(C70,COUNTIF(C$2:C70,TRUE),""))</f>
        <v/>
      </c>
      <c r="E70" s="8" t="str">
        <f t="shared" si="20"/>
        <v/>
      </c>
      <c r="F70" s="8" t="str">
        <f t="shared" si="23"/>
        <v/>
      </c>
      <c r="G70" s="8" t="str">
        <f>IF(ISBLANK(E70),"",IF(COUNTIF(AK:AK,"="&amp;E70)&gt;0,"",MAX(G$1:G69)+1))</f>
        <v/>
      </c>
      <c r="H70" s="8" t="str">
        <f t="shared" si="26"/>
        <v/>
      </c>
      <c r="S70" t="s">
        <v>54</v>
      </c>
      <c r="Z70" t="s">
        <v>44</v>
      </c>
      <c r="AC70" s="8" t="str">
        <f t="shared" si="25"/>
        <v/>
      </c>
      <c r="AE70" s="8" t="str">
        <f t="shared" si="24"/>
        <v/>
      </c>
      <c r="AF70" s="8" t="str">
        <f>IF(AE70="","",AE70+COUNTIF(AE$2:AE70,AE70)-1)</f>
        <v/>
      </c>
      <c r="AK70" s="18" t="s">
        <v>1131</v>
      </c>
      <c r="AL70" s="14" t="str">
        <f>IF(セルの固定色(AK70)=セルの固定色(AK$6),1,"")</f>
        <v/>
      </c>
      <c r="AM70" s="14" t="str">
        <f>IF(OR(ISBLANK(AL70),AL70=""),"",COUNTIF(AL$6:AL70,"&gt;0"))</f>
        <v/>
      </c>
      <c r="AP70" s="14" t="str">
        <f>IF(ISBLANK(AK70),"",LOOKUP(1,0/(AM$6:AM70=MAX(AM$6:AM70)),AK$6:AK70))</f>
        <v>ＮＳ本</v>
      </c>
    </row>
    <row r="71" spans="2:42">
      <c r="B71" t="s">
        <v>128</v>
      </c>
      <c r="C71" s="8" t="b">
        <f>IF(B71="","",COUNTIF(B$1:B70,B71)=0)</f>
        <v>0</v>
      </c>
      <c r="D71" s="8" t="str">
        <f>IF(B71="","",IF(C71,COUNTIF(C$2:C71,TRUE),""))</f>
        <v/>
      </c>
      <c r="E71" s="8" t="str">
        <f t="shared" si="20"/>
        <v/>
      </c>
      <c r="F71" s="8" t="str">
        <f t="shared" si="23"/>
        <v/>
      </c>
      <c r="G71" s="8" t="str">
        <f>IF(ISBLANK(E71),"",IF(COUNTIF(AK:AK,"="&amp;E71)&gt;0,"",MAX(G$1:G70)+1))</f>
        <v/>
      </c>
      <c r="H71" s="8" t="str">
        <f t="shared" si="26"/>
        <v/>
      </c>
      <c r="S71" t="s">
        <v>27</v>
      </c>
      <c r="Z71" t="s">
        <v>37</v>
      </c>
      <c r="AC71" s="8" t="str">
        <f t="shared" si="25"/>
        <v/>
      </c>
      <c r="AE71" s="8" t="str">
        <f t="shared" si="24"/>
        <v/>
      </c>
      <c r="AF71" s="8" t="str">
        <f>IF(AE71="","",AE71+COUNTIF(AE$2:AE71,AE71)-1)</f>
        <v/>
      </c>
      <c r="AK71" s="18" t="s">
        <v>1132</v>
      </c>
      <c r="AL71" s="14" t="str">
        <f>IF(セルの固定色(AK71)=セルの固定色(AK$6),1,"")</f>
        <v/>
      </c>
      <c r="AM71" s="14" t="str">
        <f>IF(OR(ISBLANK(AL71),AL71=""),"",COUNTIF(AL$6:AL71,"&gt;0"))</f>
        <v/>
      </c>
      <c r="AP71" s="14" t="str">
        <f>IF(ISBLANK(AK71),"",LOOKUP(1,0/(AM$6:AM71=MAX(AM$6:AM71)),AK$6:AK71))</f>
        <v>ＮＳ本</v>
      </c>
    </row>
    <row r="72" spans="2:42" ht="19.5" thickBot="1">
      <c r="B72" t="s">
        <v>139</v>
      </c>
      <c r="C72" s="8" t="b">
        <f>IF(B72="","",COUNTIF(B$1:B71,B72)=0)</f>
        <v>0</v>
      </c>
      <c r="D72" s="8" t="str">
        <f>IF(B72="","",IF(C72,COUNTIF(C$2:C72,TRUE),""))</f>
        <v/>
      </c>
      <c r="E72" s="8" t="str">
        <f t="shared" si="20"/>
        <v/>
      </c>
      <c r="F72" s="8" t="str">
        <f t="shared" si="23"/>
        <v/>
      </c>
      <c r="G72" s="8" t="str">
        <f>IF(ISBLANK(E72),"",IF(COUNTIF(AK:AK,"="&amp;E72)&gt;0,"",MAX(G$1:G71)+1))</f>
        <v/>
      </c>
      <c r="H72" s="8" t="str">
        <f t="shared" si="26"/>
        <v/>
      </c>
      <c r="S72" t="s">
        <v>27</v>
      </c>
      <c r="Z72" t="s">
        <v>37</v>
      </c>
      <c r="AC72" s="8" t="str">
        <f t="shared" si="25"/>
        <v/>
      </c>
      <c r="AE72" s="8" t="str">
        <f t="shared" si="24"/>
        <v/>
      </c>
      <c r="AF72" s="8" t="str">
        <f>IF(AE72="","",AE72+COUNTIF(AE$2:AE72,AE72)-1)</f>
        <v/>
      </c>
      <c r="AK72" s="29" t="s">
        <v>1133</v>
      </c>
      <c r="AL72" s="14" t="str">
        <f>IF(セルの固定色(AK72)=セルの固定色(AK$6),1,"")</f>
        <v/>
      </c>
      <c r="AM72" s="14" t="str">
        <f>IF(OR(ISBLANK(AL72),AL72=""),"",COUNTIF(AL$6:AL72,"&gt;0"))</f>
        <v/>
      </c>
      <c r="AP72" s="14" t="str">
        <f>IF(ISBLANK(AK72),"",LOOKUP(1,0/(AM$6:AM72=MAX(AM$6:AM72)),AK$6:AK72))</f>
        <v>ＮＳ本</v>
      </c>
    </row>
    <row r="73" spans="2:42">
      <c r="B73" t="s">
        <v>264</v>
      </c>
      <c r="C73" s="8" t="b">
        <f>IF(B73="","",COUNTIF(B$1:B72,B73)=0)</f>
        <v>0</v>
      </c>
      <c r="D73" s="8" t="str">
        <f>IF(B73="","",IF(C73,COUNTIF(C$2:C73,TRUE),""))</f>
        <v/>
      </c>
      <c r="E73" s="8" t="str">
        <f t="shared" si="20"/>
        <v/>
      </c>
      <c r="F73" s="8" t="str">
        <f t="shared" si="23"/>
        <v/>
      </c>
      <c r="G73" s="8" t="str">
        <f>IF(ISBLANK(E73),"",IF(COUNTIF(AK:AK,"="&amp;E73)&gt;0,"",MAX(G$1:G72)+1))</f>
        <v/>
      </c>
      <c r="H73" s="8" t="str">
        <f t="shared" si="26"/>
        <v/>
      </c>
      <c r="S73" t="s">
        <v>259</v>
      </c>
      <c r="Z73" t="s">
        <v>246</v>
      </c>
      <c r="AC73" s="8" t="str">
        <f t="shared" si="25"/>
        <v/>
      </c>
      <c r="AE73" s="8" t="str">
        <f t="shared" si="24"/>
        <v/>
      </c>
      <c r="AF73" s="8" t="str">
        <f>IF(AE73="","",AE73+COUNTIF(AE$2:AE73,AE73)-1)</f>
        <v/>
      </c>
      <c r="AK73" s="30" t="s">
        <v>1470</v>
      </c>
      <c r="AL73" s="14">
        <f>IF(セルの固定色(AK73)=セルの固定色(AK$6),1,"")</f>
        <v>1</v>
      </c>
      <c r="AM73" s="14">
        <f>IF(OR(ISBLANK(AL73),AL73=""),"",COUNTIF(AL$6:AL73,"&gt;0"))</f>
        <v>9</v>
      </c>
      <c r="AP73" s="14" t="str">
        <f>IF(ISBLANK(AK73),"",LOOKUP(1,0/(AM$6:AM73=MAX(AM$6:AM73)),AK$6:AK73))</f>
        <v>ＩＰＣ</v>
      </c>
    </row>
    <row r="74" spans="2:42">
      <c r="B74" t="s">
        <v>596</v>
      </c>
      <c r="C74" s="8" t="b">
        <f>IF(B74="","",COUNTIF(B$1:B73,B74)=0)</f>
        <v>1</v>
      </c>
      <c r="D74" s="8">
        <f>IF(B74="","",IF(C74,COUNTIF(C$2:C74,TRUE),""))</f>
        <v>13</v>
      </c>
      <c r="E74" s="8" t="str">
        <f t="shared" si="20"/>
        <v/>
      </c>
      <c r="F74" s="8" t="str">
        <f t="shared" si="23"/>
        <v/>
      </c>
      <c r="G74" s="8" t="str">
        <f>IF(ISBLANK(E74),"",IF(COUNTIF(AK:AK,"="&amp;E74)&gt;0,"",MAX(G$1:G73)+1))</f>
        <v/>
      </c>
      <c r="H74" s="8" t="str">
        <f t="shared" si="26"/>
        <v/>
      </c>
      <c r="S74" t="s">
        <v>54</v>
      </c>
      <c r="Z74" t="s">
        <v>37</v>
      </c>
      <c r="AC74" s="8" t="str">
        <f t="shared" si="25"/>
        <v/>
      </c>
      <c r="AE74" s="8" t="str">
        <f t="shared" si="24"/>
        <v/>
      </c>
      <c r="AF74" s="8" t="str">
        <f>IF(AE74="","",AE74+COUNTIF(AE$2:AE74,AE74)-1)</f>
        <v/>
      </c>
      <c r="AK74" s="18" t="s">
        <v>1134</v>
      </c>
      <c r="AL74" s="14" t="str">
        <f>IF(セルの固定色(AK74)=セルの固定色(AK$6),1,"")</f>
        <v/>
      </c>
      <c r="AM74" s="14" t="str">
        <f>IF(OR(ISBLANK(AL74),AL74=""),"",COUNTIF(AL$6:AL74,"&gt;0"))</f>
        <v/>
      </c>
      <c r="AP74" s="14" t="str">
        <f>IF(ISBLANK(AK74),"",LOOKUP(1,0/(AM$6:AM74=MAX(AM$6:AM74)),AK$6:AK74))</f>
        <v>ＩＰＣ</v>
      </c>
    </row>
    <row r="75" spans="2:42">
      <c r="B75" t="s">
        <v>47</v>
      </c>
      <c r="C75" s="8" t="b">
        <f>IF(B75="","",COUNTIF(B$1:B74,B75)=0)</f>
        <v>0</v>
      </c>
      <c r="D75" s="8" t="str">
        <f>IF(B75="","",IF(C75,COUNTIF(C$2:C75,TRUE),""))</f>
        <v/>
      </c>
      <c r="E75" s="8" t="str">
        <f t="shared" si="20"/>
        <v/>
      </c>
      <c r="F75" s="8" t="str">
        <f t="shared" si="23"/>
        <v/>
      </c>
      <c r="G75" s="8" t="str">
        <f>IF(ISBLANK(E75),"",IF(COUNTIF(AK:AK,"="&amp;E75)&gt;0,"",MAX(G$1:G74)+1))</f>
        <v/>
      </c>
      <c r="H75" s="8" t="str">
        <f t="shared" si="26"/>
        <v/>
      </c>
      <c r="S75" t="s">
        <v>54</v>
      </c>
      <c r="Z75" t="s">
        <v>44</v>
      </c>
      <c r="AC75" s="8" t="str">
        <f t="shared" si="25"/>
        <v/>
      </c>
      <c r="AE75" s="8" t="str">
        <f t="shared" si="24"/>
        <v/>
      </c>
      <c r="AF75" s="8" t="str">
        <f>IF(AE75="","",AE75+COUNTIF(AE$2:AE75,AE75)-1)</f>
        <v/>
      </c>
      <c r="AK75" s="18" t="s">
        <v>1135</v>
      </c>
      <c r="AL75" s="14" t="str">
        <f>IF(セルの固定色(AK75)=セルの固定色(AK$6),1,"")</f>
        <v/>
      </c>
      <c r="AM75" s="14" t="str">
        <f>IF(OR(ISBLANK(AL75),AL75=""),"",COUNTIF(AL$6:AL75,"&gt;0"))</f>
        <v/>
      </c>
      <c r="AP75" s="14" t="str">
        <f>IF(ISBLANK(AK75),"",LOOKUP(1,0/(AM$6:AM75=MAX(AM$6:AM75)),AK$6:AK75))</f>
        <v>ＩＰＣ</v>
      </c>
    </row>
    <row r="76" spans="2:42">
      <c r="B76" t="s">
        <v>191</v>
      </c>
      <c r="C76" s="8" t="b">
        <f>IF(B76="","",COUNTIF(B$1:B75,B76)=0)</f>
        <v>0</v>
      </c>
      <c r="D76" s="8" t="str">
        <f>IF(B76="","",IF(C76,COUNTIF(C$2:C76,TRUE),""))</f>
        <v/>
      </c>
      <c r="E76" s="8" t="str">
        <f t="shared" si="20"/>
        <v/>
      </c>
      <c r="F76" s="8" t="str">
        <f t="shared" si="23"/>
        <v/>
      </c>
      <c r="G76" s="8" t="str">
        <f>IF(ISBLANK(E76),"",IF(COUNTIF(AK:AK,"="&amp;E76)&gt;0,"",MAX(G$1:G75)+1))</f>
        <v/>
      </c>
      <c r="H76" s="8" t="str">
        <f t="shared" si="26"/>
        <v/>
      </c>
      <c r="S76" t="s">
        <v>27</v>
      </c>
      <c r="Z76" t="s">
        <v>222</v>
      </c>
      <c r="AC76" s="8" t="str">
        <f t="shared" si="25"/>
        <v/>
      </c>
      <c r="AE76" s="8" t="str">
        <f t="shared" si="24"/>
        <v/>
      </c>
      <c r="AF76" s="8" t="str">
        <f>IF(AE76="","",AE76+COUNTIF(AE$2:AE76,AE76)-1)</f>
        <v/>
      </c>
      <c r="AK76" s="18" t="s">
        <v>1136</v>
      </c>
      <c r="AL76" s="14" t="str">
        <f>IF(セルの固定色(AK76)=セルの固定色(AK$6),1,"")</f>
        <v/>
      </c>
      <c r="AM76" s="14" t="str">
        <f>IF(OR(ISBLANK(AL76),AL76=""),"",COUNTIF(AL$6:AL76,"&gt;0"))</f>
        <v/>
      </c>
      <c r="AP76" s="14" t="str">
        <f>IF(ISBLANK(AK76),"",LOOKUP(1,0/(AM$6:AM76=MAX(AM$6:AM76)),AK$6:AK76))</f>
        <v>ＩＰＣ</v>
      </c>
    </row>
    <row r="77" spans="2:42" ht="19.5" thickBot="1">
      <c r="B77" t="s">
        <v>191</v>
      </c>
      <c r="C77" s="8" t="b">
        <f>IF(B77="","",COUNTIF(B$1:B76,B77)=0)</f>
        <v>0</v>
      </c>
      <c r="D77" s="8" t="str">
        <f>IF(B77="","",IF(C77,COUNTIF(C$2:C77,TRUE),""))</f>
        <v/>
      </c>
      <c r="E77" s="8" t="str">
        <f t="shared" si="20"/>
        <v/>
      </c>
      <c r="F77" s="8" t="str">
        <f t="shared" si="23"/>
        <v/>
      </c>
      <c r="G77" s="8" t="str">
        <f>IF(ISBLANK(E77),"",IF(COUNTIF(AK:AK,"="&amp;E77)&gt;0,"",MAX(G$1:G76)+1))</f>
        <v/>
      </c>
      <c r="H77" s="8" t="str">
        <f t="shared" si="26"/>
        <v/>
      </c>
      <c r="S77" t="s">
        <v>494</v>
      </c>
      <c r="Z77" t="s">
        <v>44</v>
      </c>
      <c r="AC77" s="8" t="str">
        <f t="shared" si="25"/>
        <v/>
      </c>
      <c r="AE77" s="8" t="str">
        <f t="shared" si="24"/>
        <v/>
      </c>
      <c r="AF77" s="8" t="str">
        <f>IF(AE77="","",AE77+COUNTIF(AE$2:AE77,AE77)-1)</f>
        <v/>
      </c>
      <c r="AK77" s="22" t="s">
        <v>1137</v>
      </c>
      <c r="AL77" s="14" t="str">
        <f>IF(セルの固定色(AK77)=セルの固定色(AK$6),1,"")</f>
        <v/>
      </c>
      <c r="AM77" s="14" t="str">
        <f>IF(OR(ISBLANK(AL77),AL77=""),"",COUNTIF(AL$6:AL77,"&gt;0"))</f>
        <v/>
      </c>
      <c r="AP77" s="14" t="str">
        <f>IF(ISBLANK(AK77),"",LOOKUP(1,0/(AM$6:AM77=MAX(AM$6:AM77)),AK$6:AK77))</f>
        <v>ＩＰＣ</v>
      </c>
    </row>
    <row r="78" spans="2:42">
      <c r="B78" t="s">
        <v>408</v>
      </c>
      <c r="C78" s="8" t="b">
        <f>IF(B78="","",COUNTIF(B$1:B77,B78)=0)</f>
        <v>1</v>
      </c>
      <c r="D78" s="8">
        <f>IF(B78="","",IF(C78,COUNTIF(C$2:C78,TRUE),""))</f>
        <v>14</v>
      </c>
      <c r="E78" s="8" t="str">
        <f t="shared" si="20"/>
        <v/>
      </c>
      <c r="F78" s="8" t="str">
        <f t="shared" si="23"/>
        <v/>
      </c>
      <c r="G78" s="8" t="str">
        <f>IF(ISBLANK(E78),"",IF(COUNTIF(AK:AK,"="&amp;E78)&gt;0,"",MAX(G$1:G77)+1))</f>
        <v/>
      </c>
      <c r="H78" s="8" t="str">
        <f t="shared" si="26"/>
        <v/>
      </c>
      <c r="S78" t="s">
        <v>494</v>
      </c>
      <c r="Z78" t="s">
        <v>222</v>
      </c>
      <c r="AC78" s="8" t="str">
        <f t="shared" si="25"/>
        <v/>
      </c>
      <c r="AE78" s="8" t="str">
        <f t="shared" si="24"/>
        <v/>
      </c>
      <c r="AF78" s="8" t="str">
        <f>IF(AE78="","",AE78+COUNTIF(AE$2:AE78,AE78)-1)</f>
        <v/>
      </c>
      <c r="AK78" s="31" t="s">
        <v>1471</v>
      </c>
      <c r="AL78" s="14">
        <f>IF(セルの固定色(AK78)=セルの固定色(AK$6),1,"")</f>
        <v>1</v>
      </c>
      <c r="AM78" s="14">
        <f>IF(OR(ISBLANK(AL78),AL78=""),"",COUNTIF(AL$6:AL78,"&gt;0"))</f>
        <v>10</v>
      </c>
      <c r="AP78" s="14" t="str">
        <f>IF(ISBLANK(AK78),"",LOOKUP(1,0/(AM$6:AM78=MAX(AM$6:AM78)),AK$6:AK78))</f>
        <v>ＮＰＣ</v>
      </c>
    </row>
    <row r="79" spans="2:42">
      <c r="B79" t="s">
        <v>47</v>
      </c>
      <c r="C79" s="8" t="b">
        <f>IF(B79="","",COUNTIF(B$1:B78,B79)=0)</f>
        <v>0</v>
      </c>
      <c r="D79" s="8" t="str">
        <f>IF(B79="","",IF(C79,COUNTIF(C$2:C79,TRUE),""))</f>
        <v/>
      </c>
      <c r="E79" s="8" t="str">
        <f t="shared" si="20"/>
        <v/>
      </c>
      <c r="F79" s="8" t="str">
        <f t="shared" si="23"/>
        <v/>
      </c>
      <c r="G79" s="8" t="str">
        <f>IF(ISBLANK(E79),"",IF(COUNTIF(AK:AK,"="&amp;E79)&gt;0,"",MAX(G$1:G78)+1))</f>
        <v/>
      </c>
      <c r="H79" s="8" t="str">
        <f t="shared" si="26"/>
        <v/>
      </c>
      <c r="S79" t="s">
        <v>27</v>
      </c>
      <c r="Z79" t="s">
        <v>68</v>
      </c>
      <c r="AC79" s="8" t="str">
        <f t="shared" si="25"/>
        <v/>
      </c>
      <c r="AE79" s="8" t="str">
        <f t="shared" si="24"/>
        <v/>
      </c>
      <c r="AF79" s="8" t="str">
        <f>IF(AE79="","",AE79+COUNTIF(AE$2:AE79,AE79)-1)</f>
        <v/>
      </c>
      <c r="AK79" s="25" t="s">
        <v>1138</v>
      </c>
      <c r="AL79" s="14" t="str">
        <f>IF(セルの固定色(AK79)=セルの固定色(AK$6),1,"")</f>
        <v/>
      </c>
      <c r="AM79" s="14" t="str">
        <f>IF(OR(ISBLANK(AL79),AL79=""),"",COUNTIF(AL$6:AL79,"&gt;0"))</f>
        <v/>
      </c>
      <c r="AP79" s="14" t="str">
        <f>IF(ISBLANK(AK79),"",LOOKUP(1,0/(AM$6:AM79=MAX(AM$6:AM79)),AK$6:AK79))</f>
        <v>ＮＰＣ</v>
      </c>
    </row>
    <row r="80" spans="2:42" ht="19.5" thickBot="1">
      <c r="B80" t="s">
        <v>47</v>
      </c>
      <c r="C80" s="8" t="b">
        <f>IF(B80="","",COUNTIF(B$1:B79,B80)=0)</f>
        <v>0</v>
      </c>
      <c r="D80" s="8" t="str">
        <f>IF(B80="","",IF(C80,COUNTIF(C$2:C80,TRUE),""))</f>
        <v/>
      </c>
      <c r="E80" s="8" t="str">
        <f t="shared" si="20"/>
        <v/>
      </c>
      <c r="F80" s="8" t="str">
        <f t="shared" si="23"/>
        <v/>
      </c>
      <c r="G80" s="8" t="str">
        <f>IF(ISBLANK(E80),"",IF(COUNTIF(AK:AK,"="&amp;E80)&gt;0,"",MAX(G$1:G79)+1))</f>
        <v/>
      </c>
      <c r="H80" s="8" t="str">
        <f t="shared" si="26"/>
        <v/>
      </c>
      <c r="S80" t="s">
        <v>27</v>
      </c>
      <c r="Z80" t="s">
        <v>83</v>
      </c>
      <c r="AC80" s="8" t="str">
        <f t="shared" si="25"/>
        <v/>
      </c>
      <c r="AE80" s="8" t="str">
        <f t="shared" si="24"/>
        <v/>
      </c>
      <c r="AF80" s="8" t="str">
        <f>IF(AE80="","",AE80+COUNTIF(AE$2:AE80,AE80)-1)</f>
        <v/>
      </c>
      <c r="AK80" s="32" t="s">
        <v>1139</v>
      </c>
      <c r="AL80" s="14" t="str">
        <f>IF(セルの固定色(AK80)=セルの固定色(AK$6),1,"")</f>
        <v/>
      </c>
      <c r="AM80" s="14" t="str">
        <f>IF(OR(ISBLANK(AL80),AL80=""),"",COUNTIF(AL$6:AL80,"&gt;0"))</f>
        <v/>
      </c>
      <c r="AP80" s="14" t="str">
        <f>IF(ISBLANK(AK80),"",LOOKUP(1,0/(AM$6:AM80=MAX(AM$6:AM80)),AK$6:AK80))</f>
        <v>ＮＰＣ</v>
      </c>
    </row>
    <row r="81" spans="2:42">
      <c r="B81" t="s">
        <v>47</v>
      </c>
      <c r="C81" s="8" t="b">
        <f>IF(B81="","",COUNTIF(B$1:B80,B81)=0)</f>
        <v>0</v>
      </c>
      <c r="D81" s="8" t="str">
        <f>IF(B81="","",IF(C81,COUNTIF(C$2:C81,TRUE),""))</f>
        <v/>
      </c>
      <c r="E81" s="8" t="str">
        <f t="shared" si="20"/>
        <v/>
      </c>
      <c r="F81" s="8" t="str">
        <f t="shared" si="23"/>
        <v/>
      </c>
      <c r="G81" s="8" t="str">
        <f>IF(ISBLANK(E81),"",IF(COUNTIF(AK:AK,"="&amp;E81)&gt;0,"",MAX(G$1:G80)+1))</f>
        <v/>
      </c>
      <c r="H81" s="8" t="str">
        <f t="shared" si="26"/>
        <v/>
      </c>
      <c r="S81" t="s">
        <v>54</v>
      </c>
      <c r="Z81" t="s">
        <v>68</v>
      </c>
      <c r="AC81" s="8" t="str">
        <f t="shared" si="25"/>
        <v/>
      </c>
      <c r="AE81" s="8" t="str">
        <f t="shared" si="24"/>
        <v/>
      </c>
      <c r="AF81" s="8" t="str">
        <f>IF(AE81="","",AE81+COUNTIF(AE$2:AE81,AE81)-1)</f>
        <v/>
      </c>
      <c r="AK81" s="23" t="s">
        <v>1472</v>
      </c>
      <c r="AL81" s="14">
        <f>IF(セルの固定色(AK81)=セルの固定色(AK$6),1,"")</f>
        <v>1</v>
      </c>
      <c r="AM81" s="14">
        <f>IF(OR(ISBLANK(AL81),AL81=""),"",COUNTIF(AL$6:AL81,"&gt;0"))</f>
        <v>11</v>
      </c>
      <c r="AP81" s="14" t="str">
        <f>IF(ISBLANK(AK81),"",LOOKUP(1,0/(AM$6:AM81=MAX(AM$6:AM81)),AK$6:AK81))</f>
        <v>ＲＤＣ</v>
      </c>
    </row>
    <row r="82" spans="2:42">
      <c r="B82" t="s">
        <v>47</v>
      </c>
      <c r="C82" s="8" t="b">
        <f>IF(B82="","",COUNTIF(B$1:B81,B82)=0)</f>
        <v>0</v>
      </c>
      <c r="D82" s="8" t="str">
        <f>IF(B82="","",IF(C82,COUNTIF(C$2:C82,TRUE),""))</f>
        <v/>
      </c>
      <c r="E82" s="8" t="str">
        <f t="shared" si="20"/>
        <v/>
      </c>
      <c r="F82" s="8" t="str">
        <f t="shared" si="23"/>
        <v/>
      </c>
      <c r="G82" s="8" t="str">
        <f>IF(ISBLANK(E82),"",IF(COUNTIF(AK:AK,"="&amp;E82)&gt;0,"",MAX(G$1:G81)+1))</f>
        <v/>
      </c>
      <c r="H82" s="8" t="str">
        <f t="shared" si="26"/>
        <v/>
      </c>
      <c r="S82" t="s">
        <v>54</v>
      </c>
      <c r="Z82" t="s">
        <v>68</v>
      </c>
      <c r="AC82" s="8" t="str">
        <f t="shared" si="25"/>
        <v/>
      </c>
      <c r="AE82" s="8" t="str">
        <f t="shared" si="24"/>
        <v/>
      </c>
      <c r="AF82" s="8" t="str">
        <f>IF(AE82="","",AE82+COUNTIF(AE$2:AE82,AE82)-1)</f>
        <v/>
      </c>
      <c r="AK82" s="18" t="s">
        <v>1140</v>
      </c>
      <c r="AL82" s="14" t="str">
        <f>IF(セルの固定色(AK82)=セルの固定色(AK$6),1,"")</f>
        <v/>
      </c>
      <c r="AM82" s="14" t="str">
        <f>IF(OR(ISBLANK(AL82),AL82=""),"",COUNTIF(AL$6:AL82,"&gt;0"))</f>
        <v/>
      </c>
      <c r="AP82" s="14" t="str">
        <f>IF(ISBLANK(AK82),"",LOOKUP(1,0/(AM$6:AM82=MAX(AM$6:AM82)),AK$6:AK82))</f>
        <v>ＲＤＣ</v>
      </c>
    </row>
    <row r="83" spans="2:42">
      <c r="B83" t="s">
        <v>32</v>
      </c>
      <c r="C83" s="8" t="b">
        <f>IF(B83="","",COUNTIF(B$1:B82,B83)=0)</f>
        <v>0</v>
      </c>
      <c r="D83" s="8" t="str">
        <f>IF(B83="","",IF(C83,COUNTIF(C$2:C83,TRUE),""))</f>
        <v/>
      </c>
      <c r="E83" s="8" t="str">
        <f t="shared" si="20"/>
        <v/>
      </c>
      <c r="F83" s="8" t="str">
        <f t="shared" si="23"/>
        <v/>
      </c>
      <c r="G83" s="8" t="str">
        <f>IF(ISBLANK(E83),"",IF(COUNTIF(AK:AK,"="&amp;E83)&gt;0,"",MAX(G$1:G82)+1))</f>
        <v/>
      </c>
      <c r="H83" s="8" t="str">
        <f t="shared" si="26"/>
        <v/>
      </c>
      <c r="S83" t="s">
        <v>27</v>
      </c>
      <c r="Z83" t="s">
        <v>985</v>
      </c>
      <c r="AC83" s="8" t="str">
        <f t="shared" si="25"/>
        <v/>
      </c>
      <c r="AE83" s="8" t="str">
        <f t="shared" si="24"/>
        <v/>
      </c>
      <c r="AF83" s="8" t="str">
        <f>IF(AE83="","",AE83+COUNTIF(AE$2:AE83,AE83)-1)</f>
        <v/>
      </c>
      <c r="AK83" s="22" t="s">
        <v>1141</v>
      </c>
      <c r="AL83" s="14" t="str">
        <f>IF(セルの固定色(AK83)=セルの固定色(AK$6),1,"")</f>
        <v/>
      </c>
      <c r="AM83" s="14" t="str">
        <f>IF(OR(ISBLANK(AL83),AL83=""),"",COUNTIF(AL$6:AL83,"&gt;0"))</f>
        <v/>
      </c>
      <c r="AP83" s="14" t="str">
        <f>IF(ISBLANK(AK83),"",LOOKUP(1,0/(AM$6:AM83=MAX(AM$6:AM83)),AK$6:AK83))</f>
        <v>ＲＤＣ</v>
      </c>
    </row>
    <row r="84" spans="2:42">
      <c r="B84" t="s">
        <v>47</v>
      </c>
      <c r="C84" s="8" t="b">
        <f>IF(B84="","",COUNTIF(B$1:B83,B84)=0)</f>
        <v>0</v>
      </c>
      <c r="D84" s="8" t="str">
        <f>IF(B84="","",IF(C84,COUNTIF(C$2:C84,TRUE),""))</f>
        <v/>
      </c>
      <c r="E84" s="8" t="str">
        <f t="shared" ref="E84:E101" si="27">IFERROR(LOOKUP(1,0/(D:D=ROW()-ROW(E$1)),B:B),"")</f>
        <v/>
      </c>
      <c r="F84" s="8" t="str">
        <f t="shared" si="23"/>
        <v/>
      </c>
      <c r="G84" s="8" t="str">
        <f>IF(ISBLANK(E84),"",IF(COUNTIF(AK:AK,"="&amp;E84)&gt;0,"",MAX(G$1:G83)+1))</f>
        <v/>
      </c>
      <c r="H84" s="8" t="str">
        <f t="shared" si="26"/>
        <v/>
      </c>
      <c r="S84" t="s">
        <v>54</v>
      </c>
      <c r="Z84" t="s">
        <v>68</v>
      </c>
      <c r="AC84" s="8" t="str">
        <f t="shared" si="25"/>
        <v/>
      </c>
      <c r="AE84" s="8" t="str">
        <f t="shared" si="24"/>
        <v/>
      </c>
      <c r="AF84" s="8" t="str">
        <f>IF(AE84="","",AE84+COUNTIF(AE$2:AE84,AE84)-1)</f>
        <v/>
      </c>
      <c r="AK84" s="22" t="s">
        <v>1142</v>
      </c>
      <c r="AL84" s="14" t="str">
        <f>IF(セルの固定色(AK84)=セルの固定色(AK$6),1,"")</f>
        <v/>
      </c>
      <c r="AM84" s="14" t="str">
        <f>IF(OR(ISBLANK(AL84),AL84=""),"",COUNTIF(AL$6:AL84,"&gt;0"))</f>
        <v/>
      </c>
      <c r="AP84" s="14" t="str">
        <f>IF(ISBLANK(AK84),"",LOOKUP(1,0/(AM$6:AM84=MAX(AM$6:AM84)),AK$6:AK84))</f>
        <v>ＲＤＣ</v>
      </c>
    </row>
    <row r="85" spans="2:42">
      <c r="B85" t="s">
        <v>47</v>
      </c>
      <c r="C85" s="8" t="b">
        <f>IF(B85="","",COUNTIF(B$1:B84,B85)=0)</f>
        <v>0</v>
      </c>
      <c r="D85" s="8" t="str">
        <f>IF(B85="","",IF(C85,COUNTIF(C$2:C85,TRUE),""))</f>
        <v/>
      </c>
      <c r="E85" s="8" t="str">
        <f t="shared" si="27"/>
        <v/>
      </c>
      <c r="F85" s="8" t="str">
        <f t="shared" si="23"/>
        <v/>
      </c>
      <c r="G85" s="8" t="str">
        <f>IF(ISBLANK(E85),"",IF(COUNTIF(AK:AK,"="&amp;E85)&gt;0,"",MAX(G$1:G84)+1))</f>
        <v/>
      </c>
      <c r="H85" s="8" t="str">
        <f t="shared" si="26"/>
        <v/>
      </c>
      <c r="S85" t="s">
        <v>27</v>
      </c>
      <c r="Z85" t="s">
        <v>68</v>
      </c>
      <c r="AC85" s="8" t="str">
        <f t="shared" si="25"/>
        <v/>
      </c>
      <c r="AE85" s="8" t="str">
        <f t="shared" si="24"/>
        <v/>
      </c>
      <c r="AF85" s="8" t="str">
        <f>IF(AE85="","",AE85+COUNTIF(AE$2:AE85,AE85)-1)</f>
        <v/>
      </c>
      <c r="AK85" s="22" t="s">
        <v>1143</v>
      </c>
      <c r="AL85" s="14" t="str">
        <f>IF(セルの固定色(AK85)=セルの固定色(AK$6),1,"")</f>
        <v/>
      </c>
      <c r="AM85" s="14" t="str">
        <f>IF(OR(ISBLANK(AL85),AL85=""),"",COUNTIF(AL$6:AL85,"&gt;0"))</f>
        <v/>
      </c>
      <c r="AP85" s="14" t="str">
        <f>IF(ISBLANK(AK85),"",LOOKUP(1,0/(AM$6:AM85=MAX(AM$6:AM85)),AK$6:AK85))</f>
        <v>ＲＤＣ</v>
      </c>
    </row>
    <row r="86" spans="2:42" ht="19.5" thickBot="1">
      <c r="B86" t="s">
        <v>47</v>
      </c>
      <c r="C86" s="8" t="b">
        <f>IF(B86="","",COUNTIF(B$1:B85,B86)=0)</f>
        <v>0</v>
      </c>
      <c r="D86" s="8" t="str">
        <f>IF(B86="","",IF(C86,COUNTIF(C$2:C86,TRUE),""))</f>
        <v/>
      </c>
      <c r="E86" s="8" t="str">
        <f t="shared" si="27"/>
        <v/>
      </c>
      <c r="F86" s="8" t="str">
        <f t="shared" si="23"/>
        <v/>
      </c>
      <c r="G86" s="8" t="str">
        <f>IF(ISBLANK(E86),"",IF(COUNTIF(AK:AK,"="&amp;E86)&gt;0,"",MAX(G$1:G85)+1))</f>
        <v/>
      </c>
      <c r="H86" s="8" t="str">
        <f t="shared" si="26"/>
        <v/>
      </c>
      <c r="S86" t="s">
        <v>27</v>
      </c>
      <c r="Z86" t="s">
        <v>477</v>
      </c>
      <c r="AC86" s="8" t="str">
        <f t="shared" si="25"/>
        <v/>
      </c>
      <c r="AE86" s="8" t="str">
        <f t="shared" si="24"/>
        <v/>
      </c>
      <c r="AF86" s="8" t="str">
        <f>IF(AE86="","",AE86+COUNTIF(AE$2:AE86,AE86)-1)</f>
        <v/>
      </c>
      <c r="AK86" s="29" t="s">
        <v>1144</v>
      </c>
      <c r="AL86" s="14" t="str">
        <f>IF(セルの固定色(AK86)=セルの固定色(AK$6),1,"")</f>
        <v/>
      </c>
      <c r="AM86" s="14" t="str">
        <f>IF(OR(ISBLANK(AL86),AL86=""),"",COUNTIF(AL$6:AL86,"&gt;0"))</f>
        <v/>
      </c>
      <c r="AP86" s="14" t="str">
        <f>IF(ISBLANK(AK86),"",LOOKUP(1,0/(AM$6:AM86=MAX(AM$6:AM86)),AK$6:AK86))</f>
        <v>ＲＤＣ</v>
      </c>
    </row>
    <row r="87" spans="2:42" ht="19.5" thickBot="1">
      <c r="B87" t="s">
        <v>408</v>
      </c>
      <c r="C87" s="8" t="b">
        <f>IF(B87="","",COUNTIF(B$1:B86,B87)=0)</f>
        <v>0</v>
      </c>
      <c r="D87" s="8" t="str">
        <f>IF(B87="","",IF(C87,COUNTIF(C$2:C87,TRUE),""))</f>
        <v/>
      </c>
      <c r="E87" s="8" t="str">
        <f t="shared" si="27"/>
        <v/>
      </c>
      <c r="F87" s="8" t="str">
        <f t="shared" si="23"/>
        <v/>
      </c>
      <c r="G87" s="8" t="str">
        <f>IF(ISBLANK(E87),"",IF(COUNTIF(AK:AK,"="&amp;E87)&gt;0,"",MAX(G$1:G86)+1))</f>
        <v/>
      </c>
      <c r="H87" s="8" t="str">
        <f t="shared" si="26"/>
        <v/>
      </c>
      <c r="S87" t="s">
        <v>73</v>
      </c>
      <c r="Z87" t="s">
        <v>222</v>
      </c>
      <c r="AC87" s="8" t="str">
        <f t="shared" si="25"/>
        <v/>
      </c>
      <c r="AE87" s="8" t="str">
        <f t="shared" si="24"/>
        <v/>
      </c>
      <c r="AF87" s="8" t="str">
        <f>IF(AE87="","",AE87+COUNTIF(AE$2:AE87,AE87)-1)</f>
        <v/>
      </c>
      <c r="AK87" s="33" t="s">
        <v>1473</v>
      </c>
      <c r="AL87" s="14">
        <f>IF(セルの固定色(AK87)=セルの固定色(AK$6),1,"")</f>
        <v>1</v>
      </c>
      <c r="AM87" s="14">
        <f>IF(OR(ISBLANK(AL87),AL87=""),"",COUNTIF(AL$6:AL87,"&gt;0"))</f>
        <v>12</v>
      </c>
      <c r="AP87" s="14" t="str">
        <f>IF(ISBLANK(AK87),"",LOOKUP(1,0/(AM$6:AM87=MAX(AM$6:AM87)),AK$6:AK87))</f>
        <v>２０推</v>
      </c>
    </row>
    <row r="88" spans="2:42">
      <c r="B88" t="s">
        <v>128</v>
      </c>
      <c r="C88" s="8" t="b">
        <f>IF(B88="","",COUNTIF(B$1:B87,B88)=0)</f>
        <v>0</v>
      </c>
      <c r="D88" s="8" t="str">
        <f>IF(B88="","",IF(C88,COUNTIF(C$2:C88,TRUE),""))</f>
        <v/>
      </c>
      <c r="E88" s="8" t="str">
        <f t="shared" si="27"/>
        <v/>
      </c>
      <c r="F88" s="8" t="str">
        <f t="shared" si="23"/>
        <v/>
      </c>
      <c r="G88" s="8" t="str">
        <f>IF(ISBLANK(E88),"",IF(COUNTIF(AK:AK,"="&amp;E88)&gt;0,"",MAX(G$1:G87)+1))</f>
        <v/>
      </c>
      <c r="H88" s="8" t="str">
        <f t="shared" si="26"/>
        <v/>
      </c>
      <c r="S88" t="s">
        <v>27</v>
      </c>
      <c r="Z88" t="s">
        <v>999</v>
      </c>
      <c r="AC88" s="8" t="str">
        <f t="shared" si="25"/>
        <v/>
      </c>
      <c r="AE88" s="8" t="str">
        <f t="shared" si="24"/>
        <v/>
      </c>
      <c r="AF88" s="8" t="str">
        <f>IF(AE88="","",AE88+COUNTIF(AE$2:AE88,AE88)-1)</f>
        <v/>
      </c>
      <c r="AK88" s="31" t="s">
        <v>1474</v>
      </c>
      <c r="AL88" s="14">
        <f>IF(セルの固定色(AK88)=セルの固定色(AK$6),1,"")</f>
        <v>1</v>
      </c>
      <c r="AM88" s="14">
        <f>IF(OR(ISBLANK(AL88),AL88=""),"",COUNTIF(AL$6:AL88,"&gt;0"))</f>
        <v>13</v>
      </c>
      <c r="AP88" s="14" t="str">
        <f>IF(ISBLANK(AK88),"",LOOKUP(1,0/(AM$6:AM88=MAX(AM$6:AM88)),AK$6:AK88))</f>
        <v>ＩＯ推</v>
      </c>
    </row>
    <row r="89" spans="2:42">
      <c r="B89" t="s">
        <v>47</v>
      </c>
      <c r="C89" s="8" t="b">
        <f>IF(B89="","",COUNTIF(B$1:B88,B89)=0)</f>
        <v>0</v>
      </c>
      <c r="D89" s="8" t="str">
        <f>IF(B89="","",IF(C89,COUNTIF(C$2:C89,TRUE),""))</f>
        <v/>
      </c>
      <c r="E89" s="8" t="str">
        <f t="shared" si="27"/>
        <v/>
      </c>
      <c r="F89" s="8" t="str">
        <f t="shared" si="23"/>
        <v/>
      </c>
      <c r="G89" s="8" t="str">
        <f>IF(ISBLANK(E89),"",IF(COUNTIF(AK:AK,"="&amp;E89)&gt;0,"",MAX(G$1:G88)+1))</f>
        <v/>
      </c>
      <c r="H89" s="8" t="str">
        <f t="shared" si="26"/>
        <v/>
      </c>
      <c r="S89" t="s">
        <v>54</v>
      </c>
      <c r="Z89" t="s">
        <v>44</v>
      </c>
      <c r="AC89" s="8" t="str">
        <f t="shared" si="25"/>
        <v/>
      </c>
      <c r="AE89" s="8" t="str">
        <f t="shared" si="24"/>
        <v/>
      </c>
      <c r="AF89" s="8" t="str">
        <f>IF(AE89="","",AE89+COUNTIF(AE$2:AE89,AE89)-1)</f>
        <v/>
      </c>
      <c r="AK89" s="25" t="s">
        <v>1145</v>
      </c>
      <c r="AL89" s="14" t="str">
        <f>IF(セルの固定色(AK89)=セルの固定色(AK$6),1,"")</f>
        <v/>
      </c>
      <c r="AM89" s="14" t="str">
        <f>IF(OR(ISBLANK(AL89),AL89=""),"",COUNTIF(AL$6:AL89,"&gt;0"))</f>
        <v/>
      </c>
      <c r="AP89" s="14" t="str">
        <f>IF(ISBLANK(AK89),"",LOOKUP(1,0/(AM$6:AM89=MAX(AM$6:AM89)),AK$6:AK89))</f>
        <v>ＩＯ推</v>
      </c>
    </row>
    <row r="90" spans="2:42">
      <c r="B90" t="s">
        <v>47</v>
      </c>
      <c r="C90" s="8" t="b">
        <f>IF(B90="","",COUNTIF(B$1:B89,B90)=0)</f>
        <v>0</v>
      </c>
      <c r="D90" s="8" t="str">
        <f>IF(B90="","",IF(C90,COUNTIF(C$2:C90,TRUE),""))</f>
        <v/>
      </c>
      <c r="E90" s="8" t="str">
        <f t="shared" si="27"/>
        <v/>
      </c>
      <c r="F90" s="8" t="str">
        <f t="shared" si="23"/>
        <v/>
      </c>
      <c r="G90" s="8" t="str">
        <f>IF(ISBLANK(E90),"",IF(COUNTIF(AK:AK,"="&amp;E90)&gt;0,"",MAX(G$1:G89)+1))</f>
        <v/>
      </c>
      <c r="H90" s="8" t="str">
        <f t="shared" si="26"/>
        <v/>
      </c>
      <c r="S90" t="s">
        <v>27</v>
      </c>
      <c r="Z90" t="s">
        <v>59</v>
      </c>
      <c r="AC90" s="8" t="str">
        <f t="shared" si="25"/>
        <v/>
      </c>
      <c r="AE90" s="8" t="str">
        <f t="shared" si="24"/>
        <v/>
      </c>
      <c r="AF90" s="8" t="str">
        <f>IF(AE90="","",AE90+COUNTIF(AE$2:AE90,AE90)-1)</f>
        <v/>
      </c>
      <c r="AK90" s="25" t="s">
        <v>1146</v>
      </c>
      <c r="AL90" s="14" t="str">
        <f>IF(セルの固定色(AK90)=セルの固定色(AK$6),1,"")</f>
        <v/>
      </c>
      <c r="AM90" s="14" t="str">
        <f>IF(OR(ISBLANK(AL90),AL90=""),"",COUNTIF(AL$6:AL90,"&gt;0"))</f>
        <v/>
      </c>
      <c r="AP90" s="14" t="str">
        <f>IF(ISBLANK(AK90),"",LOOKUP(1,0/(AM$6:AM90=MAX(AM$6:AM90)),AK$6:AK90))</f>
        <v>ＩＯ推</v>
      </c>
    </row>
    <row r="91" spans="2:42" ht="19.5" thickBot="1">
      <c r="B91" t="s">
        <v>47</v>
      </c>
      <c r="C91" s="8" t="b">
        <f>IF(B91="","",COUNTIF(B$1:B90,B91)=0)</f>
        <v>0</v>
      </c>
      <c r="D91" s="8" t="str">
        <f>IF(B91="","",IF(C91,COUNTIF(C$2:C91,TRUE),""))</f>
        <v/>
      </c>
      <c r="E91" s="8" t="str">
        <f t="shared" si="27"/>
        <v/>
      </c>
      <c r="F91" s="8" t="str">
        <f t="shared" si="23"/>
        <v/>
      </c>
      <c r="G91" s="8" t="str">
        <f>IF(ISBLANK(E91),"",IF(COUNTIF(AK:AK,"="&amp;E91)&gt;0,"",MAX(G$1:G90)+1))</f>
        <v/>
      </c>
      <c r="H91" s="8" t="str">
        <f t="shared" si="26"/>
        <v/>
      </c>
      <c r="S91" t="s">
        <v>27</v>
      </c>
      <c r="Z91" t="s">
        <v>222</v>
      </c>
      <c r="AC91" s="8" t="str">
        <f t="shared" si="25"/>
        <v/>
      </c>
      <c r="AE91" s="8" t="str">
        <f t="shared" si="24"/>
        <v/>
      </c>
      <c r="AF91" s="8" t="str">
        <f>IF(AE91="","",AE91+COUNTIF(AE$2:AE91,AE91)-1)</f>
        <v/>
      </c>
      <c r="AK91" s="25" t="s">
        <v>1147</v>
      </c>
      <c r="AL91" s="14" t="str">
        <f>IF(セルの固定色(AK91)=セルの固定色(AK$6),1,"")</f>
        <v/>
      </c>
      <c r="AM91" s="14" t="str">
        <f>IF(OR(ISBLANK(AL91),AL91=""),"",COUNTIF(AL$6:AL91,"&gt;0"))</f>
        <v/>
      </c>
      <c r="AP91" s="14" t="str">
        <f>IF(ISBLANK(AK91),"",LOOKUP(1,0/(AM$6:AM91=MAX(AM$6:AM91)),AK$6:AK91))</f>
        <v>ＩＯ推</v>
      </c>
    </row>
    <row r="92" spans="2:42">
      <c r="B92" t="s">
        <v>47</v>
      </c>
      <c r="C92" s="8" t="b">
        <f>IF(B92="","",COUNTIF(B$1:B91,B92)=0)</f>
        <v>0</v>
      </c>
      <c r="D92" s="8" t="str">
        <f>IF(B92="","",IF(C92,COUNTIF(C$2:C92,TRUE),""))</f>
        <v/>
      </c>
      <c r="E92" s="8" t="str">
        <f t="shared" si="27"/>
        <v/>
      </c>
      <c r="F92" s="8" t="str">
        <f t="shared" si="23"/>
        <v/>
      </c>
      <c r="G92" s="8" t="str">
        <f>IF(ISBLANK(E92),"",IF(COUNTIF(AK:AK,"="&amp;E92)&gt;0,"",MAX(G$1:G91)+1))</f>
        <v/>
      </c>
      <c r="H92" s="8" t="str">
        <f t="shared" si="26"/>
        <v/>
      </c>
      <c r="S92" t="s">
        <v>87</v>
      </c>
      <c r="Z92" t="s">
        <v>639</v>
      </c>
      <c r="AC92" s="8" t="str">
        <f t="shared" si="25"/>
        <v/>
      </c>
      <c r="AE92" s="8" t="str">
        <f t="shared" si="24"/>
        <v/>
      </c>
      <c r="AF92" s="8" t="str">
        <f>IF(AE92="","",AE92+COUNTIF(AE$2:AE92,AE92)-1)</f>
        <v/>
      </c>
      <c r="AK92" s="31" t="s">
        <v>1475</v>
      </c>
      <c r="AL92" s="14">
        <f>IF(セルの固定色(AK92)=セルの固定色(AK$6),1,"")</f>
        <v>1</v>
      </c>
      <c r="AM92" s="14">
        <f>IF(OR(ISBLANK(AL92),AL92=""),"",COUNTIF(AL$6:AL92,"&gt;0"))</f>
        <v>14</v>
      </c>
      <c r="AP92" s="14" t="str">
        <f>IF(ISBLANK(AK92),"",LOOKUP(1,0/(AM$6:AM92=MAX(AM$6:AM92)),AK$6:AK92))</f>
        <v>営推部</v>
      </c>
    </row>
    <row r="93" spans="2:42">
      <c r="B93" t="s">
        <v>32</v>
      </c>
      <c r="C93" s="8" t="b">
        <f>IF(B93="","",COUNTIF(B$1:B92,B93)=0)</f>
        <v>0</v>
      </c>
      <c r="D93" s="8" t="str">
        <f>IF(B93="","",IF(C93,COUNTIF(C$2:C93,TRUE),""))</f>
        <v/>
      </c>
      <c r="E93" s="8" t="str">
        <f t="shared" si="27"/>
        <v/>
      </c>
      <c r="F93" s="8" t="str">
        <f t="shared" si="23"/>
        <v/>
      </c>
      <c r="G93" s="8" t="str">
        <f>IF(ISBLANK(E93),"",IF(COUNTIF(AK:AK,"="&amp;E93)&gt;0,"",MAX(G$1:G92)+1))</f>
        <v/>
      </c>
      <c r="H93" s="8" t="str">
        <f t="shared" si="26"/>
        <v/>
      </c>
      <c r="S93" t="s">
        <v>27</v>
      </c>
      <c r="Z93" t="s">
        <v>68</v>
      </c>
      <c r="AC93" s="8" t="str">
        <f t="shared" si="25"/>
        <v/>
      </c>
      <c r="AE93" s="8" t="str">
        <f t="shared" si="24"/>
        <v/>
      </c>
      <c r="AF93" s="8" t="str">
        <f>IF(AE93="","",AE93+COUNTIF(AE$2:AE93,AE93)-1)</f>
        <v/>
      </c>
      <c r="AK93" s="18" t="s">
        <v>1148</v>
      </c>
      <c r="AL93" s="14" t="str">
        <f>IF(セルの固定色(AK93)=セルの固定色(AK$6),1,"")</f>
        <v/>
      </c>
      <c r="AM93" s="14" t="str">
        <f>IF(OR(ISBLANK(AL93),AL93=""),"",COUNTIF(AL$6:AL93,"&gt;0"))</f>
        <v/>
      </c>
      <c r="AP93" s="14" t="str">
        <f>IF(ISBLANK(AK93),"",LOOKUP(1,0/(AM$6:AM93=MAX(AM$6:AM93)),AK$6:AK93))</f>
        <v>営推部</v>
      </c>
    </row>
    <row r="94" spans="2:42">
      <c r="B94" t="s">
        <v>596</v>
      </c>
      <c r="C94" s="8" t="b">
        <f>IF(B94="","",COUNTIF(B$1:B93,B94)=0)</f>
        <v>0</v>
      </c>
      <c r="D94" s="8" t="str">
        <f>IF(B94="","",IF(C94,COUNTIF(C$2:C94,TRUE),""))</f>
        <v/>
      </c>
      <c r="E94" s="8" t="str">
        <f t="shared" si="27"/>
        <v/>
      </c>
      <c r="F94" s="8" t="str">
        <f t="shared" si="23"/>
        <v/>
      </c>
      <c r="G94" s="8" t="str">
        <f>IF(ISBLANK(E94),"",IF(COUNTIF(AK:AK,"="&amp;E94)&gt;0,"",MAX(G$1:G93)+1))</f>
        <v/>
      </c>
      <c r="H94" s="8" t="str">
        <f t="shared" si="26"/>
        <v/>
      </c>
      <c r="S94" t="s">
        <v>166</v>
      </c>
      <c r="Z94" t="s">
        <v>68</v>
      </c>
      <c r="AC94" s="8" t="str">
        <f t="shared" si="25"/>
        <v/>
      </c>
      <c r="AE94" s="8" t="str">
        <f t="shared" si="24"/>
        <v/>
      </c>
      <c r="AF94" s="8" t="str">
        <f>IF(AE94="","",AE94+COUNTIF(AE$2:AE94,AE94)-1)</f>
        <v/>
      </c>
      <c r="AK94" s="18" t="s">
        <v>1149</v>
      </c>
      <c r="AL94" s="14" t="str">
        <f>IF(セルの固定色(AK94)=セルの固定色(AK$6),1,"")</f>
        <v/>
      </c>
      <c r="AM94" s="14" t="str">
        <f>IF(OR(ISBLANK(AL94),AL94=""),"",COUNTIF(AL$6:AL94,"&gt;0"))</f>
        <v/>
      </c>
      <c r="AP94" s="14" t="str">
        <f>IF(ISBLANK(AK94),"",LOOKUP(1,0/(AM$6:AM94=MAX(AM$6:AM94)),AK$6:AK94))</f>
        <v>営推部</v>
      </c>
    </row>
    <row r="95" spans="2:42">
      <c r="B95" t="s">
        <v>32</v>
      </c>
      <c r="C95" s="8" t="b">
        <f>IF(B95="","",COUNTIF(B$1:B94,B95)=0)</f>
        <v>0</v>
      </c>
      <c r="D95" s="8" t="str">
        <f>IF(B95="","",IF(C95,COUNTIF(C$2:C95,TRUE),""))</f>
        <v/>
      </c>
      <c r="E95" s="8" t="str">
        <f t="shared" si="27"/>
        <v/>
      </c>
      <c r="F95" s="8" t="str">
        <f t="shared" si="23"/>
        <v/>
      </c>
      <c r="G95" s="8" t="str">
        <f>IF(ISBLANK(E95),"",IF(COUNTIF(AK:AK,"="&amp;E95)&gt;0,"",MAX(G$1:G94)+1))</f>
        <v/>
      </c>
      <c r="H95" s="8" t="str">
        <f t="shared" si="26"/>
        <v/>
      </c>
      <c r="S95" t="s">
        <v>27</v>
      </c>
      <c r="Z95" t="s">
        <v>83</v>
      </c>
      <c r="AC95" s="8" t="str">
        <f t="shared" si="25"/>
        <v/>
      </c>
      <c r="AE95" s="8" t="str">
        <f t="shared" si="24"/>
        <v/>
      </c>
      <c r="AF95" s="8" t="str">
        <f>IF(AE95="","",AE95+COUNTIF(AE$2:AE95,AE95)-1)</f>
        <v/>
      </c>
      <c r="AK95" s="18" t="s">
        <v>1150</v>
      </c>
      <c r="AL95" s="14" t="str">
        <f>IF(セルの固定色(AK95)=セルの固定色(AK$6),1,"")</f>
        <v/>
      </c>
      <c r="AM95" s="14" t="str">
        <f>IF(OR(ISBLANK(AL95),AL95=""),"",COUNTIF(AL$6:AL95,"&gt;0"))</f>
        <v/>
      </c>
      <c r="AP95" s="14" t="str">
        <f>IF(ISBLANK(AK95),"",LOOKUP(1,0/(AM$6:AM95=MAX(AM$6:AM95)),AK$6:AK95))</f>
        <v>営推部</v>
      </c>
    </row>
    <row r="96" spans="2:42" ht="19.5" thickBot="1">
      <c r="B96" t="s">
        <v>32</v>
      </c>
      <c r="C96" s="8" t="b">
        <f>IF(B96="","",COUNTIF(B$1:B95,B96)=0)</f>
        <v>0</v>
      </c>
      <c r="D96" s="8" t="str">
        <f>IF(B96="","",IF(C96,COUNTIF(C$2:C96,TRUE),""))</f>
        <v/>
      </c>
      <c r="E96" s="8" t="str">
        <f t="shared" si="27"/>
        <v/>
      </c>
      <c r="F96" s="8" t="str">
        <f t="shared" si="23"/>
        <v/>
      </c>
      <c r="G96" s="8" t="str">
        <f>IF(ISBLANK(E96),"",IF(COUNTIF(AK:AK,"="&amp;E96)&gt;0,"",MAX(G$1:G95)+1))</f>
        <v/>
      </c>
      <c r="H96" s="8" t="str">
        <f t="shared" si="26"/>
        <v/>
      </c>
      <c r="S96" t="s">
        <v>27</v>
      </c>
      <c r="Z96" t="s">
        <v>525</v>
      </c>
      <c r="AC96" s="8" t="str">
        <f t="shared" si="25"/>
        <v/>
      </c>
      <c r="AE96" s="8" t="str">
        <f t="shared" si="24"/>
        <v/>
      </c>
      <c r="AF96" s="8" t="str">
        <f>IF(AE96="","",AE96+COUNTIF(AE$2:AE96,AE96)-1)</f>
        <v/>
      </c>
      <c r="AK96" s="29" t="s">
        <v>1151</v>
      </c>
      <c r="AL96" s="14" t="str">
        <f>IF(セルの固定色(AK96)=セルの固定色(AK$6),1,"")</f>
        <v/>
      </c>
      <c r="AM96" s="14" t="str">
        <f>IF(OR(ISBLANK(AL96),AL96=""),"",COUNTIF(AL$6:AL96,"&gt;0"))</f>
        <v/>
      </c>
      <c r="AP96" s="14" t="str">
        <f>IF(ISBLANK(AK96),"",LOOKUP(1,0/(AM$6:AM96=MAX(AM$6:AM96)),AK$6:AK96))</f>
        <v>営推部</v>
      </c>
    </row>
    <row r="97" spans="2:42" ht="19.5" thickBot="1">
      <c r="B97" t="s">
        <v>32</v>
      </c>
      <c r="C97" s="8" t="b">
        <f>IF(B97="","",COUNTIF(B$1:B96,B97)=0)</f>
        <v>0</v>
      </c>
      <c r="D97" s="8" t="str">
        <f>IF(B97="","",IF(C97,COUNTIF(C$2:C97,TRUE),""))</f>
        <v/>
      </c>
      <c r="E97" s="8" t="str">
        <f t="shared" si="27"/>
        <v/>
      </c>
      <c r="F97" s="8" t="str">
        <f t="shared" si="23"/>
        <v/>
      </c>
      <c r="G97" s="8" t="str">
        <f>IF(ISBLANK(E97),"",IF(COUNTIF(AK:AK,"="&amp;E97)&gt;0,"",MAX(G$1:G96)+1))</f>
        <v/>
      </c>
      <c r="H97" s="8" t="str">
        <f t="shared" si="26"/>
        <v/>
      </c>
      <c r="S97" t="s">
        <v>54</v>
      </c>
      <c r="Z97" t="s">
        <v>44</v>
      </c>
      <c r="AC97" s="8" t="str">
        <f t="shared" si="25"/>
        <v/>
      </c>
      <c r="AE97" s="8" t="str">
        <f t="shared" si="24"/>
        <v/>
      </c>
      <c r="AF97" s="8" t="str">
        <f>IF(AE97="","",AE97+COUNTIF(AE$2:AE97,AE97)-1)</f>
        <v/>
      </c>
      <c r="AK97" s="34" t="s">
        <v>1476</v>
      </c>
      <c r="AL97" s="14">
        <f>IF(セルの固定色(AK97)=セルの固定色(AK$6),1,"")</f>
        <v>1</v>
      </c>
      <c r="AM97" s="14">
        <f>IF(OR(ISBLANK(AL97),AL97=""),"",COUNTIF(AL$6:AL97,"&gt;0"))</f>
        <v>15</v>
      </c>
      <c r="AP97" s="14" t="str">
        <f>IF(ISBLANK(AK97),"",LOOKUP(1,0/(AM$6:AM97=MAX(AM$6:AM97)),AK$6:AK97))</f>
        <v>情セ部</v>
      </c>
    </row>
    <row r="98" spans="2:42">
      <c r="B98" t="s">
        <v>47</v>
      </c>
      <c r="C98" s="8" t="b">
        <f>IF(B98="","",COUNTIF(B$1:B97,B98)=0)</f>
        <v>0</v>
      </c>
      <c r="D98" s="8" t="str">
        <f>IF(B98="","",IF(C98,COUNTIF(C$2:C98,TRUE),""))</f>
        <v/>
      </c>
      <c r="E98" s="8" t="str">
        <f t="shared" si="27"/>
        <v/>
      </c>
      <c r="F98" s="8" t="str">
        <f t="shared" ref="F98:F101" si="28">IF(E98="","",IFERROR(LOOKUP(1,0/(AK:AK=E98),AP:AP),"旧 "&amp;E98))</f>
        <v/>
      </c>
      <c r="G98" s="8" t="str">
        <f>IF(ISBLANK(E98),"",IF(COUNTIF(AK:AK,"="&amp;E98)&gt;0,"",MAX(G$1:G97)+1))</f>
        <v/>
      </c>
      <c r="H98" s="8" t="str">
        <f t="shared" si="26"/>
        <v/>
      </c>
      <c r="S98" t="s">
        <v>54</v>
      </c>
      <c r="Z98" t="s">
        <v>1037</v>
      </c>
      <c r="AC98" s="8" t="str">
        <f t="shared" si="25"/>
        <v/>
      </c>
      <c r="AE98" s="8" t="str">
        <f t="shared" si="24"/>
        <v/>
      </c>
      <c r="AF98" s="8" t="str">
        <f>IF(AE98="","",AE98+COUNTIF(AE$2:AE98,AE98)-1)</f>
        <v/>
      </c>
      <c r="AK98" s="23" t="s">
        <v>1477</v>
      </c>
      <c r="AL98" s="14">
        <f>IF(セルの固定色(AK98)=セルの固定色(AK$6),1,"")</f>
        <v>1</v>
      </c>
      <c r="AM98" s="14">
        <f>IF(OR(ISBLANK(AL98),AL98=""),"",COUNTIF(AL$6:AL98,"&gt;0"))</f>
        <v>16</v>
      </c>
      <c r="AP98" s="14" t="str">
        <f>IF(ISBLANK(AK98),"",LOOKUP(1,0/(AM$6:AM98=MAX(AM$6:AM98)),AK$6:AK98))</f>
        <v>ＤＸ部</v>
      </c>
    </row>
    <row r="99" spans="2:42">
      <c r="B99" t="s">
        <v>264</v>
      </c>
      <c r="C99" s="8" t="b">
        <f>IF(B99="","",COUNTIF(B$1:B98,B99)=0)</f>
        <v>0</v>
      </c>
      <c r="D99" s="8" t="str">
        <f>IF(B99="","",IF(C99,COUNTIF(C$2:C99,TRUE),""))</f>
        <v/>
      </c>
      <c r="E99" s="8" t="str">
        <f t="shared" si="27"/>
        <v/>
      </c>
      <c r="F99" s="8" t="str">
        <f t="shared" si="28"/>
        <v/>
      </c>
      <c r="G99" s="8" t="str">
        <f>IF(ISBLANK(E99),"",IF(COUNTIF(AK:AK,"="&amp;E99)&gt;0,"",MAX(G$1:G98)+1))</f>
        <v/>
      </c>
      <c r="H99" s="8" t="str">
        <f t="shared" si="26"/>
        <v/>
      </c>
      <c r="S99" t="s">
        <v>252</v>
      </c>
      <c r="Z99" t="s">
        <v>925</v>
      </c>
      <c r="AC99" s="8" t="str">
        <f t="shared" si="25"/>
        <v/>
      </c>
      <c r="AE99" s="8" t="str">
        <f t="shared" si="24"/>
        <v/>
      </c>
      <c r="AF99" s="8" t="str">
        <f>IF(AE99="","",AE99+COUNTIF(AE$2:AE99,AE99)-1)</f>
        <v/>
      </c>
      <c r="AK99" s="18" t="s">
        <v>1152</v>
      </c>
      <c r="AL99" s="14" t="str">
        <f>IF(セルの固定色(AK99)=セルの固定色(AK$6),1,"")</f>
        <v/>
      </c>
      <c r="AM99" s="14" t="str">
        <f>IF(OR(ISBLANK(AL99),AL99=""),"",COUNTIF(AL$6:AL99,"&gt;0"))</f>
        <v/>
      </c>
      <c r="AP99" s="14" t="str">
        <f>IF(ISBLANK(AK99),"",LOOKUP(1,0/(AM$6:AM99=MAX(AM$6:AM99)),AK$6:AK99))</f>
        <v>ＤＸ部</v>
      </c>
    </row>
    <row r="100" spans="2:42">
      <c r="B100" t="s">
        <v>32</v>
      </c>
      <c r="C100" s="8" t="b">
        <f>IF(B100="","",COUNTIF(B$1:B99,B100)=0)</f>
        <v>0</v>
      </c>
      <c r="D100" s="8" t="str">
        <f>IF(B100="","",IF(C100,COUNTIF(C$2:C100,TRUE),""))</f>
        <v/>
      </c>
      <c r="E100" s="8" t="str">
        <f t="shared" si="27"/>
        <v/>
      </c>
      <c r="F100" s="8" t="str">
        <f t="shared" si="28"/>
        <v/>
      </c>
      <c r="G100" s="8" t="str">
        <f>IF(ISBLANK(E100),"",IF(COUNTIF(AK:AK,"="&amp;E100)&gt;0,"",MAX(G$1:G99)+1))</f>
        <v/>
      </c>
      <c r="H100" s="8" t="str">
        <f t="shared" si="26"/>
        <v/>
      </c>
      <c r="S100" t="s">
        <v>27</v>
      </c>
      <c r="Z100" t="s">
        <v>37</v>
      </c>
      <c r="AC100" s="8" t="str">
        <f t="shared" si="25"/>
        <v/>
      </c>
      <c r="AE100" s="8" t="str">
        <f t="shared" si="24"/>
        <v/>
      </c>
      <c r="AF100" s="8" t="str">
        <f>IF(AE100="","",AE100+COUNTIF(AE$2:AE100,AE100)-1)</f>
        <v/>
      </c>
      <c r="AK100" s="18" t="s">
        <v>1153</v>
      </c>
      <c r="AL100" s="14" t="str">
        <f>IF(セルの固定色(AK100)=セルの固定色(AK$6),1,"")</f>
        <v/>
      </c>
      <c r="AM100" s="14" t="str">
        <f>IF(OR(ISBLANK(AL100),AL100=""),"",COUNTIF(AL$6:AL100,"&gt;0"))</f>
        <v/>
      </c>
      <c r="AP100" s="14" t="str">
        <f>IF(ISBLANK(AK100),"",LOOKUP(1,0/(AM$6:AM100=MAX(AM$6:AM100)),AK$6:AK100))</f>
        <v>ＤＸ部</v>
      </c>
    </row>
    <row r="101" spans="2:42">
      <c r="B101" t="s">
        <v>47</v>
      </c>
      <c r="C101" s="8" t="b">
        <f>IF(B101="","",COUNTIF(B$1:B100,B101)=0)</f>
        <v>0</v>
      </c>
      <c r="D101" s="8" t="str">
        <f>IF(B101="","",IF(C101,COUNTIF(C$2:C101,TRUE),""))</f>
        <v/>
      </c>
      <c r="E101" s="8" t="str">
        <f t="shared" si="27"/>
        <v/>
      </c>
      <c r="F101" s="8" t="str">
        <f t="shared" si="28"/>
        <v/>
      </c>
      <c r="G101" s="8" t="str">
        <f>IF(ISBLANK(E101),"",IF(COUNTIF(AK:AK,"="&amp;E101)&gt;0,"",MAX(G$1:G100)+1))</f>
        <v/>
      </c>
      <c r="H101" s="8" t="str">
        <f t="shared" si="26"/>
        <v/>
      </c>
      <c r="S101" t="s">
        <v>252</v>
      </c>
      <c r="Z101" t="s">
        <v>59</v>
      </c>
      <c r="AC101" s="8" t="str">
        <f t="shared" si="25"/>
        <v/>
      </c>
      <c r="AE101" s="8" t="str">
        <f t="shared" si="24"/>
        <v/>
      </c>
      <c r="AF101" s="8" t="str">
        <f>IF(AE101="","",AE101+COUNTIF(AE$2:AE101,AE101)-1)</f>
        <v/>
      </c>
      <c r="AK101" s="18" t="s">
        <v>1154</v>
      </c>
      <c r="AL101" s="14" t="str">
        <f>IF(セルの固定色(AK101)=セルの固定色(AK$6),1,"")</f>
        <v/>
      </c>
      <c r="AM101" s="14" t="str">
        <f>IF(OR(ISBLANK(AL101),AL101=""),"",COUNTIF(AL$6:AL101,"&gt;0"))</f>
        <v/>
      </c>
      <c r="AP101" s="14" t="str">
        <f>IF(ISBLANK(AK101),"",LOOKUP(1,0/(AM$6:AM101=MAX(AM$6:AM101)),AK$6:AK101))</f>
        <v>ＤＸ部</v>
      </c>
    </row>
    <row r="102" spans="2:42" ht="19.5" thickBot="1">
      <c r="B102" t="s">
        <v>32</v>
      </c>
      <c r="C102" s="8" t="b">
        <f>IF(B102="","",COUNTIF(B$1:B101,B102)=0)</f>
        <v>0</v>
      </c>
      <c r="D102" s="8" t="str">
        <f>IF(B102="","",IF(C102,COUNTIF(C$2:C102,TRUE),""))</f>
        <v/>
      </c>
      <c r="S102" t="s">
        <v>54</v>
      </c>
      <c r="Z102" t="s">
        <v>68</v>
      </c>
      <c r="AC102" s="8" t="str">
        <f t="shared" si="25"/>
        <v/>
      </c>
      <c r="AE102" s="8" t="str">
        <f t="shared" si="24"/>
        <v/>
      </c>
      <c r="AF102" s="8" t="str">
        <f>IF(AE102="","",AE102+COUNTIF(AE$2:AE102,AE102)-1)</f>
        <v/>
      </c>
      <c r="AK102" s="29" t="s">
        <v>1155</v>
      </c>
      <c r="AL102" s="14" t="str">
        <f>IF(セルの固定色(AK102)=セルの固定色(AK$6),1,"")</f>
        <v/>
      </c>
      <c r="AM102" s="14" t="str">
        <f>IF(OR(ISBLANK(AL102),AL102=""),"",COUNTIF(AL$6:AL102,"&gt;0"))</f>
        <v/>
      </c>
      <c r="AP102" s="14" t="str">
        <f>IF(ISBLANK(AK102),"",LOOKUP(1,0/(AM$6:AM102=MAX(AM$6:AM102)),AK$6:AK102))</f>
        <v>ＤＸ部</v>
      </c>
    </row>
    <row r="103" spans="2:42">
      <c r="B103" t="s">
        <v>47</v>
      </c>
      <c r="C103" s="8" t="b">
        <f>IF(B103="","",COUNTIF(B$1:B102,B103)=0)</f>
        <v>0</v>
      </c>
      <c r="D103" s="8" t="str">
        <f>IF(B103="","",IF(C103,COUNTIF(C$2:C103,TRUE),""))</f>
        <v/>
      </c>
      <c r="S103" t="s">
        <v>27</v>
      </c>
      <c r="Z103" t="s">
        <v>44</v>
      </c>
      <c r="AC103" s="8" t="str">
        <f t="shared" ref="AC103:AC166" si="29">IF(ISBLANK(AB103),"",COUNTIF(Z:Z,AB103))</f>
        <v/>
      </c>
      <c r="AE103" s="8" t="str">
        <f t="shared" si="24"/>
        <v/>
      </c>
      <c r="AF103" s="8" t="str">
        <f>IF(AE103="","",AE103+COUNTIF(AE$2:AE103,AE103)-1)</f>
        <v/>
      </c>
      <c r="AK103" s="30" t="s">
        <v>1478</v>
      </c>
      <c r="AL103" s="14">
        <f>IF(セルの固定色(AK103)=セルの固定色(AK$6),1,"")</f>
        <v>1</v>
      </c>
      <c r="AM103" s="14">
        <f>IF(OR(ISBLANK(AL103),AL103=""),"",COUNTIF(AL$6:AL103,"&gt;0"))</f>
        <v>17</v>
      </c>
      <c r="AP103" s="14" t="str">
        <f>IF(ISBLANK(AK103),"",LOOKUP(1,0/(AM$6:AM103=MAX(AM$6:AM103)),AK$6:AK103))</f>
        <v>経企部</v>
      </c>
    </row>
    <row r="104" spans="2:42">
      <c r="B104" t="s">
        <v>47</v>
      </c>
      <c r="C104" s="8" t="b">
        <f>IF(B104="","",COUNTIF(B$1:B103,B104)=0)</f>
        <v>0</v>
      </c>
      <c r="D104" s="8" t="str">
        <f>IF(B104="","",IF(C104,COUNTIF(C$2:C104,TRUE),""))</f>
        <v/>
      </c>
      <c r="S104" t="s">
        <v>27</v>
      </c>
      <c r="Z104" t="s">
        <v>37</v>
      </c>
      <c r="AC104" s="8" t="str">
        <f t="shared" si="29"/>
        <v/>
      </c>
      <c r="AE104" s="8" t="str">
        <f t="shared" si="24"/>
        <v/>
      </c>
      <c r="AF104" s="8" t="str">
        <f>IF(AE104="","",AE104+COUNTIF(AE$2:AE104,AE104)-1)</f>
        <v/>
      </c>
      <c r="AK104" s="18" t="s">
        <v>1156</v>
      </c>
      <c r="AL104" s="14" t="str">
        <f>IF(セルの固定色(AK104)=セルの固定色(AK$6),1,"")</f>
        <v/>
      </c>
      <c r="AM104" s="14" t="str">
        <f>IF(OR(ISBLANK(AL104),AL104=""),"",COUNTIF(AL$6:AL104,"&gt;0"))</f>
        <v/>
      </c>
      <c r="AP104" s="14" t="str">
        <f>IF(ISBLANK(AK104),"",LOOKUP(1,0/(AM$6:AM104=MAX(AM$6:AM104)),AK$6:AK104))</f>
        <v>経企部</v>
      </c>
    </row>
    <row r="105" spans="2:42">
      <c r="B105" t="s">
        <v>101</v>
      </c>
      <c r="C105" s="8" t="b">
        <f>IF(B105="","",COUNTIF(B$1:B104,B105)=0)</f>
        <v>0</v>
      </c>
      <c r="D105" s="8" t="str">
        <f>IF(B105="","",IF(C105,COUNTIF(C$2:C105,TRUE),""))</f>
        <v/>
      </c>
      <c r="S105" t="s">
        <v>54</v>
      </c>
      <c r="Z105" t="s">
        <v>454</v>
      </c>
      <c r="AC105" s="8" t="str">
        <f t="shared" si="29"/>
        <v/>
      </c>
      <c r="AE105" s="8" t="str">
        <f t="shared" si="24"/>
        <v/>
      </c>
      <c r="AF105" s="8" t="str">
        <f>IF(AE105="","",AE105+COUNTIF(AE$2:AE105,AE105)-1)</f>
        <v/>
      </c>
      <c r="AK105" s="24" t="s">
        <v>1157</v>
      </c>
      <c r="AL105" s="14" t="str">
        <f>IF(セルの固定色(AK105)=セルの固定色(AK$6),1,"")</f>
        <v/>
      </c>
      <c r="AM105" s="14" t="str">
        <f>IF(OR(ISBLANK(AL105),AL105=""),"",COUNTIF(AL$6:AL105,"&gt;0"))</f>
        <v/>
      </c>
      <c r="AP105" s="14" t="str">
        <f>IF(ISBLANK(AK105),"",LOOKUP(1,0/(AM$6:AM105=MAX(AM$6:AM105)),AK$6:AK105))</f>
        <v>経企部</v>
      </c>
    </row>
    <row r="106" spans="2:42">
      <c r="B106" t="s">
        <v>32</v>
      </c>
      <c r="C106" s="8" t="b">
        <f>IF(B106="","",COUNTIF(B$1:B105,B106)=0)</f>
        <v>0</v>
      </c>
      <c r="D106" s="8" t="str">
        <f>IF(B106="","",IF(C106,COUNTIF(C$2:C106,TRUE),""))</f>
        <v/>
      </c>
      <c r="S106" t="s">
        <v>27</v>
      </c>
      <c r="Z106" t="s">
        <v>653</v>
      </c>
      <c r="AC106" s="8" t="str">
        <f t="shared" si="29"/>
        <v/>
      </c>
      <c r="AE106" s="8" t="str">
        <f t="shared" si="24"/>
        <v/>
      </c>
      <c r="AF106" s="8" t="str">
        <f>IF(AE106="","",AE106+COUNTIF(AE$2:AE106,AE106)-1)</f>
        <v/>
      </c>
      <c r="AK106" s="24" t="s">
        <v>1158</v>
      </c>
      <c r="AL106" s="14" t="str">
        <f>IF(セルの固定色(AK106)=セルの固定色(AK$6),1,"")</f>
        <v/>
      </c>
      <c r="AM106" s="14" t="str">
        <f>IF(OR(ISBLANK(AL106),AL106=""),"",COUNTIF(AL$6:AL106,"&gt;0"))</f>
        <v/>
      </c>
      <c r="AP106" s="14" t="str">
        <f>IF(ISBLANK(AK106),"",LOOKUP(1,0/(AM$6:AM106=MAX(AM$6:AM106)),AK$6:AK106))</f>
        <v>経企部</v>
      </c>
    </row>
    <row r="107" spans="2:42">
      <c r="C107" s="8" t="str">
        <f>IF(B107="","",COUNTIF(B$1:B106,B107)=0)</f>
        <v/>
      </c>
      <c r="D107" s="8" t="str">
        <f>IF(B107="","",IF(C107,COUNTIF(C$2:C107,TRUE),""))</f>
        <v/>
      </c>
      <c r="AC107" s="8" t="str">
        <f t="shared" si="29"/>
        <v/>
      </c>
      <c r="AE107" s="8" t="str">
        <f t="shared" si="24"/>
        <v/>
      </c>
      <c r="AF107" s="8" t="str">
        <f>IF(AE107="","",AE107+COUNTIF(AE$2:AE107,AE107)-1)</f>
        <v/>
      </c>
      <c r="AK107" s="24" t="s">
        <v>1159</v>
      </c>
      <c r="AL107" s="14" t="str">
        <f>IF(セルの固定色(AK107)=セルの固定色(AK$6),1,"")</f>
        <v/>
      </c>
      <c r="AM107" s="14" t="str">
        <f>IF(OR(ISBLANK(AL107),AL107=""),"",COUNTIF(AL$6:AL107,"&gt;0"))</f>
        <v/>
      </c>
      <c r="AP107" s="14" t="str">
        <f>IF(ISBLANK(AK107),"",LOOKUP(1,0/(AM$6:AM107=MAX(AM$6:AM107)),AK$6:AK107))</f>
        <v>経企部</v>
      </c>
    </row>
    <row r="108" spans="2:42">
      <c r="C108" s="8" t="str">
        <f>IF(B108="","",COUNTIF(B$1:B107,B108)=0)</f>
        <v/>
      </c>
      <c r="D108" s="8" t="str">
        <f>IF(B108="","",IF(C108,COUNTIF(C$2:C108,TRUE),""))</f>
        <v/>
      </c>
      <c r="AC108" s="8" t="str">
        <f t="shared" si="29"/>
        <v/>
      </c>
      <c r="AE108" s="8" t="str">
        <f t="shared" si="24"/>
        <v/>
      </c>
      <c r="AF108" s="8" t="str">
        <f>IF(AE108="","",AE108+COUNTIF(AE$2:AE108,AE108)-1)</f>
        <v/>
      </c>
      <c r="AK108" s="18" t="s">
        <v>1160</v>
      </c>
      <c r="AL108" s="14" t="str">
        <f>IF(セルの固定色(AK108)=セルの固定色(AK$6),1,"")</f>
        <v/>
      </c>
      <c r="AM108" s="14" t="str">
        <f>IF(OR(ISBLANK(AL108),AL108=""),"",COUNTIF(AL$6:AL108,"&gt;0"))</f>
        <v/>
      </c>
      <c r="AP108" s="14" t="str">
        <f>IF(ISBLANK(AK108),"",LOOKUP(1,0/(AM$6:AM108=MAX(AM$6:AM108)),AK$6:AK108))</f>
        <v>経企部</v>
      </c>
    </row>
    <row r="109" spans="2:42">
      <c r="C109" s="8" t="str">
        <f>IF(B109="","",COUNTIF(B$1:B108,B109)=0)</f>
        <v/>
      </c>
      <c r="D109" s="8" t="str">
        <f>IF(B109="","",IF(C109,COUNTIF(C$2:C109,TRUE),""))</f>
        <v/>
      </c>
      <c r="AC109" s="8" t="str">
        <f t="shared" si="29"/>
        <v/>
      </c>
      <c r="AE109" s="8" t="str">
        <f t="shared" si="24"/>
        <v/>
      </c>
      <c r="AF109" s="8" t="str">
        <f>IF(AE109="","",AE109+COUNTIF(AE$2:AE109,AE109)-1)</f>
        <v/>
      </c>
      <c r="AK109" s="18" t="s">
        <v>1479</v>
      </c>
      <c r="AL109" s="14" t="str">
        <f>IF(セルの固定色(AK109)=セルの固定色(AK$6),1,"")</f>
        <v/>
      </c>
      <c r="AM109" s="14" t="str">
        <f>IF(OR(ISBLANK(AL109),AL109=""),"",COUNTIF(AL$6:AL109,"&gt;0"))</f>
        <v/>
      </c>
      <c r="AP109" s="14" t="str">
        <f>IF(ISBLANK(AK109),"",LOOKUP(1,0/(AM$6:AM109=MAX(AM$6:AM109)),AK$6:AK109))</f>
        <v>経企部</v>
      </c>
    </row>
    <row r="110" spans="2:42">
      <c r="C110" s="8" t="str">
        <f>IF(B110="","",COUNTIF(B$1:B109,B110)=0)</f>
        <v/>
      </c>
      <c r="D110" s="8" t="str">
        <f>IF(B110="","",IF(C110,COUNTIF(C$2:C110,TRUE),""))</f>
        <v/>
      </c>
      <c r="AC110" s="8" t="str">
        <f t="shared" si="29"/>
        <v/>
      </c>
      <c r="AE110" s="8" t="str">
        <f t="shared" si="24"/>
        <v/>
      </c>
      <c r="AF110" s="8" t="str">
        <f>IF(AE110="","",AE110+COUNTIF(AE$2:AE110,AE110)-1)</f>
        <v/>
      </c>
      <c r="AK110" s="18" t="s">
        <v>1161</v>
      </c>
      <c r="AL110" s="14" t="str">
        <f>IF(セルの固定色(AK110)=セルの固定色(AK$6),1,"")</f>
        <v/>
      </c>
      <c r="AM110" s="14" t="str">
        <f>IF(OR(ISBLANK(AL110),AL110=""),"",COUNTIF(AL$6:AL110,"&gt;0"))</f>
        <v/>
      </c>
      <c r="AP110" s="14" t="str">
        <f>IF(ISBLANK(AK110),"",LOOKUP(1,0/(AM$6:AM110=MAX(AM$6:AM110)),AK$6:AK110))</f>
        <v>経企部</v>
      </c>
    </row>
    <row r="111" spans="2:42">
      <c r="C111" s="8" t="str">
        <f>IF(B111="","",COUNTIF(B$1:B110,B111)=0)</f>
        <v/>
      </c>
      <c r="D111" s="8" t="str">
        <f>IF(B111="","",IF(C111,COUNTIF(C$2:C111,TRUE),""))</f>
        <v/>
      </c>
      <c r="AC111" s="8" t="str">
        <f t="shared" si="29"/>
        <v/>
      </c>
      <c r="AE111" s="8" t="str">
        <f t="shared" si="24"/>
        <v/>
      </c>
      <c r="AF111" s="8" t="str">
        <f>IF(AE111="","",AE111+COUNTIF(AE$2:AE111,AE111)-1)</f>
        <v/>
      </c>
      <c r="AK111" s="22" t="s">
        <v>1162</v>
      </c>
      <c r="AL111" s="14" t="str">
        <f>IF(セルの固定色(AK111)=セルの固定色(AK$6),1,"")</f>
        <v/>
      </c>
      <c r="AM111" s="14" t="str">
        <f>IF(OR(ISBLANK(AL111),AL111=""),"",COUNTIF(AL$6:AL111,"&gt;0"))</f>
        <v/>
      </c>
      <c r="AP111" s="14" t="str">
        <f>IF(ISBLANK(AK111),"",LOOKUP(1,0/(AM$6:AM111=MAX(AM$6:AM111)),AK$6:AK111))</f>
        <v>経企部</v>
      </c>
    </row>
    <row r="112" spans="2:42" ht="19.5" thickBot="1">
      <c r="C112" s="8" t="str">
        <f>IF(B112="","",COUNTIF(B$1:B111,B112)=0)</f>
        <v/>
      </c>
      <c r="D112" s="8" t="str">
        <f>IF(B112="","",IF(C112,COUNTIF(C$2:C112,TRUE),""))</f>
        <v/>
      </c>
      <c r="AC112" s="8" t="str">
        <f t="shared" si="29"/>
        <v/>
      </c>
      <c r="AE112" s="8" t="str">
        <f t="shared" si="24"/>
        <v/>
      </c>
      <c r="AF112" s="8" t="str">
        <f>IF(AE112="","",AE112+COUNTIF(AE$2:AE112,AE112)-1)</f>
        <v/>
      </c>
      <c r="AK112" s="22" t="s">
        <v>1163</v>
      </c>
      <c r="AL112" s="14" t="str">
        <f>IF(セルの固定色(AK112)=セルの固定色(AK$6),1,"")</f>
        <v/>
      </c>
      <c r="AM112" s="14" t="str">
        <f>IF(OR(ISBLANK(AL112),AL112=""),"",COUNTIF(AL$6:AL112,"&gt;0"))</f>
        <v/>
      </c>
      <c r="AP112" s="14" t="str">
        <f>IF(ISBLANK(AK112),"",LOOKUP(1,0/(AM$6:AM112=MAX(AM$6:AM112)),AK$6:AK112))</f>
        <v>経企部</v>
      </c>
    </row>
    <row r="113" spans="3:42">
      <c r="C113" s="8" t="str">
        <f>IF(B113="","",COUNTIF(B$1:B112,B113)=0)</f>
        <v/>
      </c>
      <c r="D113" s="8" t="str">
        <f>IF(B113="","",IF(C113,COUNTIF(C$2:C113,TRUE),""))</f>
        <v/>
      </c>
      <c r="AC113" s="8" t="str">
        <f t="shared" si="29"/>
        <v/>
      </c>
      <c r="AE113" s="8" t="str">
        <f t="shared" si="24"/>
        <v/>
      </c>
      <c r="AF113" s="8" t="str">
        <f>IF(AE113="","",AE113+COUNTIF(AE$2:AE113,AE113)-1)</f>
        <v/>
      </c>
      <c r="AK113" s="23" t="s">
        <v>1480</v>
      </c>
      <c r="AL113" s="14">
        <f>IF(セルの固定色(AK113)=セルの固定色(AK$6),1,"")</f>
        <v>1</v>
      </c>
      <c r="AM113" s="14">
        <f>IF(OR(ISBLANK(AL113),AL113=""),"",COUNTIF(AL$6:AL113,"&gt;0"))</f>
        <v>18</v>
      </c>
      <c r="AP113" s="14" t="str">
        <f>IF(ISBLANK(AK113),"",LOOKUP(1,0/(AM$6:AM113=MAX(AM$6:AM113)),AK$6:AK113))</f>
        <v>総務部</v>
      </c>
    </row>
    <row r="114" spans="3:42">
      <c r="C114" s="8" t="str">
        <f>IF(B114="","",COUNTIF(B$1:B113,B114)=0)</f>
        <v/>
      </c>
      <c r="D114" s="8" t="str">
        <f>IF(B114="","",IF(C114,COUNTIF(C$2:C114,TRUE),""))</f>
        <v/>
      </c>
      <c r="AC114" s="8" t="str">
        <f t="shared" si="29"/>
        <v/>
      </c>
      <c r="AE114" s="8" t="str">
        <f t="shared" si="24"/>
        <v/>
      </c>
      <c r="AF114" s="8" t="str">
        <f>IF(AE114="","",AE114+COUNTIF(AE$2:AE114,AE114)-1)</f>
        <v/>
      </c>
      <c r="AK114" s="18" t="s">
        <v>1164</v>
      </c>
      <c r="AL114" s="14" t="str">
        <f>IF(セルの固定色(AK114)=セルの固定色(AK$6),1,"")</f>
        <v/>
      </c>
      <c r="AM114" s="14" t="str">
        <f>IF(OR(ISBLANK(AL114),AL114=""),"",COUNTIF(AL$6:AL114,"&gt;0"))</f>
        <v/>
      </c>
      <c r="AP114" s="14" t="str">
        <f>IF(ISBLANK(AK114),"",LOOKUP(1,0/(AM$6:AM114=MAX(AM$6:AM114)),AK$6:AK114))</f>
        <v>総務部</v>
      </c>
    </row>
    <row r="115" spans="3:42">
      <c r="C115" s="8" t="str">
        <f>IF(B115="","",COUNTIF(B$1:B114,B115)=0)</f>
        <v/>
      </c>
      <c r="D115" s="8" t="str">
        <f>IF(B115="","",IF(C115,COUNTIF(C$2:C115,TRUE),""))</f>
        <v/>
      </c>
      <c r="AC115" s="8" t="str">
        <f t="shared" si="29"/>
        <v/>
      </c>
      <c r="AE115" s="8" t="str">
        <f t="shared" si="24"/>
        <v/>
      </c>
      <c r="AF115" s="8" t="str">
        <f>IF(AE115="","",AE115+COUNTIF(AE$2:AE115,AE115)-1)</f>
        <v/>
      </c>
      <c r="AK115" s="18" t="s">
        <v>1165</v>
      </c>
      <c r="AL115" s="14" t="str">
        <f>IF(セルの固定色(AK115)=セルの固定色(AK$6),1,"")</f>
        <v/>
      </c>
      <c r="AM115" s="14" t="str">
        <f>IF(OR(ISBLANK(AL115),AL115=""),"",COUNTIF(AL$6:AL115,"&gt;0"))</f>
        <v/>
      </c>
      <c r="AP115" s="14" t="str">
        <f>IF(ISBLANK(AK115),"",LOOKUP(1,0/(AM$6:AM115=MAX(AM$6:AM115)),AK$6:AK115))</f>
        <v>総務部</v>
      </c>
    </row>
    <row r="116" spans="3:42">
      <c r="C116" s="8" t="str">
        <f>IF(B116="","",COUNTIF(B$1:B115,B116)=0)</f>
        <v/>
      </c>
      <c r="D116" s="8" t="str">
        <f>IF(B116="","",IF(C116,COUNTIF(C$2:C116,TRUE),""))</f>
        <v/>
      </c>
      <c r="AC116" s="8" t="str">
        <f t="shared" si="29"/>
        <v/>
      </c>
      <c r="AE116" s="8" t="str">
        <f t="shared" si="24"/>
        <v/>
      </c>
      <c r="AF116" s="8" t="str">
        <f>IF(AE116="","",AE116+COUNTIF(AE$2:AE116,AE116)-1)</f>
        <v/>
      </c>
      <c r="AK116" s="18" t="s">
        <v>1166</v>
      </c>
      <c r="AL116" s="14" t="str">
        <f>IF(セルの固定色(AK116)=セルの固定色(AK$6),1,"")</f>
        <v/>
      </c>
      <c r="AM116" s="14" t="str">
        <f>IF(OR(ISBLANK(AL116),AL116=""),"",COUNTIF(AL$6:AL116,"&gt;0"))</f>
        <v/>
      </c>
      <c r="AP116" s="14" t="str">
        <f>IF(ISBLANK(AK116),"",LOOKUP(1,0/(AM$6:AM116=MAX(AM$6:AM116)),AK$6:AK116))</f>
        <v>総務部</v>
      </c>
    </row>
    <row r="117" spans="3:42" ht="19.5" thickBot="1">
      <c r="C117" s="8" t="str">
        <f>IF(B117="","",COUNTIF(B$1:B116,B117)=0)</f>
        <v/>
      </c>
      <c r="D117" s="8" t="str">
        <f>IF(B117="","",IF(C117,COUNTIF(C$2:C117,TRUE),""))</f>
        <v/>
      </c>
      <c r="AC117" s="8" t="str">
        <f t="shared" si="29"/>
        <v/>
      </c>
      <c r="AE117" s="8" t="str">
        <f t="shared" si="24"/>
        <v/>
      </c>
      <c r="AF117" s="8" t="str">
        <f>IF(AE117="","",AE117+COUNTIF(AE$2:AE117,AE117)-1)</f>
        <v/>
      </c>
      <c r="AK117" s="22" t="s">
        <v>1167</v>
      </c>
      <c r="AL117" s="14" t="str">
        <f>IF(セルの固定色(AK117)=セルの固定色(AK$6),1,"")</f>
        <v/>
      </c>
      <c r="AM117" s="14" t="str">
        <f>IF(OR(ISBLANK(AL117),AL117=""),"",COUNTIF(AL$6:AL117,"&gt;0"))</f>
        <v/>
      </c>
      <c r="AP117" s="14" t="str">
        <f>IF(ISBLANK(AK117),"",LOOKUP(1,0/(AM$6:AM117=MAX(AM$6:AM117)),AK$6:AK117))</f>
        <v>総務部</v>
      </c>
    </row>
    <row r="118" spans="3:42">
      <c r="C118" s="8" t="str">
        <f>IF(B118="","",COUNTIF(B$1:B117,B118)=0)</f>
        <v/>
      </c>
      <c r="D118" s="8" t="str">
        <f>IF(B118="","",IF(C118,COUNTIF(C$2:C118,TRUE),""))</f>
        <v/>
      </c>
      <c r="AC118" s="8" t="str">
        <f t="shared" si="29"/>
        <v/>
      </c>
      <c r="AE118" s="8" t="str">
        <f t="shared" si="24"/>
        <v/>
      </c>
      <c r="AF118" s="8" t="str">
        <f>IF(AE118="","",AE118+COUNTIF(AE$2:AE118,AE118)-1)</f>
        <v/>
      </c>
      <c r="AK118" s="23" t="s">
        <v>1481</v>
      </c>
      <c r="AL118" s="14">
        <f>IF(セルの固定色(AK118)=セルの固定色(AK$6),1,"")</f>
        <v>1</v>
      </c>
      <c r="AM118" s="14">
        <f>IF(OR(ISBLANK(AL118),AL118=""),"",COUNTIF(AL$6:AL118,"&gt;0"))</f>
        <v>19</v>
      </c>
      <c r="AP118" s="14" t="str">
        <f>IF(ISBLANK(AK118),"",LOOKUP(1,0/(AM$6:AM118=MAX(AM$6:AM118)),AK$6:AK118))</f>
        <v>人事部</v>
      </c>
    </row>
    <row r="119" spans="3:42" ht="19.5" thickBot="1">
      <c r="C119" s="8" t="str">
        <f>IF(B119="","",COUNTIF(B$1:B118,B119)=0)</f>
        <v/>
      </c>
      <c r="D119" s="8" t="str">
        <f>IF(B119="","",IF(C119,COUNTIF(C$2:C119,TRUE),""))</f>
        <v/>
      </c>
      <c r="AC119" s="8" t="str">
        <f t="shared" si="29"/>
        <v/>
      </c>
      <c r="AE119" s="8" t="str">
        <f t="shared" si="24"/>
        <v/>
      </c>
      <c r="AF119" s="8" t="str">
        <f>IF(AE119="","",AE119+COUNTIF(AE$2:AE119,AE119)-1)</f>
        <v/>
      </c>
      <c r="AK119" s="29" t="s">
        <v>1168</v>
      </c>
      <c r="AL119" s="14" t="str">
        <f>IF(セルの固定色(AK119)=セルの固定色(AK$6),1,"")</f>
        <v/>
      </c>
      <c r="AM119" s="14" t="str">
        <f>IF(OR(ISBLANK(AL119),AL119=""),"",COUNTIF(AL$6:AL119,"&gt;0"))</f>
        <v/>
      </c>
      <c r="AP119" s="14" t="str">
        <f>IF(ISBLANK(AK119),"",LOOKUP(1,0/(AM$6:AM119=MAX(AM$6:AM119)),AK$6:AK119))</f>
        <v>人事部</v>
      </c>
    </row>
    <row r="120" spans="3:42" ht="19.5" thickBot="1">
      <c r="C120" s="8" t="str">
        <f>IF(B120="","",COUNTIF(B$1:B119,B120)=0)</f>
        <v/>
      </c>
      <c r="D120" s="8" t="str">
        <f>IF(B120="","",IF(C120,COUNTIF(C$2:C120,TRUE),""))</f>
        <v/>
      </c>
      <c r="AC120" s="8" t="str">
        <f t="shared" si="29"/>
        <v/>
      </c>
      <c r="AE120" s="8" t="str">
        <f t="shared" si="24"/>
        <v/>
      </c>
      <c r="AF120" s="8" t="str">
        <f>IF(AE120="","",AE120+COUNTIF(AE$2:AE120,AE120)-1)</f>
        <v/>
      </c>
      <c r="AK120" s="34" t="s">
        <v>1482</v>
      </c>
      <c r="AL120" s="14">
        <f>IF(セルの固定色(AK120)=セルの固定色(AK$6),1,"")</f>
        <v>1</v>
      </c>
      <c r="AM120" s="14">
        <f>IF(OR(ISBLANK(AL120),AL120=""),"",COUNTIF(AL$6:AL120,"&gt;0"))</f>
        <v>20</v>
      </c>
      <c r="AP120" s="14" t="str">
        <f>IF(ISBLANK(AK120),"",LOOKUP(1,0/(AM$6:AM120=MAX(AM$6:AM120)),AK$6:AK120))</f>
        <v>考査部</v>
      </c>
    </row>
    <row r="121" spans="3:42" ht="19.5" thickBot="1">
      <c r="C121" s="8" t="str">
        <f>IF(B121="","",COUNTIF(B$1:B120,B121)=0)</f>
        <v/>
      </c>
      <c r="D121" s="8" t="str">
        <f>IF(B121="","",IF(C121,COUNTIF(C$2:C121,TRUE),""))</f>
        <v/>
      </c>
      <c r="AC121" s="8" t="str">
        <f t="shared" si="29"/>
        <v/>
      </c>
      <c r="AE121" s="8" t="str">
        <f t="shared" si="24"/>
        <v/>
      </c>
      <c r="AF121" s="8" t="str">
        <f>IF(AE121="","",AE121+COUNTIF(AE$2:AE121,AE121)-1)</f>
        <v/>
      </c>
      <c r="AK121" s="33" t="s">
        <v>1483</v>
      </c>
      <c r="AL121" s="14">
        <f>IF(セルの固定色(AK121)=セルの固定色(AK$6),1,"")</f>
        <v>1</v>
      </c>
      <c r="AM121" s="14">
        <f>IF(OR(ISBLANK(AL121),AL121=""),"",COUNTIF(AL$6:AL121,"&gt;0"))</f>
        <v>21</v>
      </c>
      <c r="AP121" s="14" t="str">
        <f>IF(ISBLANK(AK121),"",LOOKUP(1,0/(AM$6:AM121=MAX(AM$6:AM121)),AK$6:AK121))</f>
        <v>監査室</v>
      </c>
    </row>
    <row r="122" spans="3:42">
      <c r="C122" s="8" t="str">
        <f>IF(B122="","",COUNTIF(B$1:B121,B122)=0)</f>
        <v/>
      </c>
      <c r="D122" s="8" t="str">
        <f>IF(B122="","",IF(C122,COUNTIF(C$2:C122,TRUE),""))</f>
        <v/>
      </c>
      <c r="AC122" s="8" t="str">
        <f t="shared" si="29"/>
        <v/>
      </c>
      <c r="AE122" s="8" t="str">
        <f t="shared" si="24"/>
        <v/>
      </c>
      <c r="AF122" s="8" t="str">
        <f>IF(AE122="","",AE122+COUNTIF(AE$2:AE122,AE122)-1)</f>
        <v/>
      </c>
      <c r="AL122" s="14" t="str">
        <f>IF(セルの固定色(AK122)=セルの固定色(AK$6),1,"")</f>
        <v/>
      </c>
      <c r="AM122" s="14" t="str">
        <f>IF(OR(ISBLANK(AL122),AL122=""),"",COUNTIF(AL$6:AL122,"&gt;0"))</f>
        <v/>
      </c>
      <c r="AP122" s="14" t="str">
        <f>IF(ISBLANK(AK122),"",LOOKUP(1,0/(AM$6:AM122=MAX(AM$6:AM122)),AK$6:AK122))</f>
        <v/>
      </c>
    </row>
    <row r="123" spans="3:42">
      <c r="C123" s="8" t="str">
        <f>IF(B123="","",COUNTIF(B$1:B122,B123)=0)</f>
        <v/>
      </c>
      <c r="D123" s="8" t="str">
        <f>IF(B123="","",IF(C123,COUNTIF(C$2:C123,TRUE),""))</f>
        <v/>
      </c>
      <c r="AC123" s="8" t="str">
        <f t="shared" si="29"/>
        <v/>
      </c>
      <c r="AE123" s="8" t="str">
        <f t="shared" si="24"/>
        <v/>
      </c>
      <c r="AF123" s="8" t="str">
        <f>IF(AE123="","",AE123+COUNTIF(AE$2:AE123,AE123)-1)</f>
        <v/>
      </c>
      <c r="AL123" s="14" t="str">
        <f>IF(セルの固定色(AK123)=セルの固定色(AK$6),1,"")</f>
        <v/>
      </c>
      <c r="AM123" s="14" t="str">
        <f>IF(OR(ISBLANK(AL123),AL123=""),"",COUNTIF(AL$6:AL123,"&gt;0"))</f>
        <v/>
      </c>
      <c r="AP123" s="14" t="str">
        <f>IF(ISBLANK(AK123),"",LOOKUP(1,0/(AM$6:AM123=MAX(AM$6:AM123)),AK$6:AK123))</f>
        <v/>
      </c>
    </row>
    <row r="124" spans="3:42">
      <c r="C124" s="8" t="str">
        <f>IF(B124="","",COUNTIF(B$1:B123,B124)=0)</f>
        <v/>
      </c>
      <c r="D124" s="8" t="str">
        <f>IF(B124="","",IF(C124,COUNTIF(C$2:C124,TRUE),""))</f>
        <v/>
      </c>
      <c r="AC124" s="8" t="str">
        <f t="shared" si="29"/>
        <v/>
      </c>
      <c r="AE124" s="8" t="str">
        <f t="shared" si="24"/>
        <v/>
      </c>
      <c r="AF124" s="8" t="str">
        <f>IF(AE124="","",AE124+COUNTIF(AE$2:AE124,AE124)-1)</f>
        <v/>
      </c>
      <c r="AL124" s="14" t="str">
        <f>IF(セルの固定色(AK124)=セルの固定色(AK$6),1,"")</f>
        <v/>
      </c>
      <c r="AM124" s="14" t="str">
        <f>IF(OR(ISBLANK(AL124),AL124=""),"",COUNTIF(AL$6:AL124,"&gt;0"))</f>
        <v/>
      </c>
      <c r="AP124" s="14" t="str">
        <f>IF(ISBLANK(AK124),"",LOOKUP(1,0/(AM$6:AM124=MAX(AM$6:AM124)),AK$6:AK124))</f>
        <v/>
      </c>
    </row>
    <row r="125" spans="3:42">
      <c r="C125" s="8" t="str">
        <f>IF(B125="","",COUNTIF(B$1:B124,B125)=0)</f>
        <v/>
      </c>
      <c r="D125" s="8" t="str">
        <f>IF(B125="","",IF(C125,COUNTIF(C$2:C125,TRUE),""))</f>
        <v/>
      </c>
      <c r="AC125" s="8" t="str">
        <f t="shared" si="29"/>
        <v/>
      </c>
      <c r="AE125" s="8" t="str">
        <f t="shared" si="24"/>
        <v/>
      </c>
      <c r="AF125" s="8" t="str">
        <f>IF(AE125="","",AE125+COUNTIF(AE$2:AE125,AE125)-1)</f>
        <v/>
      </c>
      <c r="AL125" s="14" t="str">
        <f>IF(セルの固定色(AK125)=セルの固定色(AK$6),1,"")</f>
        <v/>
      </c>
      <c r="AM125" s="14" t="str">
        <f>IF(OR(ISBLANK(AL125),AL125=""),"",COUNTIF(AL$6:AL125,"&gt;0"))</f>
        <v/>
      </c>
      <c r="AP125" s="14" t="str">
        <f>IF(ISBLANK(AK125),"",LOOKUP(1,0/(AM$6:AM125=MAX(AM$6:AM125)),AK$6:AK125))</f>
        <v/>
      </c>
    </row>
    <row r="126" spans="3:42">
      <c r="C126" s="8" t="str">
        <f>IF(B126="","",COUNTIF(B$1:B125,B126)=0)</f>
        <v/>
      </c>
      <c r="D126" s="8" t="str">
        <f>IF(B126="","",IF(C126,COUNTIF(C$2:C126,TRUE),""))</f>
        <v/>
      </c>
      <c r="AC126" s="8" t="str">
        <f t="shared" si="29"/>
        <v/>
      </c>
      <c r="AE126" s="8" t="str">
        <f t="shared" si="24"/>
        <v/>
      </c>
      <c r="AF126" s="8" t="str">
        <f>IF(AE126="","",AE126+COUNTIF(AE$2:AE126,AE126)-1)</f>
        <v/>
      </c>
      <c r="AL126" s="14" t="str">
        <f>IF(セルの固定色(AK126)=セルの固定色(AK$6),1,"")</f>
        <v/>
      </c>
      <c r="AM126" s="14" t="str">
        <f>IF(OR(ISBLANK(AL126),AL126=""),"",COUNTIF(AL$6:AL126,"&gt;0"))</f>
        <v/>
      </c>
      <c r="AP126" s="14" t="str">
        <f>IF(ISBLANK(AK126),"",LOOKUP(1,0/(AM$6:AM126=MAX(AM$6:AM126)),AK$6:AK126))</f>
        <v/>
      </c>
    </row>
    <row r="127" spans="3:42">
      <c r="C127" s="8" t="str">
        <f>IF(B127="","",COUNTIF(B$1:B126,B127)=0)</f>
        <v/>
      </c>
      <c r="D127" s="8" t="str">
        <f>IF(B127="","",IF(C127,COUNTIF(C$2:C127,TRUE),""))</f>
        <v/>
      </c>
      <c r="AC127" s="8" t="str">
        <f t="shared" si="29"/>
        <v/>
      </c>
      <c r="AE127" s="8" t="str">
        <f t="shared" si="24"/>
        <v/>
      </c>
      <c r="AF127" s="8" t="str">
        <f>IF(AE127="","",AE127+COUNTIF(AE$2:AE127,AE127)-1)</f>
        <v/>
      </c>
      <c r="AL127" s="14" t="str">
        <f>IF(セルの固定色(AK127)=セルの固定色(AK$6),1,"")</f>
        <v/>
      </c>
      <c r="AM127" s="14" t="str">
        <f>IF(OR(ISBLANK(AL127),AL127=""),"",COUNTIF(AL$6:AL127,"&gt;0"))</f>
        <v/>
      </c>
      <c r="AP127" s="14" t="str">
        <f>IF(ISBLANK(AK127),"",LOOKUP(1,0/(AM$6:AM127=MAX(AM$6:AM127)),AK$6:AK127))</f>
        <v/>
      </c>
    </row>
    <row r="128" spans="3:42">
      <c r="C128" s="8" t="str">
        <f>IF(B128="","",COUNTIF(B$1:B127,B128)=0)</f>
        <v/>
      </c>
      <c r="D128" s="8" t="str">
        <f>IF(B128="","",IF(C128,COUNTIF(C$2:C128,TRUE),""))</f>
        <v/>
      </c>
      <c r="AC128" s="8" t="str">
        <f t="shared" si="29"/>
        <v/>
      </c>
      <c r="AE128" s="8" t="str">
        <f t="shared" si="24"/>
        <v/>
      </c>
      <c r="AF128" s="8" t="str">
        <f>IF(AE128="","",AE128+COUNTIF(AE$2:AE128,AE128)-1)</f>
        <v/>
      </c>
      <c r="AL128" s="14" t="str">
        <f>IF(セルの固定色(AK128)=セルの固定色(AK$6),1,"")</f>
        <v/>
      </c>
      <c r="AM128" s="14" t="str">
        <f>IF(OR(ISBLANK(AL128),AL128=""),"",COUNTIF(AL$6:AL128,"&gt;0"))</f>
        <v/>
      </c>
      <c r="AP128" s="14" t="str">
        <f>IF(ISBLANK(AK128),"",LOOKUP(1,0/(AM$6:AM128=MAX(AM$6:AM128)),AK$6:AK128))</f>
        <v/>
      </c>
    </row>
    <row r="129" spans="3:42">
      <c r="C129" s="8" t="str">
        <f>IF(B129="","",COUNTIF(B$1:B128,B129)=0)</f>
        <v/>
      </c>
      <c r="D129" s="8" t="str">
        <f>IF(B129="","",IF(C129,COUNTIF(C$2:C129,TRUE),""))</f>
        <v/>
      </c>
      <c r="AC129" s="8" t="str">
        <f t="shared" si="29"/>
        <v/>
      </c>
      <c r="AE129" s="8" t="str">
        <f t="shared" si="24"/>
        <v/>
      </c>
      <c r="AF129" s="8" t="str">
        <f>IF(AE129="","",AE129+COUNTIF(AE$2:AE129,AE129)-1)</f>
        <v/>
      </c>
      <c r="AL129" s="14" t="str">
        <f>IF(セルの固定色(AK129)=セルの固定色(AK$6),1,"")</f>
        <v/>
      </c>
      <c r="AM129" s="14" t="str">
        <f>IF(OR(ISBLANK(AL129),AL129=""),"",COUNTIF(AL$6:AL129,"&gt;0"))</f>
        <v/>
      </c>
      <c r="AP129" s="14" t="str">
        <f>IF(ISBLANK(AK129),"",LOOKUP(1,0/(AM$6:AM129=MAX(AM$6:AM129)),AK$6:AK129))</f>
        <v/>
      </c>
    </row>
    <row r="130" spans="3:42">
      <c r="C130" s="8" t="str">
        <f>IF(B130="","",COUNTIF(B$1:B129,B130)=0)</f>
        <v/>
      </c>
      <c r="D130" s="8" t="str">
        <f>IF(B130="","",IF(C130,COUNTIF(C$2:C130,TRUE),""))</f>
        <v/>
      </c>
      <c r="AC130" s="8" t="str">
        <f t="shared" si="29"/>
        <v/>
      </c>
      <c r="AE130" s="8" t="str">
        <f t="shared" ref="AE130:AE193" si="30">IF(ISBLANK(AD130),"",RANK(AD130,AD$2:AD$256,0))</f>
        <v/>
      </c>
      <c r="AF130" s="8" t="str">
        <f>IF(AE130="","",AE130+COUNTIF(AE$2:AE130,AE130)-1)</f>
        <v/>
      </c>
      <c r="AL130" s="14" t="str">
        <f>IF(セルの固定色(AK130)=セルの固定色(AK$6),1,"")</f>
        <v/>
      </c>
      <c r="AM130" s="14" t="str">
        <f>IF(OR(ISBLANK(AL130),AL130=""),"",COUNTIF(AL$6:AL130,"&gt;0"))</f>
        <v/>
      </c>
      <c r="AP130" s="14" t="str">
        <f>IF(ISBLANK(AK130),"",LOOKUP(1,0/(AM$6:AM130=MAX(AM$6:AM130)),AK$6:AK130))</f>
        <v/>
      </c>
    </row>
    <row r="131" spans="3:42">
      <c r="C131" s="8" t="str">
        <f>IF(B131="","",COUNTIF(B$1:B130,B131)=0)</f>
        <v/>
      </c>
      <c r="D131" s="8" t="str">
        <f>IF(B131="","",IF(C131,COUNTIF(C$2:C131,TRUE),""))</f>
        <v/>
      </c>
      <c r="AC131" s="8" t="str">
        <f t="shared" si="29"/>
        <v/>
      </c>
      <c r="AE131" s="8" t="str">
        <f t="shared" si="30"/>
        <v/>
      </c>
      <c r="AF131" s="8" t="str">
        <f>IF(AE131="","",AE131+COUNTIF(AE$2:AE131,AE131)-1)</f>
        <v/>
      </c>
      <c r="AL131" s="14" t="str">
        <f>IF(セルの固定色(AK131)=セルの固定色(AK$6),1,"")</f>
        <v/>
      </c>
      <c r="AM131" s="14" t="str">
        <f>IF(OR(ISBLANK(AL131),AL131=""),"",COUNTIF(AL$6:AL131,"&gt;0"))</f>
        <v/>
      </c>
      <c r="AP131" s="14" t="str">
        <f>IF(ISBLANK(AK131),"",LOOKUP(1,0/(AM$6:AM131=MAX(AM$6:AM131)),AK$6:AK131))</f>
        <v/>
      </c>
    </row>
    <row r="132" spans="3:42">
      <c r="C132" s="8" t="str">
        <f>IF(B132="","",COUNTIF(B$1:B131,B132)=0)</f>
        <v/>
      </c>
      <c r="D132" s="8" t="str">
        <f>IF(B132="","",IF(C132,COUNTIF(C$2:C132,TRUE),""))</f>
        <v/>
      </c>
      <c r="AC132" s="8" t="str">
        <f t="shared" si="29"/>
        <v/>
      </c>
      <c r="AE132" s="8" t="str">
        <f t="shared" si="30"/>
        <v/>
      </c>
      <c r="AF132" s="8" t="str">
        <f>IF(AE132="","",AE132+COUNTIF(AE$2:AE132,AE132)-1)</f>
        <v/>
      </c>
      <c r="AL132" s="14" t="str">
        <f>IF(セルの固定色(AK132)=セルの固定色(AK$6),1,"")</f>
        <v/>
      </c>
      <c r="AM132" s="14" t="str">
        <f>IF(OR(ISBLANK(AL132),AL132=""),"",COUNTIF(AL$6:AL132,"&gt;0"))</f>
        <v/>
      </c>
      <c r="AP132" s="14" t="str">
        <f>IF(ISBLANK(AK132),"",LOOKUP(1,0/(AM$6:AM132=MAX(AM$6:AM132)),AK$6:AK132))</f>
        <v/>
      </c>
    </row>
    <row r="133" spans="3:42">
      <c r="C133" s="8" t="str">
        <f>IF(B133="","",COUNTIF(B$1:B132,B133)=0)</f>
        <v/>
      </c>
      <c r="D133" s="8" t="str">
        <f>IF(B133="","",IF(C133,COUNTIF(C$2:C133,TRUE),""))</f>
        <v/>
      </c>
      <c r="AC133" s="8" t="str">
        <f t="shared" si="29"/>
        <v/>
      </c>
      <c r="AE133" s="8" t="str">
        <f t="shared" si="30"/>
        <v/>
      </c>
      <c r="AF133" s="8" t="str">
        <f>IF(AE133="","",AE133+COUNTIF(AE$2:AE133,AE133)-1)</f>
        <v/>
      </c>
      <c r="AL133" s="14" t="str">
        <f>IF(セルの固定色(AK133)=セルの固定色(AK$6),1,"")</f>
        <v/>
      </c>
      <c r="AM133" s="14" t="str">
        <f>IF(OR(ISBLANK(AL133),AL133=""),"",COUNTIF(AL$6:AL133,"&gt;0"))</f>
        <v/>
      </c>
      <c r="AP133" s="14" t="str">
        <f>IF(ISBLANK(AK133),"",LOOKUP(1,0/(AM$6:AM133=MAX(AM$6:AM133)),AK$6:AK133))</f>
        <v/>
      </c>
    </row>
    <row r="134" spans="3:42">
      <c r="C134" s="8" t="str">
        <f>IF(B134="","",COUNTIF(B$1:B133,B134)=0)</f>
        <v/>
      </c>
      <c r="D134" s="8" t="str">
        <f>IF(B134="","",IF(C134,COUNTIF(C$2:C134,TRUE),""))</f>
        <v/>
      </c>
      <c r="AC134" s="8" t="str">
        <f t="shared" si="29"/>
        <v/>
      </c>
      <c r="AE134" s="8" t="str">
        <f t="shared" si="30"/>
        <v/>
      </c>
      <c r="AF134" s="8" t="str">
        <f>IF(AE134="","",AE134+COUNTIF(AE$2:AE134,AE134)-1)</f>
        <v/>
      </c>
      <c r="AL134" s="14" t="str">
        <f>IF(セルの固定色(AK134)=セルの固定色(AK$6),1,"")</f>
        <v/>
      </c>
      <c r="AM134" s="14" t="str">
        <f>IF(OR(ISBLANK(AL134),AL134=""),"",COUNTIF(AL$6:AL134,"&gt;0"))</f>
        <v/>
      </c>
      <c r="AP134" s="14" t="str">
        <f>IF(ISBLANK(AK134),"",LOOKUP(1,0/(AM$6:AM134=MAX(AM$6:AM134)),AK$6:AK134))</f>
        <v/>
      </c>
    </row>
    <row r="135" spans="3:42">
      <c r="C135" s="8" t="str">
        <f>IF(B135="","",COUNTIF(B$1:B134,B135)=0)</f>
        <v/>
      </c>
      <c r="D135" s="8" t="str">
        <f>IF(B135="","",IF(C135,COUNTIF(C$2:C135,TRUE),""))</f>
        <v/>
      </c>
      <c r="AC135" s="8" t="str">
        <f t="shared" si="29"/>
        <v/>
      </c>
      <c r="AE135" s="8" t="str">
        <f t="shared" si="30"/>
        <v/>
      </c>
      <c r="AF135" s="8" t="str">
        <f>IF(AE135="","",AE135+COUNTIF(AE$2:AE135,AE135)-1)</f>
        <v/>
      </c>
      <c r="AL135" s="14" t="str">
        <f>IF(セルの固定色(AK135)=セルの固定色(AK$6),1,"")</f>
        <v/>
      </c>
      <c r="AM135" s="14" t="str">
        <f>IF(OR(ISBLANK(AL135),AL135=""),"",COUNTIF(AL$6:AL135,"&gt;0"))</f>
        <v/>
      </c>
      <c r="AP135" s="14" t="str">
        <f>IF(ISBLANK(AK135),"",LOOKUP(1,0/(AM$6:AM135=MAX(AM$6:AM135)),AK$6:AK135))</f>
        <v/>
      </c>
    </row>
    <row r="136" spans="3:42">
      <c r="C136" s="8" t="str">
        <f>IF(B136="","",COUNTIF(B$1:B135,B136)=0)</f>
        <v/>
      </c>
      <c r="D136" s="8" t="str">
        <f>IF(B136="","",IF(C136,COUNTIF(C$2:C136,TRUE),""))</f>
        <v/>
      </c>
      <c r="AC136" s="8" t="str">
        <f t="shared" si="29"/>
        <v/>
      </c>
      <c r="AE136" s="8" t="str">
        <f t="shared" si="30"/>
        <v/>
      </c>
      <c r="AF136" s="8" t="str">
        <f>IF(AE136="","",AE136+COUNTIF(AE$2:AE136,AE136)-1)</f>
        <v/>
      </c>
    </row>
    <row r="137" spans="3:42">
      <c r="C137" s="8" t="str">
        <f>IF(B137="","",COUNTIF(B$1:B136,B137)=0)</f>
        <v/>
      </c>
      <c r="D137" s="8" t="str">
        <f>IF(B137="","",IF(C137,COUNTIF(C$2:C137,TRUE),""))</f>
        <v/>
      </c>
      <c r="AC137" s="8" t="str">
        <f t="shared" si="29"/>
        <v/>
      </c>
      <c r="AE137" s="8" t="str">
        <f t="shared" si="30"/>
        <v/>
      </c>
      <c r="AF137" s="8" t="str">
        <f>IF(AE137="","",AE137+COUNTIF(AE$2:AE137,AE137)-1)</f>
        <v/>
      </c>
    </row>
    <row r="138" spans="3:42">
      <c r="C138" s="8" t="str">
        <f>IF(B138="","",COUNTIF(B$1:B137,B138)=0)</f>
        <v/>
      </c>
      <c r="D138" s="8" t="str">
        <f>IF(B138="","",IF(C138,COUNTIF(C$2:C138,TRUE),""))</f>
        <v/>
      </c>
      <c r="AC138" s="8" t="str">
        <f t="shared" si="29"/>
        <v/>
      </c>
      <c r="AE138" s="8" t="str">
        <f t="shared" si="30"/>
        <v/>
      </c>
      <c r="AF138" s="8" t="str">
        <f>IF(AE138="","",AE138+COUNTIF(AE$2:AE138,AE138)-1)</f>
        <v/>
      </c>
    </row>
    <row r="139" spans="3:42">
      <c r="C139" s="8" t="str">
        <f>IF(B139="","",COUNTIF(B$1:B138,B139)=0)</f>
        <v/>
      </c>
      <c r="D139" s="8" t="str">
        <f>IF(B139="","",IF(C139,COUNTIF(C$2:C139,TRUE),""))</f>
        <v/>
      </c>
      <c r="AC139" s="8" t="str">
        <f t="shared" si="29"/>
        <v/>
      </c>
      <c r="AE139" s="8" t="str">
        <f t="shared" si="30"/>
        <v/>
      </c>
      <c r="AF139" s="8" t="str">
        <f>IF(AE139="","",AE139+COUNTIF(AE$2:AE139,AE139)-1)</f>
        <v/>
      </c>
    </row>
    <row r="140" spans="3:42">
      <c r="C140" s="8" t="str">
        <f>IF(B140="","",COUNTIF(B$1:B139,B140)=0)</f>
        <v/>
      </c>
      <c r="D140" s="8" t="str">
        <f>IF(B140="","",IF(C140,COUNTIF(C$2:C140,TRUE),""))</f>
        <v/>
      </c>
      <c r="AC140" s="8" t="str">
        <f t="shared" si="29"/>
        <v/>
      </c>
      <c r="AE140" s="8" t="str">
        <f t="shared" si="30"/>
        <v/>
      </c>
      <c r="AF140" s="8" t="str">
        <f>IF(AE140="","",AE140+COUNTIF(AE$2:AE140,AE140)-1)</f>
        <v/>
      </c>
    </row>
    <row r="141" spans="3:42">
      <c r="C141" s="8" t="str">
        <f>IF(B141="","",COUNTIF(B$1:B140,B141)=0)</f>
        <v/>
      </c>
      <c r="D141" s="8" t="str">
        <f>IF(B141="","",IF(C141,COUNTIF(C$2:C141,TRUE),""))</f>
        <v/>
      </c>
      <c r="AC141" s="8" t="str">
        <f t="shared" si="29"/>
        <v/>
      </c>
      <c r="AE141" s="8" t="str">
        <f t="shared" si="30"/>
        <v/>
      </c>
      <c r="AF141" s="8" t="str">
        <f>IF(AE141="","",AE141+COUNTIF(AE$2:AE141,AE141)-1)</f>
        <v/>
      </c>
    </row>
    <row r="142" spans="3:42">
      <c r="C142" s="8" t="str">
        <f>IF(B142="","",COUNTIF(B$1:B141,B142)=0)</f>
        <v/>
      </c>
      <c r="D142" s="8" t="str">
        <f>IF(B142="","",IF(C142,COUNTIF(C$2:C142,TRUE),""))</f>
        <v/>
      </c>
      <c r="AC142" s="8" t="str">
        <f t="shared" si="29"/>
        <v/>
      </c>
      <c r="AE142" s="8" t="str">
        <f t="shared" si="30"/>
        <v/>
      </c>
      <c r="AF142" s="8" t="str">
        <f>IF(AE142="","",AE142+COUNTIF(AE$2:AE142,AE142)-1)</f>
        <v/>
      </c>
    </row>
    <row r="143" spans="3:42">
      <c r="C143" s="8" t="str">
        <f>IF(B143="","",COUNTIF(B$1:B142,B143)=0)</f>
        <v/>
      </c>
      <c r="D143" s="8" t="str">
        <f>IF(B143="","",IF(C143,COUNTIF(C$2:C143,TRUE),""))</f>
        <v/>
      </c>
      <c r="AC143" s="8" t="str">
        <f t="shared" si="29"/>
        <v/>
      </c>
      <c r="AE143" s="8" t="str">
        <f t="shared" si="30"/>
        <v/>
      </c>
      <c r="AF143" s="8" t="str">
        <f>IF(AE143="","",AE143+COUNTIF(AE$2:AE143,AE143)-1)</f>
        <v/>
      </c>
    </row>
    <row r="144" spans="3:42">
      <c r="C144" s="8" t="str">
        <f>IF(B144="","",COUNTIF(B$1:B143,B144)=0)</f>
        <v/>
      </c>
      <c r="D144" s="8" t="str">
        <f>IF(B144="","",IF(C144,COUNTIF(C$2:C144,TRUE),""))</f>
        <v/>
      </c>
      <c r="AC144" s="8" t="str">
        <f t="shared" si="29"/>
        <v/>
      </c>
      <c r="AE144" s="8" t="str">
        <f t="shared" si="30"/>
        <v/>
      </c>
      <c r="AF144" s="8" t="str">
        <f>IF(AE144="","",AE144+COUNTIF(AE$2:AE144,AE144)-1)</f>
        <v/>
      </c>
    </row>
    <row r="145" spans="3:32">
      <c r="C145" s="8" t="str">
        <f>IF(B145="","",COUNTIF(B$1:B144,B145)=0)</f>
        <v/>
      </c>
      <c r="D145" s="8" t="str">
        <f>IF(B145="","",IF(C145,COUNTIF(C$2:C145,TRUE),""))</f>
        <v/>
      </c>
      <c r="AC145" s="8" t="str">
        <f t="shared" si="29"/>
        <v/>
      </c>
      <c r="AE145" s="8" t="str">
        <f t="shared" si="30"/>
        <v/>
      </c>
      <c r="AF145" s="8" t="str">
        <f>IF(AE145="","",AE145+COUNTIF(AE$2:AE145,AE145)-1)</f>
        <v/>
      </c>
    </row>
    <row r="146" spans="3:32">
      <c r="C146" s="8" t="str">
        <f>IF(B146="","",COUNTIF(B$1:B145,B146)=0)</f>
        <v/>
      </c>
      <c r="D146" s="8" t="str">
        <f>IF(B146="","",IF(C146,COUNTIF(C$2:C146,TRUE),""))</f>
        <v/>
      </c>
      <c r="AC146" s="8" t="str">
        <f t="shared" si="29"/>
        <v/>
      </c>
      <c r="AE146" s="8" t="str">
        <f t="shared" si="30"/>
        <v/>
      </c>
      <c r="AF146" s="8" t="str">
        <f>IF(AE146="","",AE146+COUNTIF(AE$2:AE146,AE146)-1)</f>
        <v/>
      </c>
    </row>
    <row r="147" spans="3:32">
      <c r="C147" s="8" t="str">
        <f>IF(B147="","",COUNTIF(B$1:B146,B147)=0)</f>
        <v/>
      </c>
      <c r="D147" s="8" t="str">
        <f>IF(B147="","",IF(C147,COUNTIF(C$2:C147,TRUE),""))</f>
        <v/>
      </c>
      <c r="AC147" s="8" t="str">
        <f t="shared" si="29"/>
        <v/>
      </c>
      <c r="AE147" s="8" t="str">
        <f t="shared" si="30"/>
        <v/>
      </c>
      <c r="AF147" s="8" t="str">
        <f>IF(AE147="","",AE147+COUNTIF(AE$2:AE147,AE147)-1)</f>
        <v/>
      </c>
    </row>
    <row r="148" spans="3:32">
      <c r="C148" s="8" t="str">
        <f>IF(B148="","",COUNTIF(B$1:B147,B148)=0)</f>
        <v/>
      </c>
      <c r="D148" s="8" t="str">
        <f>IF(B148="","",IF(C148,COUNTIF(C$2:C148,TRUE),""))</f>
        <v/>
      </c>
      <c r="AC148" s="8" t="str">
        <f t="shared" si="29"/>
        <v/>
      </c>
      <c r="AE148" s="8" t="str">
        <f t="shared" si="30"/>
        <v/>
      </c>
      <c r="AF148" s="8" t="str">
        <f>IF(AE148="","",AE148+COUNTIF(AE$2:AE148,AE148)-1)</f>
        <v/>
      </c>
    </row>
    <row r="149" spans="3:32">
      <c r="C149" s="8" t="str">
        <f>IF(B149="","",COUNTIF(B$1:B148,B149)=0)</f>
        <v/>
      </c>
      <c r="D149" s="8" t="str">
        <f>IF(B149="","",IF(C149,COUNTIF(C$2:C149,TRUE),""))</f>
        <v/>
      </c>
      <c r="AC149" s="8" t="str">
        <f t="shared" si="29"/>
        <v/>
      </c>
      <c r="AE149" s="8" t="str">
        <f t="shared" si="30"/>
        <v/>
      </c>
      <c r="AF149" s="8" t="str">
        <f>IF(AE149="","",AE149+COUNTIF(AE$2:AE149,AE149)-1)</f>
        <v/>
      </c>
    </row>
    <row r="150" spans="3:32">
      <c r="C150" s="8" t="str">
        <f>IF(B150="","",COUNTIF(B$1:B149,B150)=0)</f>
        <v/>
      </c>
      <c r="D150" s="8" t="str">
        <f>IF(B150="","",IF(C150,COUNTIF(C$2:C150,TRUE),""))</f>
        <v/>
      </c>
      <c r="AC150" s="8" t="str">
        <f t="shared" si="29"/>
        <v/>
      </c>
      <c r="AE150" s="8" t="str">
        <f t="shared" si="30"/>
        <v/>
      </c>
      <c r="AF150" s="8" t="str">
        <f>IF(AE150="","",AE150+COUNTIF(AE$2:AE150,AE150)-1)</f>
        <v/>
      </c>
    </row>
    <row r="151" spans="3:32">
      <c r="C151" s="8" t="str">
        <f>IF(B151="","",COUNTIF(B$1:B150,B151)=0)</f>
        <v/>
      </c>
      <c r="D151" s="8" t="str">
        <f>IF(B151="","",IF(C151,COUNTIF(C$2:C151,TRUE),""))</f>
        <v/>
      </c>
      <c r="AC151" s="8" t="str">
        <f t="shared" si="29"/>
        <v/>
      </c>
      <c r="AE151" s="8" t="str">
        <f t="shared" si="30"/>
        <v/>
      </c>
      <c r="AF151" s="8" t="str">
        <f>IF(AE151="","",AE151+COUNTIF(AE$2:AE151,AE151)-1)</f>
        <v/>
      </c>
    </row>
    <row r="152" spans="3:32">
      <c r="C152" s="8" t="str">
        <f>IF(B152="","",COUNTIF(B$1:B151,B152)=0)</f>
        <v/>
      </c>
      <c r="D152" s="8" t="str">
        <f>IF(B152="","",IF(C152,COUNTIF(C$2:C152,TRUE),""))</f>
        <v/>
      </c>
      <c r="AC152" s="8" t="str">
        <f t="shared" si="29"/>
        <v/>
      </c>
      <c r="AE152" s="8" t="str">
        <f t="shared" si="30"/>
        <v/>
      </c>
      <c r="AF152" s="8" t="str">
        <f>IF(AE152="","",AE152+COUNTIF(AE$2:AE152,AE152)-1)</f>
        <v/>
      </c>
    </row>
    <row r="153" spans="3:32">
      <c r="C153" s="8" t="str">
        <f>IF(B153="","",COUNTIF(B$1:B152,B153)=0)</f>
        <v/>
      </c>
      <c r="D153" s="8" t="str">
        <f>IF(B153="","",IF(C153,COUNTIF(C$2:C153,TRUE),""))</f>
        <v/>
      </c>
      <c r="AC153" s="8" t="str">
        <f t="shared" si="29"/>
        <v/>
      </c>
      <c r="AE153" s="8" t="str">
        <f t="shared" si="30"/>
        <v/>
      </c>
      <c r="AF153" s="8" t="str">
        <f>IF(AE153="","",AE153+COUNTIF(AE$2:AE153,AE153)-1)</f>
        <v/>
      </c>
    </row>
    <row r="154" spans="3:32">
      <c r="C154" s="8" t="str">
        <f>IF(B154="","",COUNTIF(B$1:B153,B154)=0)</f>
        <v/>
      </c>
      <c r="D154" s="8" t="str">
        <f>IF(B154="","",IF(C154,COUNTIF(C$2:C154,TRUE),""))</f>
        <v/>
      </c>
      <c r="AC154" s="8" t="str">
        <f t="shared" si="29"/>
        <v/>
      </c>
      <c r="AE154" s="8" t="str">
        <f t="shared" si="30"/>
        <v/>
      </c>
      <c r="AF154" s="8" t="str">
        <f>IF(AE154="","",AE154+COUNTIF(AE$2:AE154,AE154)-1)</f>
        <v/>
      </c>
    </row>
    <row r="155" spans="3:32">
      <c r="C155" s="8" t="str">
        <f>IF(B155="","",COUNTIF(B$1:B154,B155)=0)</f>
        <v/>
      </c>
      <c r="D155" s="8" t="str">
        <f>IF(B155="","",IF(C155,COUNTIF(C$2:C155,TRUE),""))</f>
        <v/>
      </c>
      <c r="AC155" s="8" t="str">
        <f t="shared" si="29"/>
        <v/>
      </c>
      <c r="AE155" s="8" t="str">
        <f t="shared" si="30"/>
        <v/>
      </c>
      <c r="AF155" s="8" t="str">
        <f>IF(AE155="","",AE155+COUNTIF(AE$2:AE155,AE155)-1)</f>
        <v/>
      </c>
    </row>
    <row r="156" spans="3:32">
      <c r="C156" s="8" t="str">
        <f>IF(B156="","",COUNTIF(B$1:B155,B156)=0)</f>
        <v/>
      </c>
      <c r="D156" s="8" t="str">
        <f>IF(B156="","",IF(C156,COUNTIF(C$2:C156,TRUE),""))</f>
        <v/>
      </c>
      <c r="AC156" s="8" t="str">
        <f t="shared" si="29"/>
        <v/>
      </c>
      <c r="AE156" s="8" t="str">
        <f t="shared" si="30"/>
        <v/>
      </c>
      <c r="AF156" s="8" t="str">
        <f>IF(AE156="","",AE156+COUNTIF(AE$2:AE156,AE156)-1)</f>
        <v/>
      </c>
    </row>
    <row r="157" spans="3:32">
      <c r="C157" s="8" t="str">
        <f>IF(B157="","",COUNTIF(B$1:B156,B157)=0)</f>
        <v/>
      </c>
      <c r="D157" s="8" t="str">
        <f>IF(B157="","",IF(C157,COUNTIF(C$2:C157,TRUE),""))</f>
        <v/>
      </c>
      <c r="AC157" s="8" t="str">
        <f t="shared" si="29"/>
        <v/>
      </c>
      <c r="AE157" s="8" t="str">
        <f t="shared" si="30"/>
        <v/>
      </c>
      <c r="AF157" s="8" t="str">
        <f>IF(AE157="","",AE157+COUNTIF(AE$2:AE157,AE157)-1)</f>
        <v/>
      </c>
    </row>
    <row r="158" spans="3:32">
      <c r="C158" s="8" t="str">
        <f>IF(B158="","",COUNTIF(B$1:B157,B158)=0)</f>
        <v/>
      </c>
      <c r="D158" s="8" t="str">
        <f>IF(B158="","",IF(C158,COUNTIF(C$2:C158,TRUE),""))</f>
        <v/>
      </c>
      <c r="AC158" s="8" t="str">
        <f t="shared" si="29"/>
        <v/>
      </c>
      <c r="AE158" s="8" t="str">
        <f t="shared" si="30"/>
        <v/>
      </c>
      <c r="AF158" s="8" t="str">
        <f>IF(AE158="","",AE158+COUNTIF(AE$2:AE158,AE158)-1)</f>
        <v/>
      </c>
    </row>
    <row r="159" spans="3:32">
      <c r="C159" s="8" t="str">
        <f>IF(B159="","",COUNTIF(B$1:B158,B159)=0)</f>
        <v/>
      </c>
      <c r="D159" s="8" t="str">
        <f>IF(B159="","",IF(C159,COUNTIF(C$2:C159,TRUE),""))</f>
        <v/>
      </c>
      <c r="AC159" s="8" t="str">
        <f t="shared" si="29"/>
        <v/>
      </c>
      <c r="AE159" s="8" t="str">
        <f t="shared" si="30"/>
        <v/>
      </c>
      <c r="AF159" s="8" t="str">
        <f>IF(AE159="","",AE159+COUNTIF(AE$2:AE159,AE159)-1)</f>
        <v/>
      </c>
    </row>
    <row r="160" spans="3:32">
      <c r="C160" s="8" t="str">
        <f>IF(B160="","",COUNTIF(B$1:B159,B160)=0)</f>
        <v/>
      </c>
      <c r="D160" s="8" t="str">
        <f>IF(B160="","",IF(C160,COUNTIF(C$2:C160,TRUE),""))</f>
        <v/>
      </c>
      <c r="AC160" s="8" t="str">
        <f t="shared" si="29"/>
        <v/>
      </c>
      <c r="AE160" s="8" t="str">
        <f t="shared" si="30"/>
        <v/>
      </c>
      <c r="AF160" s="8" t="str">
        <f>IF(AE160="","",AE160+COUNTIF(AE$2:AE160,AE160)-1)</f>
        <v/>
      </c>
    </row>
    <row r="161" spans="3:32">
      <c r="C161" s="8" t="str">
        <f>IF(B161="","",COUNTIF(B$1:B160,B161)=0)</f>
        <v/>
      </c>
      <c r="D161" s="8" t="str">
        <f>IF(B161="","",IF(C161,COUNTIF(C$2:C161,TRUE),""))</f>
        <v/>
      </c>
      <c r="AC161" s="8" t="str">
        <f t="shared" si="29"/>
        <v/>
      </c>
      <c r="AE161" s="8" t="str">
        <f t="shared" si="30"/>
        <v/>
      </c>
      <c r="AF161" s="8" t="str">
        <f>IF(AE161="","",AE161+COUNTIF(AE$2:AE161,AE161)-1)</f>
        <v/>
      </c>
    </row>
    <row r="162" spans="3:32">
      <c r="C162" s="8" t="str">
        <f>IF(B162="","",COUNTIF(B$1:B161,B162)=0)</f>
        <v/>
      </c>
      <c r="D162" s="8" t="str">
        <f>IF(B162="","",IF(C162,COUNTIF(C$2:C162,TRUE),""))</f>
        <v/>
      </c>
      <c r="AC162" s="8" t="str">
        <f t="shared" si="29"/>
        <v/>
      </c>
      <c r="AE162" s="8" t="str">
        <f t="shared" si="30"/>
        <v/>
      </c>
      <c r="AF162" s="8" t="str">
        <f>IF(AE162="","",AE162+COUNTIF(AE$2:AE162,AE162)-1)</f>
        <v/>
      </c>
    </row>
    <row r="163" spans="3:32">
      <c r="C163" s="8" t="str">
        <f>IF(B163="","",COUNTIF(B$1:B162,B163)=0)</f>
        <v/>
      </c>
      <c r="D163" s="8" t="str">
        <f>IF(B163="","",IF(C163,COUNTIF(C$2:C163,TRUE),""))</f>
        <v/>
      </c>
      <c r="AC163" s="8" t="str">
        <f t="shared" si="29"/>
        <v/>
      </c>
      <c r="AE163" s="8" t="str">
        <f t="shared" si="30"/>
        <v/>
      </c>
      <c r="AF163" s="8" t="str">
        <f>IF(AE163="","",AE163+COUNTIF(AE$2:AE163,AE163)-1)</f>
        <v/>
      </c>
    </row>
    <row r="164" spans="3:32">
      <c r="C164" s="8" t="str">
        <f>IF(B164="","",COUNTIF(B$1:B163,B164)=0)</f>
        <v/>
      </c>
      <c r="D164" s="8" t="str">
        <f>IF(B164="","",IF(C164,COUNTIF(C$2:C164,TRUE),""))</f>
        <v/>
      </c>
      <c r="AC164" s="8" t="str">
        <f t="shared" si="29"/>
        <v/>
      </c>
      <c r="AE164" s="8" t="str">
        <f t="shared" si="30"/>
        <v/>
      </c>
      <c r="AF164" s="8" t="str">
        <f>IF(AE164="","",AE164+COUNTIF(AE$2:AE164,AE164)-1)</f>
        <v/>
      </c>
    </row>
    <row r="165" spans="3:32">
      <c r="C165" s="8" t="str">
        <f>IF(B165="","",COUNTIF(B$1:B164,B165)=0)</f>
        <v/>
      </c>
      <c r="D165" s="8" t="str">
        <f>IF(B165="","",IF(C165,COUNTIF(C$2:C165,TRUE),""))</f>
        <v/>
      </c>
      <c r="AC165" s="8" t="str">
        <f t="shared" si="29"/>
        <v/>
      </c>
      <c r="AE165" s="8" t="str">
        <f t="shared" si="30"/>
        <v/>
      </c>
      <c r="AF165" s="8" t="str">
        <f>IF(AE165="","",AE165+COUNTIF(AE$2:AE165,AE165)-1)</f>
        <v/>
      </c>
    </row>
    <row r="166" spans="3:32">
      <c r="C166" s="8" t="str">
        <f>IF(B166="","",COUNTIF(B$1:B165,B166)=0)</f>
        <v/>
      </c>
      <c r="D166" s="8" t="str">
        <f>IF(B166="","",IF(C166,COUNTIF(C$2:C166,TRUE),""))</f>
        <v/>
      </c>
      <c r="AC166" s="8" t="str">
        <f t="shared" si="29"/>
        <v/>
      </c>
      <c r="AE166" s="8" t="str">
        <f t="shared" si="30"/>
        <v/>
      </c>
      <c r="AF166" s="8" t="str">
        <f>IF(AE166="","",AE166+COUNTIF(AE$2:AE166,AE166)-1)</f>
        <v/>
      </c>
    </row>
    <row r="167" spans="3:32">
      <c r="C167" s="8" t="str">
        <f>IF(B167="","",COUNTIF(B$1:B166,B167)=0)</f>
        <v/>
      </c>
      <c r="D167" s="8" t="str">
        <f>IF(B167="","",IF(C167,COUNTIF(C$2:C167,TRUE),""))</f>
        <v/>
      </c>
      <c r="AC167" s="8" t="str">
        <f t="shared" ref="AC167:AC230" si="31">IF(ISBLANK(AB167),"",COUNTIF(Z:Z,AB167))</f>
        <v/>
      </c>
      <c r="AE167" s="8" t="str">
        <f t="shared" si="30"/>
        <v/>
      </c>
      <c r="AF167" s="8" t="str">
        <f>IF(AE167="","",AE167+COUNTIF(AE$2:AE167,AE167)-1)</f>
        <v/>
      </c>
    </row>
    <row r="168" spans="3:32">
      <c r="C168" s="8" t="str">
        <f>IF(B168="","",COUNTIF(B$1:B167,B168)=0)</f>
        <v/>
      </c>
      <c r="D168" s="8" t="str">
        <f>IF(B168="","",IF(C168,COUNTIF(C$2:C168,TRUE),""))</f>
        <v/>
      </c>
      <c r="AC168" s="8" t="str">
        <f t="shared" si="31"/>
        <v/>
      </c>
      <c r="AE168" s="8" t="str">
        <f t="shared" si="30"/>
        <v/>
      </c>
      <c r="AF168" s="8" t="str">
        <f>IF(AE168="","",AE168+COUNTIF(AE$2:AE168,AE168)-1)</f>
        <v/>
      </c>
    </row>
    <row r="169" spans="3:32">
      <c r="C169" s="8" t="str">
        <f>IF(B169="","",COUNTIF(B$1:B168,B169)=0)</f>
        <v/>
      </c>
      <c r="D169" s="8" t="str">
        <f>IF(B169="","",IF(C169,COUNTIF(C$2:C169,TRUE),""))</f>
        <v/>
      </c>
      <c r="AC169" s="8" t="str">
        <f t="shared" si="31"/>
        <v/>
      </c>
      <c r="AE169" s="8" t="str">
        <f t="shared" si="30"/>
        <v/>
      </c>
      <c r="AF169" s="8" t="str">
        <f>IF(AE169="","",AE169+COUNTIF(AE$2:AE169,AE169)-1)</f>
        <v/>
      </c>
    </row>
    <row r="170" spans="3:32">
      <c r="C170" s="8" t="str">
        <f>IF(B170="","",COUNTIF(B$1:B169,B170)=0)</f>
        <v/>
      </c>
      <c r="D170" s="8" t="str">
        <f>IF(B170="","",IF(C170,COUNTIF(C$2:C170,TRUE),""))</f>
        <v/>
      </c>
      <c r="AC170" s="8" t="str">
        <f t="shared" si="31"/>
        <v/>
      </c>
      <c r="AE170" s="8" t="str">
        <f t="shared" si="30"/>
        <v/>
      </c>
      <c r="AF170" s="8" t="str">
        <f>IF(AE170="","",AE170+COUNTIF(AE$2:AE170,AE170)-1)</f>
        <v/>
      </c>
    </row>
    <row r="171" spans="3:32">
      <c r="C171" s="8" t="str">
        <f>IF(B171="","",COUNTIF(B$1:B170,B171)=0)</f>
        <v/>
      </c>
      <c r="D171" s="8" t="str">
        <f>IF(B171="","",IF(C171,COUNTIF(C$2:C171,TRUE),""))</f>
        <v/>
      </c>
      <c r="AC171" s="8" t="str">
        <f t="shared" si="31"/>
        <v/>
      </c>
      <c r="AE171" s="8" t="str">
        <f t="shared" si="30"/>
        <v/>
      </c>
      <c r="AF171" s="8" t="str">
        <f>IF(AE171="","",AE171+COUNTIF(AE$2:AE171,AE171)-1)</f>
        <v/>
      </c>
    </row>
    <row r="172" spans="3:32">
      <c r="C172" s="8" t="str">
        <f>IF(B172="","",COUNTIF(B$1:B171,B172)=0)</f>
        <v/>
      </c>
      <c r="D172" s="8" t="str">
        <f>IF(B172="","",IF(C172,COUNTIF(C$2:C172,TRUE),""))</f>
        <v/>
      </c>
      <c r="AC172" s="8" t="str">
        <f t="shared" si="31"/>
        <v/>
      </c>
      <c r="AE172" s="8" t="str">
        <f t="shared" si="30"/>
        <v/>
      </c>
      <c r="AF172" s="8" t="str">
        <f>IF(AE172="","",AE172+COUNTIF(AE$2:AE172,AE172)-1)</f>
        <v/>
      </c>
    </row>
    <row r="173" spans="3:32">
      <c r="C173" s="8" t="str">
        <f>IF(B173="","",COUNTIF(B$1:B172,B173)=0)</f>
        <v/>
      </c>
      <c r="D173" s="8" t="str">
        <f>IF(B173="","",IF(C173,COUNTIF(C$2:C173,TRUE),""))</f>
        <v/>
      </c>
      <c r="AC173" s="8" t="str">
        <f t="shared" si="31"/>
        <v/>
      </c>
      <c r="AE173" s="8" t="str">
        <f t="shared" si="30"/>
        <v/>
      </c>
      <c r="AF173" s="8" t="str">
        <f>IF(AE173="","",AE173+COUNTIF(AE$2:AE173,AE173)-1)</f>
        <v/>
      </c>
    </row>
    <row r="174" spans="3:32">
      <c r="C174" s="8" t="str">
        <f>IF(B174="","",COUNTIF(B$1:B173,B174)=0)</f>
        <v/>
      </c>
      <c r="D174" s="8" t="str">
        <f>IF(B174="","",IF(C174,COUNTIF(C$2:C174,TRUE),""))</f>
        <v/>
      </c>
      <c r="AC174" s="8" t="str">
        <f t="shared" si="31"/>
        <v/>
      </c>
      <c r="AE174" s="8" t="str">
        <f t="shared" si="30"/>
        <v/>
      </c>
      <c r="AF174" s="8" t="str">
        <f>IF(AE174="","",AE174+COUNTIF(AE$2:AE174,AE174)-1)</f>
        <v/>
      </c>
    </row>
    <row r="175" spans="3:32">
      <c r="C175" s="8" t="str">
        <f>IF(B175="","",COUNTIF(B$1:B174,B175)=0)</f>
        <v/>
      </c>
      <c r="D175" s="8" t="str">
        <f>IF(B175="","",IF(C175,COUNTIF(C$2:C175,TRUE),""))</f>
        <v/>
      </c>
      <c r="AC175" s="8" t="str">
        <f t="shared" si="31"/>
        <v/>
      </c>
      <c r="AE175" s="8" t="str">
        <f t="shared" si="30"/>
        <v/>
      </c>
      <c r="AF175" s="8" t="str">
        <f>IF(AE175="","",AE175+COUNTIF(AE$2:AE175,AE175)-1)</f>
        <v/>
      </c>
    </row>
    <row r="176" spans="3:32">
      <c r="C176" s="8" t="str">
        <f>IF(B176="","",COUNTIF(B$1:B175,B176)=0)</f>
        <v/>
      </c>
      <c r="D176" s="8" t="str">
        <f>IF(B176="","",IF(C176,COUNTIF(C$2:C176,TRUE),""))</f>
        <v/>
      </c>
      <c r="AC176" s="8" t="str">
        <f t="shared" si="31"/>
        <v/>
      </c>
      <c r="AE176" s="8" t="str">
        <f t="shared" si="30"/>
        <v/>
      </c>
      <c r="AF176" s="8" t="str">
        <f>IF(AE176="","",AE176+COUNTIF(AE$2:AE176,AE176)-1)</f>
        <v/>
      </c>
    </row>
    <row r="177" spans="3:32">
      <c r="C177" s="8" t="str">
        <f>IF(B177="","",COUNTIF(B$1:B176,B177)=0)</f>
        <v/>
      </c>
      <c r="D177" s="8" t="str">
        <f>IF(B177="","",IF(C177,COUNTIF(C$2:C177,TRUE),""))</f>
        <v/>
      </c>
      <c r="AC177" s="8" t="str">
        <f t="shared" si="31"/>
        <v/>
      </c>
      <c r="AE177" s="8" t="str">
        <f t="shared" si="30"/>
        <v/>
      </c>
      <c r="AF177" s="8" t="str">
        <f>IF(AE177="","",AE177+COUNTIF(AE$2:AE177,AE177)-1)</f>
        <v/>
      </c>
    </row>
    <row r="178" spans="3:32">
      <c r="C178" s="8" t="str">
        <f>IF(B178="","",COUNTIF(B$1:B177,B178)=0)</f>
        <v/>
      </c>
      <c r="D178" s="8" t="str">
        <f>IF(B178="","",IF(C178,COUNTIF(C$2:C178,TRUE),""))</f>
        <v/>
      </c>
      <c r="AC178" s="8" t="str">
        <f t="shared" si="31"/>
        <v/>
      </c>
      <c r="AE178" s="8" t="str">
        <f t="shared" si="30"/>
        <v/>
      </c>
      <c r="AF178" s="8" t="str">
        <f>IF(AE178="","",AE178+COUNTIF(AE$2:AE178,AE178)-1)</f>
        <v/>
      </c>
    </row>
    <row r="179" spans="3:32">
      <c r="C179" s="8" t="str">
        <f>IF(B179="","",COUNTIF(B$1:B178,B179)=0)</f>
        <v/>
      </c>
      <c r="D179" s="8" t="str">
        <f>IF(B179="","",IF(C179,COUNTIF(C$2:C179,TRUE),""))</f>
        <v/>
      </c>
      <c r="AC179" s="8" t="str">
        <f t="shared" si="31"/>
        <v/>
      </c>
      <c r="AE179" s="8" t="str">
        <f t="shared" si="30"/>
        <v/>
      </c>
      <c r="AF179" s="8" t="str">
        <f>IF(AE179="","",AE179+COUNTIF(AE$2:AE179,AE179)-1)</f>
        <v/>
      </c>
    </row>
    <row r="180" spans="3:32">
      <c r="C180" s="8" t="str">
        <f>IF(B180="","",COUNTIF(B$1:B179,B180)=0)</f>
        <v/>
      </c>
      <c r="D180" s="8" t="str">
        <f>IF(B180="","",IF(C180,COUNTIF(C$2:C180,TRUE),""))</f>
        <v/>
      </c>
      <c r="AC180" s="8" t="str">
        <f t="shared" si="31"/>
        <v/>
      </c>
      <c r="AE180" s="8" t="str">
        <f t="shared" si="30"/>
        <v/>
      </c>
      <c r="AF180" s="8" t="str">
        <f>IF(AE180="","",AE180+COUNTIF(AE$2:AE180,AE180)-1)</f>
        <v/>
      </c>
    </row>
    <row r="181" spans="3:32">
      <c r="C181" s="8" t="str">
        <f>IF(B181="","",COUNTIF(B$1:B180,B181)=0)</f>
        <v/>
      </c>
      <c r="D181" s="8" t="str">
        <f>IF(B181="","",IF(C181,COUNTIF(C$2:C181,TRUE),""))</f>
        <v/>
      </c>
      <c r="AC181" s="8" t="str">
        <f t="shared" si="31"/>
        <v/>
      </c>
      <c r="AE181" s="8" t="str">
        <f t="shared" si="30"/>
        <v/>
      </c>
      <c r="AF181" s="8" t="str">
        <f>IF(AE181="","",AE181+COUNTIF(AE$2:AE181,AE181)-1)</f>
        <v/>
      </c>
    </row>
    <row r="182" spans="3:32">
      <c r="C182" s="8" t="str">
        <f>IF(B182="","",COUNTIF(B$1:B181,B182)=0)</f>
        <v/>
      </c>
      <c r="D182" s="8" t="str">
        <f>IF(B182="","",IF(C182,COUNTIF(C$2:C182,TRUE),""))</f>
        <v/>
      </c>
      <c r="AC182" s="8" t="str">
        <f t="shared" si="31"/>
        <v/>
      </c>
      <c r="AE182" s="8" t="str">
        <f t="shared" si="30"/>
        <v/>
      </c>
      <c r="AF182" s="8" t="str">
        <f>IF(AE182="","",AE182+COUNTIF(AE$2:AE182,AE182)-1)</f>
        <v/>
      </c>
    </row>
    <row r="183" spans="3:32">
      <c r="C183" s="8" t="str">
        <f>IF(B183="","",COUNTIF(B$1:B182,B183)=0)</f>
        <v/>
      </c>
      <c r="D183" s="8" t="str">
        <f>IF(B183="","",IF(C183,COUNTIF(C$2:C183,TRUE),""))</f>
        <v/>
      </c>
      <c r="AC183" s="8" t="str">
        <f t="shared" si="31"/>
        <v/>
      </c>
      <c r="AE183" s="8" t="str">
        <f t="shared" si="30"/>
        <v/>
      </c>
      <c r="AF183" s="8" t="str">
        <f>IF(AE183="","",AE183+COUNTIF(AE$2:AE183,AE183)-1)</f>
        <v/>
      </c>
    </row>
    <row r="184" spans="3:32">
      <c r="C184" s="8" t="str">
        <f>IF(B184="","",COUNTIF(B$1:B183,B184)=0)</f>
        <v/>
      </c>
      <c r="D184" s="8" t="str">
        <f>IF(B184="","",IF(C184,COUNTIF(C$2:C184,TRUE),""))</f>
        <v/>
      </c>
      <c r="AC184" s="8" t="str">
        <f t="shared" si="31"/>
        <v/>
      </c>
      <c r="AE184" s="8" t="str">
        <f t="shared" si="30"/>
        <v/>
      </c>
      <c r="AF184" s="8" t="str">
        <f>IF(AE184="","",AE184+COUNTIF(AE$2:AE184,AE184)-1)</f>
        <v/>
      </c>
    </row>
    <row r="185" spans="3:32">
      <c r="C185" s="8" t="str">
        <f>IF(B185="","",COUNTIF(B$1:B184,B185)=0)</f>
        <v/>
      </c>
      <c r="D185" s="8" t="str">
        <f>IF(B185="","",IF(C185,COUNTIF(C$2:C185,TRUE),""))</f>
        <v/>
      </c>
      <c r="AC185" s="8" t="str">
        <f t="shared" si="31"/>
        <v/>
      </c>
      <c r="AE185" s="8" t="str">
        <f t="shared" si="30"/>
        <v/>
      </c>
      <c r="AF185" s="8" t="str">
        <f>IF(AE185="","",AE185+COUNTIF(AE$2:AE185,AE185)-1)</f>
        <v/>
      </c>
    </row>
    <row r="186" spans="3:32">
      <c r="C186" s="8" t="str">
        <f>IF(B186="","",COUNTIF(B$1:B185,B186)=0)</f>
        <v/>
      </c>
      <c r="D186" s="8" t="str">
        <f>IF(B186="","",IF(C186,COUNTIF(C$2:C186,TRUE),""))</f>
        <v/>
      </c>
      <c r="AC186" s="8" t="str">
        <f t="shared" si="31"/>
        <v/>
      </c>
      <c r="AE186" s="8" t="str">
        <f t="shared" si="30"/>
        <v/>
      </c>
      <c r="AF186" s="8" t="str">
        <f>IF(AE186="","",AE186+COUNTIF(AE$2:AE186,AE186)-1)</f>
        <v/>
      </c>
    </row>
    <row r="187" spans="3:32">
      <c r="C187" s="8" t="str">
        <f>IF(B187="","",COUNTIF(B$1:B186,B187)=0)</f>
        <v/>
      </c>
      <c r="D187" s="8" t="str">
        <f>IF(B187="","",IF(C187,COUNTIF(C$2:C187,TRUE),""))</f>
        <v/>
      </c>
      <c r="AC187" s="8" t="str">
        <f t="shared" si="31"/>
        <v/>
      </c>
      <c r="AE187" s="8" t="str">
        <f t="shared" si="30"/>
        <v/>
      </c>
      <c r="AF187" s="8" t="str">
        <f>IF(AE187="","",AE187+COUNTIF(AE$2:AE187,AE187)-1)</f>
        <v/>
      </c>
    </row>
    <row r="188" spans="3:32">
      <c r="C188" s="8" t="str">
        <f>IF(B188="","",COUNTIF(B$1:B187,B188)=0)</f>
        <v/>
      </c>
      <c r="D188" s="8" t="str">
        <f>IF(B188="","",IF(C188,COUNTIF(C$2:C188,TRUE),""))</f>
        <v/>
      </c>
      <c r="AC188" s="8" t="str">
        <f t="shared" si="31"/>
        <v/>
      </c>
      <c r="AE188" s="8" t="str">
        <f t="shared" si="30"/>
        <v/>
      </c>
      <c r="AF188" s="8" t="str">
        <f>IF(AE188="","",AE188+COUNTIF(AE$2:AE188,AE188)-1)</f>
        <v/>
      </c>
    </row>
    <row r="189" spans="3:32">
      <c r="C189" s="8" t="str">
        <f>IF(B189="","",COUNTIF(B$1:B188,B189)=0)</f>
        <v/>
      </c>
      <c r="D189" s="8" t="str">
        <f>IF(B189="","",IF(C189,COUNTIF(C$2:C189,TRUE),""))</f>
        <v/>
      </c>
      <c r="AC189" s="8" t="str">
        <f t="shared" si="31"/>
        <v/>
      </c>
      <c r="AE189" s="8" t="str">
        <f t="shared" si="30"/>
        <v/>
      </c>
      <c r="AF189" s="8" t="str">
        <f>IF(AE189="","",AE189+COUNTIF(AE$2:AE189,AE189)-1)</f>
        <v/>
      </c>
    </row>
    <row r="190" spans="3:32">
      <c r="C190" s="8" t="str">
        <f>IF(B190="","",COUNTIF(B$1:B189,B190)=0)</f>
        <v/>
      </c>
      <c r="D190" s="8" t="str">
        <f>IF(B190="","",IF(C190,COUNTIF(C$2:C190,TRUE),""))</f>
        <v/>
      </c>
      <c r="AC190" s="8" t="str">
        <f t="shared" si="31"/>
        <v/>
      </c>
      <c r="AE190" s="8" t="str">
        <f t="shared" si="30"/>
        <v/>
      </c>
      <c r="AF190" s="8" t="str">
        <f>IF(AE190="","",AE190+COUNTIF(AE$2:AE190,AE190)-1)</f>
        <v/>
      </c>
    </row>
    <row r="191" spans="3:32">
      <c r="C191" s="8" t="str">
        <f>IF(B191="","",COUNTIF(B$1:B190,B191)=0)</f>
        <v/>
      </c>
      <c r="D191" s="8" t="str">
        <f>IF(B191="","",IF(C191,COUNTIF(C$2:C191,TRUE),""))</f>
        <v/>
      </c>
      <c r="AC191" s="8" t="str">
        <f t="shared" si="31"/>
        <v/>
      </c>
      <c r="AE191" s="8" t="str">
        <f t="shared" si="30"/>
        <v/>
      </c>
      <c r="AF191" s="8" t="str">
        <f>IF(AE191="","",AE191+COUNTIF(AE$2:AE191,AE191)-1)</f>
        <v/>
      </c>
    </row>
    <row r="192" spans="3:32">
      <c r="C192" s="8" t="str">
        <f>IF(B192="","",COUNTIF(B$1:B191,B192)=0)</f>
        <v/>
      </c>
      <c r="D192" s="8" t="str">
        <f>IF(B192="","",IF(C192,COUNTIF(C$2:C192,TRUE),""))</f>
        <v/>
      </c>
      <c r="AC192" s="8" t="str">
        <f t="shared" si="31"/>
        <v/>
      </c>
      <c r="AE192" s="8" t="str">
        <f t="shared" si="30"/>
        <v/>
      </c>
      <c r="AF192" s="8" t="str">
        <f>IF(AE192="","",AE192+COUNTIF(AE$2:AE192,AE192)-1)</f>
        <v/>
      </c>
    </row>
    <row r="193" spans="3:32">
      <c r="C193" s="8" t="str">
        <f>IF(B193="","",COUNTIF(B$1:B192,B193)=0)</f>
        <v/>
      </c>
      <c r="D193" s="8" t="str">
        <f>IF(B193="","",IF(C193,COUNTIF(C$2:C193,TRUE),""))</f>
        <v/>
      </c>
      <c r="AC193" s="8" t="str">
        <f t="shared" si="31"/>
        <v/>
      </c>
      <c r="AE193" s="8" t="str">
        <f t="shared" si="30"/>
        <v/>
      </c>
      <c r="AF193" s="8" t="str">
        <f>IF(AE193="","",AE193+COUNTIF(AE$2:AE193,AE193)-1)</f>
        <v/>
      </c>
    </row>
    <row r="194" spans="3:32">
      <c r="C194" s="8" t="str">
        <f>IF(B194="","",COUNTIF(B$1:B193,B194)=0)</f>
        <v/>
      </c>
      <c r="D194" s="8" t="str">
        <f>IF(B194="","",IF(C194,COUNTIF(C$2:C194,TRUE),""))</f>
        <v/>
      </c>
      <c r="AC194" s="8" t="str">
        <f t="shared" si="31"/>
        <v/>
      </c>
      <c r="AE194" s="8" t="str">
        <f t="shared" ref="AE194:AE255" si="32">IF(ISBLANK(AD194),"",RANK(AD194,AD$2:AD$256,0))</f>
        <v/>
      </c>
      <c r="AF194" s="8" t="str">
        <f>IF(AE194="","",AE194+COUNTIF(AE$2:AE194,AE194)-1)</f>
        <v/>
      </c>
    </row>
    <row r="195" spans="3:32">
      <c r="C195" s="8" t="str">
        <f>IF(B195="","",COUNTIF(B$1:B194,B195)=0)</f>
        <v/>
      </c>
      <c r="D195" s="8" t="str">
        <f>IF(B195="","",IF(C195,COUNTIF(C$2:C195,TRUE),""))</f>
        <v/>
      </c>
      <c r="AC195" s="8" t="str">
        <f t="shared" si="31"/>
        <v/>
      </c>
      <c r="AE195" s="8" t="str">
        <f t="shared" si="32"/>
        <v/>
      </c>
      <c r="AF195" s="8" t="str">
        <f>IF(AE195="","",AE195+COUNTIF(AE$2:AE195,AE195)-1)</f>
        <v/>
      </c>
    </row>
    <row r="196" spans="3:32">
      <c r="C196" s="8" t="str">
        <f>IF(B196="","",COUNTIF(B$1:B195,B196)=0)</f>
        <v/>
      </c>
      <c r="D196" s="8" t="str">
        <f>IF(B196="","",IF(C196,COUNTIF(C$2:C196,TRUE),""))</f>
        <v/>
      </c>
      <c r="AC196" s="8" t="str">
        <f t="shared" si="31"/>
        <v/>
      </c>
      <c r="AE196" s="8" t="str">
        <f t="shared" si="32"/>
        <v/>
      </c>
      <c r="AF196" s="8" t="str">
        <f>IF(AE196="","",AE196+COUNTIF(AE$2:AE196,AE196)-1)</f>
        <v/>
      </c>
    </row>
    <row r="197" spans="3:32">
      <c r="C197" s="8" t="str">
        <f>IF(B197="","",COUNTIF(B$1:B196,B197)=0)</f>
        <v/>
      </c>
      <c r="D197" s="8" t="str">
        <f>IF(B197="","",IF(C197,COUNTIF(C$2:C197,TRUE),""))</f>
        <v/>
      </c>
      <c r="AC197" s="8" t="str">
        <f t="shared" si="31"/>
        <v/>
      </c>
      <c r="AE197" s="8" t="str">
        <f t="shared" si="32"/>
        <v/>
      </c>
      <c r="AF197" s="8" t="str">
        <f>IF(AE197="","",AE197+COUNTIF(AE$2:AE197,AE197)-1)</f>
        <v/>
      </c>
    </row>
    <row r="198" spans="3:32">
      <c r="C198" s="8" t="str">
        <f>IF(B198="","",COUNTIF(B$1:B197,B198)=0)</f>
        <v/>
      </c>
      <c r="D198" s="8" t="str">
        <f>IF(B198="","",IF(C198,COUNTIF(C$2:C198,TRUE),""))</f>
        <v/>
      </c>
      <c r="AC198" s="8" t="str">
        <f t="shared" si="31"/>
        <v/>
      </c>
      <c r="AE198" s="8" t="str">
        <f t="shared" si="32"/>
        <v/>
      </c>
      <c r="AF198" s="8" t="str">
        <f>IF(AE198="","",AE198+COUNTIF(AE$2:AE198,AE198)-1)</f>
        <v/>
      </c>
    </row>
    <row r="199" spans="3:32">
      <c r="C199" s="8" t="str">
        <f>IF(B199="","",COUNTIF(B$1:B198,B199)=0)</f>
        <v/>
      </c>
      <c r="D199" s="8" t="str">
        <f>IF(B199="","",IF(C199,COUNTIF(C$2:C199,TRUE),""))</f>
        <v/>
      </c>
      <c r="AC199" s="8" t="str">
        <f t="shared" si="31"/>
        <v/>
      </c>
      <c r="AE199" s="8" t="str">
        <f t="shared" si="32"/>
        <v/>
      </c>
      <c r="AF199" s="8" t="str">
        <f>IF(AE199="","",AE199+COUNTIF(AE$2:AE199,AE199)-1)</f>
        <v/>
      </c>
    </row>
    <row r="200" spans="3:32">
      <c r="C200" s="8" t="str">
        <f>IF(B200="","",COUNTIF(B$1:B199,B200)=0)</f>
        <v/>
      </c>
      <c r="D200" s="8" t="str">
        <f>IF(B200="","",IF(C200,COUNTIF(C$2:C200,TRUE),""))</f>
        <v/>
      </c>
      <c r="AC200" s="8" t="str">
        <f t="shared" si="31"/>
        <v/>
      </c>
      <c r="AE200" s="8" t="str">
        <f t="shared" si="32"/>
        <v/>
      </c>
      <c r="AF200" s="8" t="str">
        <f>IF(AE200="","",AE200+COUNTIF(AE$2:AE200,AE200)-1)</f>
        <v/>
      </c>
    </row>
    <row r="201" spans="3:32">
      <c r="C201" s="8" t="str">
        <f>IF(B201="","",COUNTIF(B$1:B200,B201)=0)</f>
        <v/>
      </c>
      <c r="D201" s="8" t="str">
        <f>IF(B201="","",IF(C201,COUNTIF(C$2:C201,TRUE),""))</f>
        <v/>
      </c>
      <c r="AC201" s="8" t="str">
        <f t="shared" si="31"/>
        <v/>
      </c>
      <c r="AE201" s="8" t="str">
        <f t="shared" si="32"/>
        <v/>
      </c>
      <c r="AF201" s="8" t="str">
        <f>IF(AE201="","",AE201+COUNTIF(AE$2:AE201,AE201)-1)</f>
        <v/>
      </c>
    </row>
    <row r="202" spans="3:32">
      <c r="C202" s="8" t="str">
        <f>IF(B202="","",COUNTIF(B$1:B201,B202)=0)</f>
        <v/>
      </c>
      <c r="D202" s="8" t="str">
        <f>IF(B202="","",IF(C202,COUNTIF(C$2:C202,TRUE),""))</f>
        <v/>
      </c>
      <c r="AC202" s="8" t="str">
        <f t="shared" si="31"/>
        <v/>
      </c>
      <c r="AE202" s="8" t="str">
        <f t="shared" si="32"/>
        <v/>
      </c>
      <c r="AF202" s="8" t="str">
        <f>IF(AE202="","",AE202+COUNTIF(AE$2:AE202,AE202)-1)</f>
        <v/>
      </c>
    </row>
    <row r="203" spans="3:32">
      <c r="C203" s="8" t="str">
        <f>IF(B203="","",COUNTIF(B$1:B202,B203)=0)</f>
        <v/>
      </c>
      <c r="D203" s="8" t="str">
        <f>IF(B203="","",IF(C203,COUNTIF(C$2:C203,TRUE),""))</f>
        <v/>
      </c>
      <c r="AC203" s="8" t="str">
        <f t="shared" si="31"/>
        <v/>
      </c>
      <c r="AE203" s="8" t="str">
        <f t="shared" si="32"/>
        <v/>
      </c>
      <c r="AF203" s="8" t="str">
        <f>IF(AE203="","",AE203+COUNTIF(AE$2:AE203,AE203)-1)</f>
        <v/>
      </c>
    </row>
    <row r="204" spans="3:32">
      <c r="C204" s="8" t="str">
        <f>IF(B204="","",COUNTIF(B$1:B203,B204)=0)</f>
        <v/>
      </c>
      <c r="D204" s="8" t="str">
        <f>IF(B204="","",IF(C204,COUNTIF(C$2:C204,TRUE),""))</f>
        <v/>
      </c>
      <c r="AC204" s="8" t="str">
        <f t="shared" si="31"/>
        <v/>
      </c>
      <c r="AE204" s="8" t="str">
        <f t="shared" si="32"/>
        <v/>
      </c>
      <c r="AF204" s="8" t="str">
        <f>IF(AE204="","",AE204+COUNTIF(AE$2:AE204,AE204)-1)</f>
        <v/>
      </c>
    </row>
    <row r="205" spans="3:32">
      <c r="C205" s="8" t="str">
        <f>IF(B205="","",COUNTIF(B$1:B204,B205)=0)</f>
        <v/>
      </c>
      <c r="D205" s="8" t="str">
        <f>IF(B205="","",IF(C205,COUNTIF(C$2:C205,TRUE),""))</f>
        <v/>
      </c>
      <c r="AC205" s="8" t="str">
        <f t="shared" si="31"/>
        <v/>
      </c>
      <c r="AE205" s="8" t="str">
        <f t="shared" si="32"/>
        <v/>
      </c>
      <c r="AF205" s="8" t="str">
        <f>IF(AE205="","",AE205+COUNTIF(AE$2:AE205,AE205)-1)</f>
        <v/>
      </c>
    </row>
    <row r="206" spans="3:32">
      <c r="C206" s="8" t="str">
        <f>IF(B206="","",COUNTIF(B$1:B205,B206)=0)</f>
        <v/>
      </c>
      <c r="D206" s="8" t="str">
        <f>IF(B206="","",IF(C206,COUNTIF(C$2:C206,TRUE),""))</f>
        <v/>
      </c>
      <c r="AC206" s="8" t="str">
        <f t="shared" si="31"/>
        <v/>
      </c>
      <c r="AE206" s="8" t="str">
        <f t="shared" si="32"/>
        <v/>
      </c>
      <c r="AF206" s="8" t="str">
        <f>IF(AE206="","",AE206+COUNTIF(AE$2:AE206,AE206)-1)</f>
        <v/>
      </c>
    </row>
    <row r="207" spans="3:32">
      <c r="C207" s="8" t="str">
        <f>IF(B207="","",COUNTIF(B$1:B206,B207)=0)</f>
        <v/>
      </c>
      <c r="D207" s="8" t="str">
        <f>IF(B207="","",IF(C207,COUNTIF(C$2:C207,TRUE),""))</f>
        <v/>
      </c>
      <c r="AC207" s="8" t="str">
        <f t="shared" si="31"/>
        <v/>
      </c>
      <c r="AE207" s="8" t="str">
        <f t="shared" si="32"/>
        <v/>
      </c>
      <c r="AF207" s="8" t="str">
        <f>IF(AE207="","",AE207+COUNTIF(AE$2:AE207,AE207)-1)</f>
        <v/>
      </c>
    </row>
    <row r="208" spans="3:32">
      <c r="C208" s="8" t="str">
        <f>IF(B208="","",COUNTIF(B$1:B207,B208)=0)</f>
        <v/>
      </c>
      <c r="D208" s="8" t="str">
        <f>IF(B208="","",IF(C208,COUNTIF(C$2:C208,TRUE),""))</f>
        <v/>
      </c>
      <c r="AC208" s="8" t="str">
        <f t="shared" si="31"/>
        <v/>
      </c>
      <c r="AE208" s="8" t="str">
        <f t="shared" si="32"/>
        <v/>
      </c>
      <c r="AF208" s="8" t="str">
        <f>IF(AE208="","",AE208+COUNTIF(AE$2:AE208,AE208)-1)</f>
        <v/>
      </c>
    </row>
    <row r="209" spans="3:32">
      <c r="C209" s="8" t="str">
        <f>IF(B209="","",COUNTIF(B$1:B208,B209)=0)</f>
        <v/>
      </c>
      <c r="D209" s="8" t="str">
        <f>IF(B209="","",IF(C209,COUNTIF(C$2:C209,TRUE),""))</f>
        <v/>
      </c>
      <c r="AC209" s="8" t="str">
        <f t="shared" si="31"/>
        <v/>
      </c>
      <c r="AE209" s="8" t="str">
        <f t="shared" si="32"/>
        <v/>
      </c>
      <c r="AF209" s="8" t="str">
        <f>IF(AE209="","",AE209+COUNTIF(AE$2:AE209,AE209)-1)</f>
        <v/>
      </c>
    </row>
    <row r="210" spans="3:32">
      <c r="C210" s="8" t="str">
        <f>IF(B210="","",COUNTIF(B$1:B209,B210)=0)</f>
        <v/>
      </c>
      <c r="D210" s="8" t="str">
        <f>IF(B210="","",IF(C210,COUNTIF(C$2:C210,TRUE),""))</f>
        <v/>
      </c>
      <c r="AC210" s="8" t="str">
        <f t="shared" si="31"/>
        <v/>
      </c>
      <c r="AE210" s="8" t="str">
        <f t="shared" si="32"/>
        <v/>
      </c>
      <c r="AF210" s="8" t="str">
        <f>IF(AE210="","",AE210+COUNTIF(AE$2:AE210,AE210)-1)</f>
        <v/>
      </c>
    </row>
    <row r="211" spans="3:32">
      <c r="C211" s="8" t="str">
        <f>IF(B211="","",COUNTIF(B$1:B210,B211)=0)</f>
        <v/>
      </c>
      <c r="D211" s="8" t="str">
        <f>IF(B211="","",IF(C211,COUNTIF(C$2:C211,TRUE),""))</f>
        <v/>
      </c>
      <c r="AC211" s="8" t="str">
        <f t="shared" si="31"/>
        <v/>
      </c>
      <c r="AE211" s="8" t="str">
        <f t="shared" si="32"/>
        <v/>
      </c>
      <c r="AF211" s="8" t="str">
        <f>IF(AE211="","",AE211+COUNTIF(AE$2:AE211,AE211)-1)</f>
        <v/>
      </c>
    </row>
    <row r="212" spans="3:32">
      <c r="C212" s="8" t="str">
        <f>IF(B212="","",COUNTIF(B$1:B211,B212)=0)</f>
        <v/>
      </c>
      <c r="D212" s="8" t="str">
        <f>IF(B212="","",IF(C212,COUNTIF(C$2:C212,TRUE),""))</f>
        <v/>
      </c>
      <c r="AC212" s="8" t="str">
        <f t="shared" si="31"/>
        <v/>
      </c>
      <c r="AE212" s="8" t="str">
        <f t="shared" si="32"/>
        <v/>
      </c>
      <c r="AF212" s="8" t="str">
        <f>IF(AE212="","",AE212+COUNTIF(AE$2:AE212,AE212)-1)</f>
        <v/>
      </c>
    </row>
    <row r="213" spans="3:32">
      <c r="C213" s="8" t="str">
        <f>IF(B213="","",COUNTIF(B$1:B212,B213)=0)</f>
        <v/>
      </c>
      <c r="D213" s="8" t="str">
        <f>IF(B213="","",IF(C213,COUNTIF(C$2:C213,TRUE),""))</f>
        <v/>
      </c>
      <c r="AC213" s="8" t="str">
        <f t="shared" si="31"/>
        <v/>
      </c>
      <c r="AE213" s="8" t="str">
        <f t="shared" si="32"/>
        <v/>
      </c>
      <c r="AF213" s="8" t="str">
        <f>IF(AE213="","",AE213+COUNTIF(AE$2:AE213,AE213)-1)</f>
        <v/>
      </c>
    </row>
    <row r="214" spans="3:32">
      <c r="C214" s="8" t="str">
        <f>IF(B214="","",COUNTIF(B$1:B213,B214)=0)</f>
        <v/>
      </c>
      <c r="D214" s="8" t="str">
        <f>IF(B214="","",IF(C214,COUNTIF(C$2:C214,TRUE),""))</f>
        <v/>
      </c>
      <c r="AC214" s="8" t="str">
        <f t="shared" si="31"/>
        <v/>
      </c>
      <c r="AE214" s="8" t="str">
        <f t="shared" si="32"/>
        <v/>
      </c>
      <c r="AF214" s="8" t="str">
        <f>IF(AE214="","",AE214+COUNTIF(AE$2:AE214,AE214)-1)</f>
        <v/>
      </c>
    </row>
    <row r="215" spans="3:32">
      <c r="C215" s="8" t="str">
        <f>IF(B215="","",COUNTIF(B$1:B214,B215)=0)</f>
        <v/>
      </c>
      <c r="D215" s="8" t="str">
        <f>IF(B215="","",IF(C215,COUNTIF(C$2:C215,TRUE),""))</f>
        <v/>
      </c>
      <c r="AC215" s="8" t="str">
        <f t="shared" si="31"/>
        <v/>
      </c>
      <c r="AE215" s="8" t="str">
        <f t="shared" si="32"/>
        <v/>
      </c>
      <c r="AF215" s="8" t="str">
        <f>IF(AE215="","",AE215+COUNTIF(AE$2:AE215,AE215)-1)</f>
        <v/>
      </c>
    </row>
    <row r="216" spans="3:32">
      <c r="C216" s="8" t="str">
        <f>IF(B216="","",COUNTIF(B$1:B215,B216)=0)</f>
        <v/>
      </c>
      <c r="D216" s="8" t="str">
        <f>IF(B216="","",IF(C216,COUNTIF(C$2:C216,TRUE),""))</f>
        <v/>
      </c>
      <c r="AC216" s="8" t="str">
        <f t="shared" si="31"/>
        <v/>
      </c>
      <c r="AE216" s="8" t="str">
        <f t="shared" si="32"/>
        <v/>
      </c>
      <c r="AF216" s="8" t="str">
        <f>IF(AE216="","",AE216+COUNTIF(AE$2:AE216,AE216)-1)</f>
        <v/>
      </c>
    </row>
    <row r="217" spans="3:32">
      <c r="C217" s="8" t="str">
        <f>IF(B217="","",COUNTIF(B$1:B216,B217)=0)</f>
        <v/>
      </c>
      <c r="D217" s="8" t="str">
        <f>IF(B217="","",IF(C217,COUNTIF(C$2:C217,TRUE),""))</f>
        <v/>
      </c>
      <c r="AC217" s="8" t="str">
        <f t="shared" si="31"/>
        <v/>
      </c>
      <c r="AE217" s="8" t="str">
        <f t="shared" si="32"/>
        <v/>
      </c>
      <c r="AF217" s="8" t="str">
        <f>IF(AE217="","",AE217+COUNTIF(AE$2:AE217,AE217)-1)</f>
        <v/>
      </c>
    </row>
    <row r="218" spans="3:32">
      <c r="C218" s="8" t="str">
        <f>IF(B218="","",COUNTIF(B$1:B217,B218)=0)</f>
        <v/>
      </c>
      <c r="D218" s="8" t="str">
        <f>IF(B218="","",IF(C218,COUNTIF(C$2:C218,TRUE),""))</f>
        <v/>
      </c>
      <c r="AC218" s="8" t="str">
        <f t="shared" si="31"/>
        <v/>
      </c>
      <c r="AE218" s="8" t="str">
        <f t="shared" si="32"/>
        <v/>
      </c>
      <c r="AF218" s="8" t="str">
        <f>IF(AE218="","",AE218+COUNTIF(AE$2:AE218,AE218)-1)</f>
        <v/>
      </c>
    </row>
    <row r="219" spans="3:32">
      <c r="C219" s="8" t="str">
        <f>IF(B219="","",COUNTIF(B$1:B218,B219)=0)</f>
        <v/>
      </c>
      <c r="D219" s="8" t="str">
        <f>IF(B219="","",IF(C219,COUNTIF(C$2:C219,TRUE),""))</f>
        <v/>
      </c>
      <c r="AC219" s="8" t="str">
        <f t="shared" si="31"/>
        <v/>
      </c>
      <c r="AE219" s="8" t="str">
        <f t="shared" si="32"/>
        <v/>
      </c>
      <c r="AF219" s="8" t="str">
        <f>IF(AE219="","",AE219+COUNTIF(AE$2:AE219,AE219)-1)</f>
        <v/>
      </c>
    </row>
    <row r="220" spans="3:32">
      <c r="C220" s="8" t="str">
        <f>IF(B220="","",COUNTIF(B$1:B219,B220)=0)</f>
        <v/>
      </c>
      <c r="D220" s="8" t="str">
        <f>IF(B220="","",IF(C220,COUNTIF(C$2:C220,TRUE),""))</f>
        <v/>
      </c>
      <c r="AC220" s="8" t="str">
        <f t="shared" si="31"/>
        <v/>
      </c>
      <c r="AE220" s="8" t="str">
        <f t="shared" si="32"/>
        <v/>
      </c>
      <c r="AF220" s="8" t="str">
        <f>IF(AE220="","",AE220+COUNTIF(AE$2:AE220,AE220)-1)</f>
        <v/>
      </c>
    </row>
    <row r="221" spans="3:32">
      <c r="C221" s="8" t="str">
        <f>IF(B221="","",COUNTIF(B$1:B220,B221)=0)</f>
        <v/>
      </c>
      <c r="D221" s="8" t="str">
        <f>IF(B221="","",IF(C221,COUNTIF(C$2:C221,TRUE),""))</f>
        <v/>
      </c>
      <c r="AC221" s="8" t="str">
        <f t="shared" si="31"/>
        <v/>
      </c>
      <c r="AE221" s="8" t="str">
        <f t="shared" si="32"/>
        <v/>
      </c>
      <c r="AF221" s="8" t="str">
        <f>IF(AE221="","",AE221+COUNTIF(AE$2:AE221,AE221)-1)</f>
        <v/>
      </c>
    </row>
    <row r="222" spans="3:32">
      <c r="C222" s="8" t="str">
        <f>IF(B222="","",COUNTIF(B$1:B221,B222)=0)</f>
        <v/>
      </c>
      <c r="D222" s="8" t="str">
        <f>IF(B222="","",IF(C222,COUNTIF(C$2:C222,TRUE),""))</f>
        <v/>
      </c>
      <c r="AC222" s="8" t="str">
        <f t="shared" si="31"/>
        <v/>
      </c>
      <c r="AE222" s="8" t="str">
        <f t="shared" si="32"/>
        <v/>
      </c>
      <c r="AF222" s="8" t="str">
        <f>IF(AE222="","",AE222+COUNTIF(AE$2:AE222,AE222)-1)</f>
        <v/>
      </c>
    </row>
    <row r="223" spans="3:32">
      <c r="C223" s="8" t="str">
        <f>IF(B223="","",COUNTIF(B$1:B222,B223)=0)</f>
        <v/>
      </c>
      <c r="D223" s="8" t="str">
        <f>IF(B223="","",IF(C223,COUNTIF(C$2:C223,TRUE),""))</f>
        <v/>
      </c>
      <c r="AC223" s="8" t="str">
        <f t="shared" si="31"/>
        <v/>
      </c>
      <c r="AE223" s="8" t="str">
        <f t="shared" si="32"/>
        <v/>
      </c>
      <c r="AF223" s="8" t="str">
        <f>IF(AE223="","",AE223+COUNTIF(AE$2:AE223,AE223)-1)</f>
        <v/>
      </c>
    </row>
    <row r="224" spans="3:32">
      <c r="C224" s="8" t="str">
        <f>IF(B224="","",COUNTIF(B$1:B223,B224)=0)</f>
        <v/>
      </c>
      <c r="D224" s="8" t="str">
        <f>IF(B224="","",IF(C224,COUNTIF(C$2:C224,TRUE),""))</f>
        <v/>
      </c>
      <c r="AC224" s="8" t="str">
        <f t="shared" si="31"/>
        <v/>
      </c>
      <c r="AE224" s="8" t="str">
        <f t="shared" si="32"/>
        <v/>
      </c>
      <c r="AF224" s="8" t="str">
        <f>IF(AE224="","",AE224+COUNTIF(AE$2:AE224,AE224)-1)</f>
        <v/>
      </c>
    </row>
    <row r="225" spans="3:32">
      <c r="C225" s="8" t="str">
        <f>IF(B225="","",COUNTIF(B$1:B224,B225)=0)</f>
        <v/>
      </c>
      <c r="D225" s="8" t="str">
        <f>IF(B225="","",IF(C225,COUNTIF(C$2:C225,TRUE),""))</f>
        <v/>
      </c>
      <c r="AC225" s="8" t="str">
        <f t="shared" si="31"/>
        <v/>
      </c>
      <c r="AE225" s="8" t="str">
        <f t="shared" si="32"/>
        <v/>
      </c>
      <c r="AF225" s="8" t="str">
        <f>IF(AE225="","",AE225+COUNTIF(AE$2:AE225,AE225)-1)</f>
        <v/>
      </c>
    </row>
    <row r="226" spans="3:32">
      <c r="C226" s="8" t="str">
        <f>IF(B226="","",COUNTIF(B$1:B225,B226)=0)</f>
        <v/>
      </c>
      <c r="D226" s="8" t="str">
        <f>IF(B226="","",IF(C226,COUNTIF(C$2:C226,TRUE),""))</f>
        <v/>
      </c>
      <c r="AC226" s="8" t="str">
        <f t="shared" si="31"/>
        <v/>
      </c>
      <c r="AE226" s="8" t="str">
        <f t="shared" si="32"/>
        <v/>
      </c>
      <c r="AF226" s="8" t="str">
        <f>IF(AE226="","",AE226+COUNTIF(AE$2:AE226,AE226)-1)</f>
        <v/>
      </c>
    </row>
    <row r="227" spans="3:32">
      <c r="C227" s="8" t="str">
        <f>IF(B227="","",COUNTIF(B$1:B226,B227)=0)</f>
        <v/>
      </c>
      <c r="D227" s="8" t="str">
        <f>IF(B227="","",IF(C227,COUNTIF(C$2:C227,TRUE),""))</f>
        <v/>
      </c>
      <c r="AC227" s="8" t="str">
        <f t="shared" si="31"/>
        <v/>
      </c>
      <c r="AE227" s="8" t="str">
        <f t="shared" si="32"/>
        <v/>
      </c>
      <c r="AF227" s="8" t="str">
        <f>IF(AE227="","",AE227+COUNTIF(AE$2:AE227,AE227)-1)</f>
        <v/>
      </c>
    </row>
    <row r="228" spans="3:32">
      <c r="C228" s="8" t="str">
        <f>IF(B228="","",COUNTIF(B$1:B227,B228)=0)</f>
        <v/>
      </c>
      <c r="D228" s="8" t="str">
        <f>IF(B228="","",IF(C228,COUNTIF(C$2:C228,TRUE),""))</f>
        <v/>
      </c>
      <c r="AC228" s="8" t="str">
        <f t="shared" si="31"/>
        <v/>
      </c>
      <c r="AE228" s="8" t="str">
        <f t="shared" si="32"/>
        <v/>
      </c>
      <c r="AF228" s="8" t="str">
        <f>IF(AE228="","",AE228+COUNTIF(AE$2:AE228,AE228)-1)</f>
        <v/>
      </c>
    </row>
    <row r="229" spans="3:32">
      <c r="C229" s="8" t="str">
        <f>IF(B229="","",COUNTIF(B$1:B228,B229)=0)</f>
        <v/>
      </c>
      <c r="D229" s="8" t="str">
        <f>IF(B229="","",IF(C229,COUNTIF(C$2:C229,TRUE),""))</f>
        <v/>
      </c>
      <c r="AC229" s="8" t="str">
        <f t="shared" si="31"/>
        <v/>
      </c>
      <c r="AE229" s="8" t="str">
        <f t="shared" si="32"/>
        <v/>
      </c>
      <c r="AF229" s="8" t="str">
        <f>IF(AE229="","",AE229+COUNTIF(AE$2:AE229,AE229)-1)</f>
        <v/>
      </c>
    </row>
    <row r="230" spans="3:32">
      <c r="C230" s="8" t="str">
        <f>IF(B230="","",COUNTIF(B$1:B229,B230)=0)</f>
        <v/>
      </c>
      <c r="D230" s="8" t="str">
        <f>IF(B230="","",IF(C230,COUNTIF(C$2:C230,TRUE),""))</f>
        <v/>
      </c>
      <c r="AC230" s="8" t="str">
        <f t="shared" si="31"/>
        <v/>
      </c>
      <c r="AE230" s="8" t="str">
        <f t="shared" si="32"/>
        <v/>
      </c>
      <c r="AF230" s="8" t="str">
        <f>IF(AE230="","",AE230+COUNTIF(AE$2:AE230,AE230)-1)</f>
        <v/>
      </c>
    </row>
    <row r="231" spans="3:32">
      <c r="C231" s="8" t="str">
        <f>IF(B231="","",COUNTIF(B$1:B230,B231)=0)</f>
        <v/>
      </c>
      <c r="D231" s="8" t="str">
        <f>IF(B231="","",IF(C231,COUNTIF(C$2:C231,TRUE),""))</f>
        <v/>
      </c>
      <c r="AC231" s="8" t="str">
        <f t="shared" ref="AC231:AC256" si="33">IF(ISBLANK(AB231),"",COUNTIF(Z:Z,AB231))</f>
        <v/>
      </c>
      <c r="AE231" s="8" t="str">
        <f t="shared" si="32"/>
        <v/>
      </c>
      <c r="AF231" s="8" t="str">
        <f>IF(AE231="","",AE231+COUNTIF(AE$2:AE231,AE231)-1)</f>
        <v/>
      </c>
    </row>
    <row r="232" spans="3:32">
      <c r="C232" s="8" t="str">
        <f>IF(B232="","",COUNTIF(B$1:B231,B232)=0)</f>
        <v/>
      </c>
      <c r="D232" s="8" t="str">
        <f>IF(B232="","",IF(C232,COUNTIF(C$2:C232,TRUE),""))</f>
        <v/>
      </c>
      <c r="AC232" s="8" t="str">
        <f t="shared" si="33"/>
        <v/>
      </c>
      <c r="AE232" s="8" t="str">
        <f t="shared" si="32"/>
        <v/>
      </c>
      <c r="AF232" s="8" t="str">
        <f>IF(AE232="","",AE232+COUNTIF(AE$2:AE232,AE232)-1)</f>
        <v/>
      </c>
    </row>
    <row r="233" spans="3:32">
      <c r="C233" s="8" t="str">
        <f>IF(B233="","",COUNTIF(B$1:B232,B233)=0)</f>
        <v/>
      </c>
      <c r="D233" s="8" t="str">
        <f>IF(B233="","",IF(C233,COUNTIF(C$2:C233,TRUE),""))</f>
        <v/>
      </c>
      <c r="AC233" s="8" t="str">
        <f t="shared" si="33"/>
        <v/>
      </c>
      <c r="AE233" s="8" t="str">
        <f t="shared" si="32"/>
        <v/>
      </c>
      <c r="AF233" s="8" t="str">
        <f>IF(AE233="","",AE233+COUNTIF(AE$2:AE233,AE233)-1)</f>
        <v/>
      </c>
    </row>
    <row r="234" spans="3:32">
      <c r="C234" s="8" t="str">
        <f>IF(B234="","",COUNTIF(B$1:B233,B234)=0)</f>
        <v/>
      </c>
      <c r="D234" s="8" t="str">
        <f>IF(B234="","",IF(C234,COUNTIF(C$2:C234,TRUE),""))</f>
        <v/>
      </c>
      <c r="AC234" s="8" t="str">
        <f t="shared" si="33"/>
        <v/>
      </c>
      <c r="AE234" s="8" t="str">
        <f t="shared" si="32"/>
        <v/>
      </c>
      <c r="AF234" s="8" t="str">
        <f>IF(AE234="","",AE234+COUNTIF(AE$2:AE234,AE234)-1)</f>
        <v/>
      </c>
    </row>
    <row r="235" spans="3:32">
      <c r="C235" s="8" t="str">
        <f>IF(B235="","",COUNTIF(B$1:B234,B235)=0)</f>
        <v/>
      </c>
      <c r="D235" s="8" t="str">
        <f>IF(B235="","",IF(C235,COUNTIF(C$2:C235,TRUE),""))</f>
        <v/>
      </c>
      <c r="AC235" s="8" t="str">
        <f t="shared" si="33"/>
        <v/>
      </c>
      <c r="AE235" s="8" t="str">
        <f t="shared" si="32"/>
        <v/>
      </c>
      <c r="AF235" s="8" t="str">
        <f>IF(AE235="","",AE235+COUNTIF(AE$2:AE235,AE235)-1)</f>
        <v/>
      </c>
    </row>
    <row r="236" spans="3:32">
      <c r="C236" s="8" t="str">
        <f>IF(B236="","",COUNTIF(B$1:B235,B236)=0)</f>
        <v/>
      </c>
      <c r="D236" s="8" t="str">
        <f>IF(B236="","",IF(C236,COUNTIF(C$2:C236,TRUE),""))</f>
        <v/>
      </c>
      <c r="AC236" s="8" t="str">
        <f t="shared" si="33"/>
        <v/>
      </c>
      <c r="AE236" s="8" t="str">
        <f t="shared" si="32"/>
        <v/>
      </c>
      <c r="AF236" s="8" t="str">
        <f>IF(AE236="","",AE236+COUNTIF(AE$2:AE236,AE236)-1)</f>
        <v/>
      </c>
    </row>
    <row r="237" spans="3:32">
      <c r="C237" s="8" t="str">
        <f>IF(B237="","",COUNTIF(B$1:B236,B237)=0)</f>
        <v/>
      </c>
      <c r="D237" s="8" t="str">
        <f>IF(B237="","",IF(C237,COUNTIF(C$2:C237,TRUE),""))</f>
        <v/>
      </c>
      <c r="AC237" s="8" t="str">
        <f t="shared" si="33"/>
        <v/>
      </c>
      <c r="AE237" s="8" t="str">
        <f t="shared" si="32"/>
        <v/>
      </c>
      <c r="AF237" s="8" t="str">
        <f>IF(AE237="","",AE237+COUNTIF(AE$2:AE237,AE237)-1)</f>
        <v/>
      </c>
    </row>
    <row r="238" spans="3:32">
      <c r="C238" s="8" t="str">
        <f>IF(B238="","",COUNTIF(B$1:B237,B238)=0)</f>
        <v/>
      </c>
      <c r="D238" s="8" t="str">
        <f>IF(B238="","",IF(C238,COUNTIF(C$2:C238,TRUE),""))</f>
        <v/>
      </c>
      <c r="AC238" s="8" t="str">
        <f t="shared" si="33"/>
        <v/>
      </c>
      <c r="AE238" s="8" t="str">
        <f t="shared" si="32"/>
        <v/>
      </c>
      <c r="AF238" s="8" t="str">
        <f>IF(AE238="","",AE238+COUNTIF(AE$2:AE238,AE238)-1)</f>
        <v/>
      </c>
    </row>
    <row r="239" spans="3:32">
      <c r="C239" s="8" t="str">
        <f>IF(B239="","",COUNTIF(B$1:B238,B239)=0)</f>
        <v/>
      </c>
      <c r="D239" s="8" t="str">
        <f>IF(B239="","",IF(C239,COUNTIF(C$2:C239,TRUE),""))</f>
        <v/>
      </c>
      <c r="AC239" s="8" t="str">
        <f t="shared" si="33"/>
        <v/>
      </c>
      <c r="AE239" s="8" t="str">
        <f t="shared" si="32"/>
        <v/>
      </c>
      <c r="AF239" s="8" t="str">
        <f>IF(AE239="","",AE239+COUNTIF(AE$2:AE239,AE239)-1)</f>
        <v/>
      </c>
    </row>
    <row r="240" spans="3:32">
      <c r="C240" s="8" t="str">
        <f>IF(B240="","",COUNTIF(B$1:B239,B240)=0)</f>
        <v/>
      </c>
      <c r="D240" s="8" t="str">
        <f>IF(B240="","",IF(C240,COUNTIF(C$2:C240,TRUE),""))</f>
        <v/>
      </c>
      <c r="AC240" s="8" t="str">
        <f t="shared" si="33"/>
        <v/>
      </c>
      <c r="AE240" s="8" t="str">
        <f t="shared" si="32"/>
        <v/>
      </c>
      <c r="AF240" s="8" t="str">
        <f>IF(AE240="","",AE240+COUNTIF(AE$2:AE240,AE240)-1)</f>
        <v/>
      </c>
    </row>
    <row r="241" spans="3:32">
      <c r="C241" s="8" t="str">
        <f>IF(B241="","",COUNTIF(B$1:B240,B241)=0)</f>
        <v/>
      </c>
      <c r="D241" s="8" t="str">
        <f>IF(B241="","",IF(C241,COUNTIF(C$2:C241,TRUE),""))</f>
        <v/>
      </c>
      <c r="AC241" s="8" t="str">
        <f t="shared" si="33"/>
        <v/>
      </c>
      <c r="AE241" s="8" t="str">
        <f t="shared" si="32"/>
        <v/>
      </c>
      <c r="AF241" s="8" t="str">
        <f>IF(AE241="","",AE241+COUNTIF(AE$2:AE241,AE241)-1)</f>
        <v/>
      </c>
    </row>
    <row r="242" spans="3:32">
      <c r="C242" s="8" t="str">
        <f>IF(B242="","",COUNTIF(B$1:B241,B242)=0)</f>
        <v/>
      </c>
      <c r="D242" s="8" t="str">
        <f>IF(B242="","",IF(C242,COUNTIF(C$2:C242,TRUE),""))</f>
        <v/>
      </c>
      <c r="AC242" s="8" t="str">
        <f t="shared" si="33"/>
        <v/>
      </c>
      <c r="AE242" s="8" t="str">
        <f t="shared" si="32"/>
        <v/>
      </c>
      <c r="AF242" s="8" t="str">
        <f>IF(AE242="","",AE242+COUNTIF(AE$2:AE242,AE242)-1)</f>
        <v/>
      </c>
    </row>
    <row r="243" spans="3:32">
      <c r="C243" s="8" t="str">
        <f>IF(B243="","",COUNTIF(B$1:B242,B243)=0)</f>
        <v/>
      </c>
      <c r="D243" s="8" t="str">
        <f>IF(B243="","",IF(C243,COUNTIF(C$2:C243,TRUE),""))</f>
        <v/>
      </c>
      <c r="AC243" s="8" t="str">
        <f t="shared" si="33"/>
        <v/>
      </c>
      <c r="AE243" s="8" t="str">
        <f t="shared" si="32"/>
        <v/>
      </c>
      <c r="AF243" s="8" t="str">
        <f>IF(AE243="","",AE243+COUNTIF(AE$2:AE243,AE243)-1)</f>
        <v/>
      </c>
    </row>
    <row r="244" spans="3:32">
      <c r="C244" s="8" t="str">
        <f>IF(B244="","",COUNTIF(B$1:B243,B244)=0)</f>
        <v/>
      </c>
      <c r="D244" s="8" t="str">
        <f>IF(B244="","",IF(C244,COUNTIF(C$2:C244,TRUE),""))</f>
        <v/>
      </c>
      <c r="AC244" s="8" t="str">
        <f t="shared" si="33"/>
        <v/>
      </c>
      <c r="AE244" s="8" t="str">
        <f t="shared" si="32"/>
        <v/>
      </c>
      <c r="AF244" s="8" t="str">
        <f>IF(AE244="","",AE244+COUNTIF(AE$2:AE244,AE244)-1)</f>
        <v/>
      </c>
    </row>
    <row r="245" spans="3:32">
      <c r="C245" s="8" t="str">
        <f>IF(B245="","",COUNTIF(B$1:B244,B245)=0)</f>
        <v/>
      </c>
      <c r="D245" s="8" t="str">
        <f>IF(B245="","",IF(C245,COUNTIF(C$2:C245,TRUE),""))</f>
        <v/>
      </c>
      <c r="AC245" s="8" t="str">
        <f t="shared" si="33"/>
        <v/>
      </c>
      <c r="AE245" s="8" t="str">
        <f t="shared" si="32"/>
        <v/>
      </c>
      <c r="AF245" s="8" t="str">
        <f>IF(AE245="","",AE245+COUNTIF(AE$2:AE245,AE245)-1)</f>
        <v/>
      </c>
    </row>
    <row r="246" spans="3:32">
      <c r="C246" s="8" t="str">
        <f>IF(B246="","",COUNTIF(B$1:B245,B246)=0)</f>
        <v/>
      </c>
      <c r="D246" s="8" t="str">
        <f>IF(B246="","",IF(C246,COUNTIF(C$2:C246,TRUE),""))</f>
        <v/>
      </c>
      <c r="AC246" s="8" t="str">
        <f t="shared" si="33"/>
        <v/>
      </c>
      <c r="AE246" s="8" t="str">
        <f t="shared" si="32"/>
        <v/>
      </c>
      <c r="AF246" s="8" t="str">
        <f>IF(AE246="","",AE246+COUNTIF(AE$2:AE246,AE246)-1)</f>
        <v/>
      </c>
    </row>
    <row r="247" spans="3:32">
      <c r="C247" s="8" t="str">
        <f>IF(B247="","",COUNTIF(B$1:B246,B247)=0)</f>
        <v/>
      </c>
      <c r="D247" s="8" t="str">
        <f>IF(B247="","",IF(C247,COUNTIF(C$2:C247,TRUE),""))</f>
        <v/>
      </c>
      <c r="AC247" s="8" t="str">
        <f t="shared" si="33"/>
        <v/>
      </c>
      <c r="AE247" s="8" t="str">
        <f t="shared" si="32"/>
        <v/>
      </c>
      <c r="AF247" s="8" t="str">
        <f>IF(AE247="","",AE247+COUNTIF(AE$2:AE247,AE247)-1)</f>
        <v/>
      </c>
    </row>
    <row r="248" spans="3:32">
      <c r="C248" s="8" t="str">
        <f>IF(B248="","",COUNTIF(B$1:B247,B248)=0)</f>
        <v/>
      </c>
      <c r="D248" s="8" t="str">
        <f>IF(B248="","",IF(C248,COUNTIF(C$2:C248,TRUE),""))</f>
        <v/>
      </c>
      <c r="AC248" s="8" t="str">
        <f t="shared" si="33"/>
        <v/>
      </c>
      <c r="AE248" s="8" t="str">
        <f t="shared" si="32"/>
        <v/>
      </c>
      <c r="AF248" s="8" t="str">
        <f>IF(AE248="","",AE248+COUNTIF(AE$2:AE248,AE248)-1)</f>
        <v/>
      </c>
    </row>
    <row r="249" spans="3:32">
      <c r="C249" s="8" t="str">
        <f>IF(B249="","",COUNTIF(B$1:B248,B249)=0)</f>
        <v/>
      </c>
      <c r="D249" s="8" t="str">
        <f>IF(B249="","",IF(C249,COUNTIF(C$2:C249,TRUE),""))</f>
        <v/>
      </c>
      <c r="AC249" s="8" t="str">
        <f t="shared" si="33"/>
        <v/>
      </c>
      <c r="AE249" s="8" t="str">
        <f t="shared" si="32"/>
        <v/>
      </c>
      <c r="AF249" s="8" t="str">
        <f>IF(AE249="","",AE249+COUNTIF(AE$2:AE249,AE249)-1)</f>
        <v/>
      </c>
    </row>
    <row r="250" spans="3:32">
      <c r="C250" s="8" t="str">
        <f>IF(B250="","",COUNTIF(B$1:B249,B250)=0)</f>
        <v/>
      </c>
      <c r="D250" s="8" t="str">
        <f>IF(B250="","",IF(C250,COUNTIF(C$2:C250,TRUE),""))</f>
        <v/>
      </c>
      <c r="AC250" s="8" t="str">
        <f t="shared" si="33"/>
        <v/>
      </c>
      <c r="AE250" s="8" t="str">
        <f t="shared" si="32"/>
        <v/>
      </c>
      <c r="AF250" s="8" t="str">
        <f>IF(AE250="","",AE250+COUNTIF(AE$2:AE250,AE250)-1)</f>
        <v/>
      </c>
    </row>
    <row r="251" spans="3:32">
      <c r="C251" s="8" t="str">
        <f>IF(B251="","",COUNTIF(B$1:B250,B251)=0)</f>
        <v/>
      </c>
      <c r="D251" s="8" t="str">
        <f>IF(B251="","",IF(C251,COUNTIF(C$2:C251,TRUE),""))</f>
        <v/>
      </c>
      <c r="AC251" s="8" t="str">
        <f t="shared" si="33"/>
        <v/>
      </c>
      <c r="AE251" s="8" t="str">
        <f t="shared" si="32"/>
        <v/>
      </c>
      <c r="AF251" s="8" t="str">
        <f>IF(AE251="","",AE251+COUNTIF(AE$2:AE251,AE251)-1)</f>
        <v/>
      </c>
    </row>
    <row r="252" spans="3:32">
      <c r="C252" s="8" t="str">
        <f>IF(B252="","",COUNTIF(B$1:B251,B252)=0)</f>
        <v/>
      </c>
      <c r="D252" s="8" t="str">
        <f>IF(B252="","",IF(C252,COUNTIF(C$2:C252,TRUE),""))</f>
        <v/>
      </c>
      <c r="AC252" s="8" t="str">
        <f t="shared" si="33"/>
        <v/>
      </c>
      <c r="AE252" s="8" t="str">
        <f t="shared" si="32"/>
        <v/>
      </c>
      <c r="AF252" s="8" t="str">
        <f>IF(AE252="","",AE252+COUNTIF(AE$2:AE252,AE252)-1)</f>
        <v/>
      </c>
    </row>
    <row r="253" spans="3:32">
      <c r="C253" s="8" t="str">
        <f>IF(B253="","",COUNTIF(B$1:B252,B253)=0)</f>
        <v/>
      </c>
      <c r="D253" s="8" t="str">
        <f>IF(B253="","",IF(C253,COUNTIF(C$2:C253,TRUE),""))</f>
        <v/>
      </c>
      <c r="AC253" s="8" t="str">
        <f t="shared" si="33"/>
        <v/>
      </c>
      <c r="AE253" s="8" t="str">
        <f t="shared" si="32"/>
        <v/>
      </c>
      <c r="AF253" s="8" t="str">
        <f>IF(AE253="","",AE253+COUNTIF(AE$2:AE253,AE253)-1)</f>
        <v/>
      </c>
    </row>
    <row r="254" spans="3:32">
      <c r="C254" s="8" t="str">
        <f>IF(B254="","",COUNTIF(B$1:B253,B254)=0)</f>
        <v/>
      </c>
      <c r="D254" s="8" t="str">
        <f>IF(B254="","",IF(C254,COUNTIF(C$2:C254,TRUE),""))</f>
        <v/>
      </c>
      <c r="AC254" s="8" t="str">
        <f t="shared" si="33"/>
        <v/>
      </c>
      <c r="AE254" s="8" t="str">
        <f t="shared" si="32"/>
        <v/>
      </c>
      <c r="AF254" s="8" t="str">
        <f>IF(AE254="","",AE254+COUNTIF(AE$2:AE254,AE254)-1)</f>
        <v/>
      </c>
    </row>
    <row r="255" spans="3:32">
      <c r="C255" s="8" t="str">
        <f>IF(B255="","",COUNTIF(B$1:B254,B255)=0)</f>
        <v/>
      </c>
      <c r="D255" s="8" t="str">
        <f>IF(B255="","",IF(C255,COUNTIF(C$2:C255,TRUE),""))</f>
        <v/>
      </c>
      <c r="AC255" s="8" t="str">
        <f t="shared" si="33"/>
        <v/>
      </c>
      <c r="AE255" s="8" t="str">
        <f t="shared" si="32"/>
        <v/>
      </c>
      <c r="AF255" s="8" t="str">
        <f>IF(AE255="","",AE255+COUNTIF(AE$2:AE255,AE255)-1)</f>
        <v/>
      </c>
    </row>
    <row r="256" spans="3:32">
      <c r="C256" s="8" t="str">
        <f>IF(B256="","",COUNTIF(B$1:B255,B256)=0)</f>
        <v/>
      </c>
      <c r="D256" s="8" t="str">
        <f>IF(B256="","",IF(C256,COUNTIF(C$2:C256,TRUE),""))</f>
        <v/>
      </c>
      <c r="AC256" s="8" t="str">
        <f t="shared" si="33"/>
        <v/>
      </c>
      <c r="AE256" s="8" t="str">
        <f>IF(ISBLANK(AD256),"",RANK(AD256,AD$2:AD$256,0))</f>
        <v/>
      </c>
      <c r="AF256" s="8" t="str">
        <f>IF(AE256="","",AE256+COUNTIF(AE$2:AE256,AE256)-1)</f>
        <v/>
      </c>
    </row>
  </sheetData>
  <phoneticPr fontId="6"/>
  <conditionalFormatting sqref="A2">
    <cfRule type="expression" dxfId="5" priority="7" stopIfTrue="1">
      <formula>"not(isref(期間＿開始))"</formula>
    </cfRule>
  </conditionalFormatting>
  <conditionalFormatting sqref="AF2:AF102">
    <cfRule type="cellIs" dxfId="4" priority="6" operator="lessThanOrEqual">
      <formula>MAX($AG:$AG)</formula>
    </cfRule>
  </conditionalFormatting>
  <conditionalFormatting sqref="AE256:AF256 AF103:AF255">
    <cfRule type="cellIs" dxfId="3" priority="2" operator="lessThanOrEqual">
      <formula>MAX($AG:$AG)</formula>
    </cfRule>
  </conditionalFormatting>
  <conditionalFormatting sqref="AE2:AE255">
    <cfRule type="cellIs" dxfId="2" priority="1" operator="lessThanOrEqual">
      <formula>MAX($AG:$AG)</formula>
    </cfRule>
  </conditionalFormatting>
  <pageMargins left="0.7" right="0.7" top="0.75" bottom="0.75" header="0.3" footer="0.3"/>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AB27"/>
  <sheetViews>
    <sheetView tabSelected="1" zoomScaleNormal="100" workbookViewId="0">
      <selection activeCell="K6" sqref="K6"/>
    </sheetView>
  </sheetViews>
  <sheetFormatPr defaultRowHeight="18.75" customHeight="1"/>
  <cols>
    <col min="1" max="1" width="22.75" style="140" bestFit="1" customWidth="1"/>
    <col min="2" max="10" width="9" style="140"/>
    <col min="11" max="11" width="15.125" style="140" bestFit="1" customWidth="1"/>
    <col min="12" max="24" width="9" style="140"/>
    <col min="25" max="28" width="16.625" style="140" customWidth="1"/>
    <col min="29" max="16384" width="9" style="140"/>
  </cols>
  <sheetData>
    <row r="1" spans="1:28" ht="18.75" customHeight="1">
      <c r="A1" s="143" t="s">
        <v>1490</v>
      </c>
      <c r="B1" s="140" t="s">
        <v>1501</v>
      </c>
      <c r="D1" s="164" t="s">
        <v>1498</v>
      </c>
      <c r="E1" s="165"/>
      <c r="F1" s="166"/>
      <c r="G1" s="164" t="s">
        <v>1516</v>
      </c>
      <c r="H1" s="165"/>
      <c r="I1" s="166"/>
      <c r="K1" s="164" t="s">
        <v>1507</v>
      </c>
      <c r="L1" s="165"/>
      <c r="M1" s="166"/>
      <c r="N1" s="164" t="s">
        <v>1516</v>
      </c>
      <c r="O1" s="165"/>
      <c r="P1" s="166"/>
      <c r="R1" s="164" t="s">
        <v>1508</v>
      </c>
      <c r="S1" s="165"/>
      <c r="T1" s="166"/>
      <c r="U1" s="164" t="s">
        <v>1510</v>
      </c>
      <c r="V1" s="165"/>
      <c r="W1" s="166"/>
      <c r="Y1" s="164" t="s">
        <v>1512</v>
      </c>
      <c r="Z1" s="165"/>
      <c r="AA1" s="165"/>
      <c r="AB1" s="166"/>
    </row>
    <row r="2" spans="1:28" ht="18.75" customHeight="1">
      <c r="A2" s="141">
        <v>43952</v>
      </c>
      <c r="C2" s="140" t="s">
        <v>1493</v>
      </c>
    </row>
    <row r="3" spans="1:28" ht="18.75" customHeight="1">
      <c r="A3" s="142">
        <v>44012</v>
      </c>
      <c r="D3" s="140" t="s">
        <v>1498</v>
      </c>
      <c r="E3" s="140" t="s">
        <v>1491</v>
      </c>
      <c r="F3" s="140" t="s">
        <v>1497</v>
      </c>
      <c r="G3" s="140" t="s">
        <v>1517</v>
      </c>
      <c r="H3" s="140" t="s">
        <v>1491</v>
      </c>
      <c r="I3" s="140" t="s">
        <v>1497</v>
      </c>
      <c r="K3" s="140" t="s">
        <v>1496</v>
      </c>
      <c r="L3" s="140" t="s">
        <v>1497</v>
      </c>
      <c r="N3" s="140" t="s">
        <v>1517</v>
      </c>
      <c r="O3" s="140" t="s">
        <v>1497</v>
      </c>
      <c r="R3" s="140" t="s">
        <v>1203</v>
      </c>
      <c r="S3" s="140" t="s">
        <v>1497</v>
      </c>
      <c r="V3" s="140" t="s">
        <v>1203</v>
      </c>
      <c r="W3" s="140" t="s">
        <v>1497</v>
      </c>
      <c r="Y3" s="140" t="s">
        <v>1497</v>
      </c>
      <c r="Z3" s="140" t="s">
        <v>1497</v>
      </c>
      <c r="AA3" s="140" t="s">
        <v>1497</v>
      </c>
      <c r="AB3" s="140" t="s">
        <v>1497</v>
      </c>
    </row>
    <row r="4" spans="1:28" ht="18.75" customHeight="1" thickBot="1">
      <c r="D4" s="144" t="s">
        <v>1488</v>
      </c>
      <c r="E4" s="145" t="s">
        <v>1201</v>
      </c>
      <c r="F4" s="145" t="s">
        <v>1201</v>
      </c>
      <c r="G4" s="145" t="s">
        <v>1488</v>
      </c>
      <c r="H4" s="145" t="s">
        <v>1201</v>
      </c>
      <c r="I4" s="146" t="s">
        <v>1201</v>
      </c>
      <c r="K4" s="144" t="s">
        <v>1488</v>
      </c>
      <c r="L4" s="146" t="s">
        <v>1201</v>
      </c>
      <c r="M4" s="146" t="s">
        <v>1515</v>
      </c>
      <c r="N4" s="145" t="s">
        <v>1488</v>
      </c>
      <c r="O4" s="145" t="s">
        <v>1201</v>
      </c>
      <c r="P4" s="146" t="s">
        <v>1515</v>
      </c>
      <c r="R4" s="144" t="s">
        <v>1488</v>
      </c>
      <c r="S4" s="147" t="s">
        <v>1201</v>
      </c>
      <c r="T4" s="146" t="s">
        <v>1515</v>
      </c>
      <c r="U4" s="144" t="s">
        <v>1511</v>
      </c>
      <c r="V4" s="144" t="s">
        <v>1488</v>
      </c>
      <c r="W4" s="146" t="s">
        <v>1201</v>
      </c>
      <c r="Y4" s="144" t="s">
        <v>1175</v>
      </c>
      <c r="Z4" s="145" t="s">
        <v>1454</v>
      </c>
      <c r="AA4" s="145" t="s">
        <v>1513</v>
      </c>
      <c r="AB4" s="146" t="s">
        <v>1514</v>
      </c>
    </row>
    <row r="5" spans="1:28" ht="18.75" customHeight="1" thickTop="1">
      <c r="A5" s="143" t="s">
        <v>1494</v>
      </c>
      <c r="C5" s="163"/>
      <c r="D5" s="158"/>
      <c r="E5" s="148" t="s">
        <v>1063</v>
      </c>
      <c r="F5" s="153"/>
      <c r="G5" s="154"/>
      <c r="H5" s="158"/>
      <c r="I5" s="158"/>
      <c r="K5" s="148" t="s">
        <v>1066</v>
      </c>
      <c r="M5" s="153"/>
      <c r="N5" s="154"/>
      <c r="T5" s="155"/>
      <c r="U5" s="156"/>
      <c r="Y5" s="158"/>
      <c r="Z5" s="158"/>
      <c r="AA5" s="158"/>
      <c r="AB5" s="158"/>
    </row>
    <row r="6" spans="1:28" ht="18.75" customHeight="1">
      <c r="A6" s="140" t="s">
        <v>1490</v>
      </c>
      <c r="B6" s="140" t="b">
        <f>ISREF(集計期間)</f>
        <v>1</v>
      </c>
      <c r="D6" s="138" t="s">
        <v>1520</v>
      </c>
      <c r="E6" s="161">
        <v>3</v>
      </c>
      <c r="F6" s="138">
        <v>2</v>
      </c>
      <c r="G6" s="138" t="s">
        <v>1520</v>
      </c>
      <c r="H6" s="138">
        <v>3</v>
      </c>
      <c r="I6" s="138">
        <v>2</v>
      </c>
      <c r="K6" s="149" t="s">
        <v>27</v>
      </c>
      <c r="L6" s="150"/>
      <c r="M6" s="150"/>
      <c r="N6" s="151"/>
      <c r="O6" s="152"/>
      <c r="P6" s="152"/>
      <c r="R6" s="152"/>
      <c r="S6" s="152"/>
      <c r="T6" s="152"/>
      <c r="U6" s="152"/>
      <c r="V6" s="152"/>
      <c r="W6" s="152"/>
    </row>
    <row r="7" spans="1:28" ht="18.75" customHeight="1">
      <c r="A7" s="140" t="s">
        <v>1492</v>
      </c>
      <c r="B7" s="140" t="b">
        <f>ISREF(組織)</f>
        <v>1</v>
      </c>
      <c r="D7" s="138" t="s">
        <v>1242</v>
      </c>
      <c r="F7" s="138">
        <v>0</v>
      </c>
      <c r="G7" s="138" t="s">
        <v>1260</v>
      </c>
      <c r="H7" s="138">
        <v>74</v>
      </c>
      <c r="I7" s="138">
        <v>56</v>
      </c>
      <c r="K7" s="149" t="s">
        <v>54</v>
      </c>
      <c r="L7" s="150"/>
      <c r="M7" s="150"/>
    </row>
    <row r="8" spans="1:28" ht="18.75" customHeight="1">
      <c r="A8" s="140" t="s">
        <v>1495</v>
      </c>
      <c r="B8" s="140" t="b">
        <f>ISREF(承認記録)</f>
        <v>1</v>
      </c>
      <c r="D8" s="138" t="s">
        <v>1260</v>
      </c>
      <c r="E8" s="161">
        <v>74</v>
      </c>
      <c r="F8" s="138">
        <v>56</v>
      </c>
      <c r="G8" s="138" t="s">
        <v>1287</v>
      </c>
      <c r="H8" s="138">
        <v>4</v>
      </c>
      <c r="I8" s="138">
        <v>1</v>
      </c>
      <c r="K8" s="149" t="s">
        <v>779</v>
      </c>
      <c r="L8" s="150"/>
      <c r="M8" s="150"/>
    </row>
    <row r="9" spans="1:28" ht="18.75" customHeight="1">
      <c r="A9" s="140" t="s">
        <v>1857</v>
      </c>
      <c r="B9" s="140" t="b">
        <f>ISREF(取引集計)</f>
        <v>1</v>
      </c>
      <c r="D9" s="138" t="s">
        <v>1287</v>
      </c>
      <c r="E9" s="162">
        <v>4</v>
      </c>
      <c r="F9" s="138">
        <v>1</v>
      </c>
      <c r="G9" s="138" t="s">
        <v>1296</v>
      </c>
      <c r="H9" s="138">
        <v>1</v>
      </c>
      <c r="I9" s="138">
        <v>0</v>
      </c>
      <c r="K9" s="149" t="s">
        <v>166</v>
      </c>
      <c r="L9" s="150"/>
      <c r="M9" s="150"/>
    </row>
    <row r="10" spans="1:28" ht="18.75" customHeight="1">
      <c r="A10" s="140" t="s">
        <v>1858</v>
      </c>
      <c r="B10" s="140" t="b">
        <f>ISREF(取引集計＿非ゼロ)</f>
        <v>1</v>
      </c>
      <c r="D10" s="138" t="s">
        <v>1296</v>
      </c>
      <c r="E10" s="162">
        <v>1</v>
      </c>
      <c r="F10" s="138">
        <v>0</v>
      </c>
      <c r="G10" s="138" t="s">
        <v>1529</v>
      </c>
      <c r="H10" s="138">
        <v>0</v>
      </c>
      <c r="I10" s="138">
        <v>1</v>
      </c>
      <c r="K10" s="149" t="s">
        <v>1077</v>
      </c>
      <c r="L10" s="150"/>
      <c r="M10" s="150"/>
    </row>
    <row r="11" spans="1:28" ht="18.75" customHeight="1">
      <c r="A11" s="140" t="s">
        <v>1498</v>
      </c>
      <c r="B11" s="140" t="b">
        <f>ISREF(組織集計)</f>
        <v>1</v>
      </c>
      <c r="D11" s="138" t="s">
        <v>1529</v>
      </c>
      <c r="F11" s="138">
        <v>1</v>
      </c>
      <c r="G11" s="138" t="s">
        <v>545</v>
      </c>
      <c r="H11" s="138">
        <v>0</v>
      </c>
      <c r="I11" s="138">
        <v>1</v>
      </c>
      <c r="K11" s="149" t="s">
        <v>87</v>
      </c>
      <c r="L11" s="150"/>
      <c r="M11" s="150"/>
    </row>
    <row r="12" spans="1:28" ht="18.75" customHeight="1">
      <c r="A12" s="140" t="s">
        <v>1846</v>
      </c>
      <c r="B12" s="140" t="b">
        <f>ISREF(組織集計＿非ゼロ)</f>
        <v>1</v>
      </c>
      <c r="D12" s="138" t="s">
        <v>1535</v>
      </c>
      <c r="F12" s="138">
        <v>0</v>
      </c>
      <c r="G12" s="138"/>
      <c r="H12" s="138"/>
      <c r="I12" s="138"/>
      <c r="K12" s="149" t="s">
        <v>494</v>
      </c>
      <c r="L12" s="150"/>
      <c r="M12" s="150"/>
    </row>
    <row r="13" spans="1:28" ht="18.75" customHeight="1">
      <c r="A13" s="140" t="s">
        <v>1508</v>
      </c>
      <c r="B13" s="140" t="b">
        <f>ISREF(仕向地集計)</f>
        <v>0</v>
      </c>
      <c r="D13" s="138" t="s">
        <v>1540</v>
      </c>
      <c r="F13" s="138">
        <v>0</v>
      </c>
      <c r="G13" s="138"/>
      <c r="H13" s="138"/>
      <c r="I13" s="138"/>
      <c r="K13" s="149" t="s">
        <v>73</v>
      </c>
      <c r="L13" s="150"/>
      <c r="M13" s="150"/>
    </row>
    <row r="14" spans="1:28" ht="18.75" customHeight="1">
      <c r="A14" s="140" t="s">
        <v>1509</v>
      </c>
      <c r="B14" s="140" t="b">
        <f ca="1">ISREF(仕向地集計(トップ))</f>
        <v>0</v>
      </c>
      <c r="D14" s="138" t="s">
        <v>1543</v>
      </c>
      <c r="F14" s="138">
        <v>0</v>
      </c>
      <c r="G14" s="138"/>
      <c r="H14" s="138"/>
      <c r="I14" s="138"/>
      <c r="K14" s="149" t="s">
        <v>259</v>
      </c>
      <c r="L14" s="150"/>
      <c r="M14" s="150"/>
    </row>
    <row r="15" spans="1:28" ht="18.75" customHeight="1">
      <c r="A15" s="140" t="s">
        <v>1512</v>
      </c>
      <c r="B15" s="140" t="b">
        <f>ISREF(該当取引)</f>
        <v>0</v>
      </c>
      <c r="D15" s="138" t="s">
        <v>1547</v>
      </c>
      <c r="F15" s="138">
        <v>0</v>
      </c>
      <c r="G15" s="138"/>
      <c r="H15" s="138"/>
      <c r="I15" s="138"/>
      <c r="K15" s="149" t="s">
        <v>252</v>
      </c>
      <c r="L15" s="150"/>
      <c r="M15" s="150"/>
    </row>
    <row r="16" spans="1:28" ht="18.75" customHeight="1">
      <c r="A16" s="140" t="s">
        <v>1519</v>
      </c>
      <c r="B16" s="140" t="b">
        <f>ISREF(Range_組織辞書)</f>
        <v>1</v>
      </c>
      <c r="D16" s="138" t="s">
        <v>1550</v>
      </c>
      <c r="F16" s="138">
        <v>0</v>
      </c>
      <c r="G16" s="138"/>
      <c r="H16" s="138"/>
      <c r="I16" s="138"/>
      <c r="K16" s="149" t="s">
        <v>1085</v>
      </c>
      <c r="L16" s="150"/>
      <c r="M16" s="150"/>
    </row>
    <row r="17" spans="1:13" ht="18.75" customHeight="1">
      <c r="D17" s="138" t="s">
        <v>1556</v>
      </c>
      <c r="F17" s="138">
        <v>0</v>
      </c>
      <c r="G17" s="138"/>
      <c r="H17" s="138"/>
      <c r="I17" s="138"/>
      <c r="K17" s="149" t="s">
        <v>116</v>
      </c>
      <c r="L17" s="150"/>
      <c r="M17" s="150"/>
    </row>
    <row r="18" spans="1:13" ht="18.75" customHeight="1">
      <c r="D18" s="138" t="s">
        <v>1557</v>
      </c>
      <c r="F18" s="138">
        <v>0</v>
      </c>
      <c r="G18" s="138"/>
      <c r="H18" s="138"/>
      <c r="I18" s="138"/>
    </row>
    <row r="19" spans="1:13" ht="18.75" customHeight="1">
      <c r="A19" s="143" t="s">
        <v>1499</v>
      </c>
      <c r="B19" s="157"/>
      <c r="D19" s="138" t="s">
        <v>1561</v>
      </c>
      <c r="F19" s="138">
        <v>0</v>
      </c>
      <c r="G19" s="138"/>
      <c r="H19" s="138"/>
      <c r="I19" s="138"/>
    </row>
    <row r="20" spans="1:13" ht="18.75" customHeight="1">
      <c r="A20" s="140" t="s">
        <v>1500</v>
      </c>
      <c r="B20" s="157"/>
      <c r="D20" s="138" t="s">
        <v>1385</v>
      </c>
      <c r="F20" s="138">
        <v>0</v>
      </c>
      <c r="G20" s="138"/>
      <c r="H20" s="138"/>
      <c r="I20" s="138"/>
    </row>
    <row r="21" spans="1:13" ht="18.75" customHeight="1">
      <c r="A21" s="140" t="s">
        <v>1502</v>
      </c>
      <c r="B21" s="157"/>
      <c r="D21" s="138" t="s">
        <v>1563</v>
      </c>
      <c r="F21" s="138">
        <v>0</v>
      </c>
      <c r="G21" s="138"/>
      <c r="H21" s="138"/>
      <c r="I21" s="138"/>
    </row>
    <row r="22" spans="1:13" ht="18.75" customHeight="1">
      <c r="A22" s="140" t="s">
        <v>1503</v>
      </c>
      <c r="B22" s="157"/>
      <c r="D22" s="138" t="s">
        <v>1398</v>
      </c>
      <c r="F22" s="138">
        <v>0</v>
      </c>
      <c r="G22" s="138"/>
      <c r="H22" s="138"/>
      <c r="I22" s="138"/>
    </row>
    <row r="23" spans="1:13" ht="18.75" customHeight="1">
      <c r="A23" s="140" t="s">
        <v>1504</v>
      </c>
      <c r="B23" s="157"/>
      <c r="D23" s="138" t="s">
        <v>1419</v>
      </c>
      <c r="F23" s="138">
        <v>0</v>
      </c>
      <c r="G23" s="138"/>
      <c r="H23" s="138"/>
      <c r="I23" s="138"/>
    </row>
    <row r="24" spans="1:13" ht="18.75" customHeight="1">
      <c r="A24" s="140" t="s">
        <v>1505</v>
      </c>
      <c r="B24" s="157"/>
      <c r="D24" s="138" t="s">
        <v>545</v>
      </c>
      <c r="F24" s="138">
        <v>1</v>
      </c>
      <c r="G24" s="138"/>
      <c r="H24" s="138"/>
      <c r="I24" s="138"/>
    </row>
    <row r="25" spans="1:13" ht="18.75" customHeight="1">
      <c r="A25" s="140" t="s">
        <v>1506</v>
      </c>
      <c r="B25" s="157"/>
      <c r="D25" s="138" t="s">
        <v>1434</v>
      </c>
      <c r="F25" s="138">
        <v>0</v>
      </c>
      <c r="G25" s="138"/>
      <c r="H25" s="138"/>
      <c r="I25" s="138"/>
    </row>
    <row r="26" spans="1:13" ht="18.75" customHeight="1">
      <c r="D26" s="138" t="s">
        <v>1437</v>
      </c>
      <c r="F26" s="138">
        <v>0</v>
      </c>
      <c r="G26" s="138"/>
      <c r="H26" s="138"/>
      <c r="I26" s="138"/>
    </row>
    <row r="27" spans="1:13" ht="18.75" customHeight="1">
      <c r="D27" s="138" t="s">
        <v>1847</v>
      </c>
      <c r="F27" s="138">
        <v>0</v>
      </c>
      <c r="G27" s="138"/>
      <c r="H27" s="138"/>
      <c r="I27" s="138"/>
    </row>
  </sheetData>
  <dataConsolidate/>
  <mergeCells count="7">
    <mergeCell ref="Y1:AB1"/>
    <mergeCell ref="K1:M1"/>
    <mergeCell ref="N1:P1"/>
    <mergeCell ref="D1:F1"/>
    <mergeCell ref="G1:I1"/>
    <mergeCell ref="R1:T1"/>
    <mergeCell ref="U1:W1"/>
  </mergeCells>
  <phoneticPr fontId="6"/>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集計名《組織》初期化">
                <anchor moveWithCells="1" sizeWithCells="1">
                  <from>
                    <xdr:col>1</xdr:col>
                    <xdr:colOff>38100</xdr:colOff>
                    <xdr:row>1</xdr:row>
                    <xdr:rowOff>47625</xdr:rowOff>
                  </from>
                  <to>
                    <xdr:col>1</xdr:col>
                    <xdr:colOff>657225</xdr:colOff>
                    <xdr:row>2</xdr:row>
                    <xdr:rowOff>142875</xdr:rowOff>
                  </to>
                </anchor>
              </controlPr>
            </control>
          </mc:Choice>
        </mc:AlternateContent>
        <mc:AlternateContent xmlns:mc="http://schemas.openxmlformats.org/markup-compatibility/2006">
          <mc:Choice Requires="x14">
            <control shapeId="8202" r:id="rId5" name="Button 10">
              <controlPr defaultSize="0" print="0" autoFill="0" autoPict="0" macro="[0]!Sheet1.名前の定義確認の生成">
                <anchor moveWithCells="1" sizeWithCells="1">
                  <from>
                    <xdr:col>1</xdr:col>
                    <xdr:colOff>38100</xdr:colOff>
                    <xdr:row>4</xdr:row>
                    <xdr:rowOff>19050</xdr:rowOff>
                  </from>
                  <to>
                    <xdr:col>1</xdr:col>
                    <xdr:colOff>657225</xdr:colOff>
                    <xdr:row>4</xdr:row>
                    <xdr:rowOff>228600</xdr:rowOff>
                  </to>
                </anchor>
              </controlPr>
            </control>
          </mc:Choice>
        </mc:AlternateContent>
        <mc:AlternateContent xmlns:mc="http://schemas.openxmlformats.org/markup-compatibility/2006">
          <mc:Choice Requires="x14">
            <control shapeId="8205" r:id="rId6" name="Button 13">
              <controlPr defaultSize="0" print="0" autoFill="0" autoPict="0" macro="[0]!Sheet1.組織別個別審査件数集計">
                <anchor moveWithCells="1" sizeWithCells="1">
                  <from>
                    <xdr:col>5</xdr:col>
                    <xdr:colOff>28575</xdr:colOff>
                    <xdr:row>4</xdr:row>
                    <xdr:rowOff>28575</xdr:rowOff>
                  </from>
                  <to>
                    <xdr:col>5</xdr:col>
                    <xdr:colOff>647700</xdr:colOff>
                    <xdr:row>4</xdr:row>
                    <xdr:rowOff>209550</xdr:rowOff>
                  </to>
                </anchor>
              </controlPr>
            </control>
          </mc:Choice>
        </mc:AlternateContent>
        <mc:AlternateContent xmlns:mc="http://schemas.openxmlformats.org/markup-compatibility/2006">
          <mc:Choice Requires="x14">
            <control shapeId="8206" r:id="rId7" name="Button 14">
              <controlPr defaultSize="0" print="0" autoFill="0" autoPict="0" macro="[0]!Sheet1.組織辞書初期化">
                <anchor moveWithCells="1" sizeWithCells="1">
                  <from>
                    <xdr:col>2</xdr:col>
                    <xdr:colOff>28575</xdr:colOff>
                    <xdr:row>4</xdr:row>
                    <xdr:rowOff>28575</xdr:rowOff>
                  </from>
                  <to>
                    <xdr:col>2</xdr:col>
                    <xdr:colOff>647700</xdr:colOff>
                    <xdr:row>4</xdr:row>
                    <xdr:rowOff>209550</xdr:rowOff>
                  </to>
                </anchor>
              </controlPr>
            </control>
          </mc:Choice>
        </mc:AlternateContent>
        <mc:AlternateContent xmlns:mc="http://schemas.openxmlformats.org/markup-compatibility/2006">
          <mc:Choice Requires="x14">
            <control shapeId="8193" r:id="rId8" name="Button 1">
              <controlPr defaultSize="0" print="0" autoFill="0" autoPict="0" macro="[0]!Sheet1.組織集計1列初期化">
                <anchor moveWithCells="1" sizeWithCells="1">
                  <from>
                    <xdr:col>3</xdr:col>
                    <xdr:colOff>28575</xdr:colOff>
                    <xdr:row>4</xdr:row>
                    <xdr:rowOff>28575</xdr:rowOff>
                  </from>
                  <to>
                    <xdr:col>3</xdr:col>
                    <xdr:colOff>647700</xdr:colOff>
                    <xdr:row>4</xdr:row>
                    <xdr:rowOff>209550</xdr:rowOff>
                  </to>
                </anchor>
              </controlPr>
            </control>
          </mc:Choice>
        </mc:AlternateContent>
        <mc:AlternateContent xmlns:mc="http://schemas.openxmlformats.org/markup-compatibility/2006">
          <mc:Choice Requires="x14">
            <control shapeId="8207" r:id="rId9" name="Button 15">
              <controlPr defaultSize="0" print="0" autoFill="0" autoPict="0" macro="[0]!Sheet1.組織集計_非ゼロ更新">
                <anchor moveWithCells="1" sizeWithCells="1">
                  <from>
                    <xdr:col>6</xdr:col>
                    <xdr:colOff>28575</xdr:colOff>
                    <xdr:row>4</xdr:row>
                    <xdr:rowOff>28575</xdr:rowOff>
                  </from>
                  <to>
                    <xdr:col>6</xdr:col>
                    <xdr:colOff>647700</xdr:colOff>
                    <xdr:row>4</xdr:row>
                    <xdr:rowOff>209550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R23"/>
  <sheetViews>
    <sheetView workbookViewId="0">
      <selection activeCell="D26" sqref="D26"/>
    </sheetView>
  </sheetViews>
  <sheetFormatPr defaultRowHeight="13.5"/>
  <cols>
    <col min="1" max="16384" width="9" style="138"/>
  </cols>
  <sheetData>
    <row r="1" spans="1:18">
      <c r="A1" s="139" t="s">
        <v>1486</v>
      </c>
      <c r="B1" s="139" t="s">
        <v>1487</v>
      </c>
      <c r="D1" s="139" t="s">
        <v>1488</v>
      </c>
      <c r="E1" s="139" t="s">
        <v>1489</v>
      </c>
    </row>
    <row r="2" spans="1:18" ht="18.75">
      <c r="D2" t="s">
        <v>1520</v>
      </c>
      <c r="E2" t="s">
        <v>1072</v>
      </c>
      <c r="F2" t="s">
        <v>1074</v>
      </c>
      <c r="G2" t="s">
        <v>1521</v>
      </c>
      <c r="H2" t="s">
        <v>1078</v>
      </c>
      <c r="I2" t="s">
        <v>1079</v>
      </c>
      <c r="J2" t="s">
        <v>1081</v>
      </c>
      <c r="K2" t="s">
        <v>1082</v>
      </c>
      <c r="L2" t="s">
        <v>886</v>
      </c>
      <c r="M2" t="s">
        <v>604</v>
      </c>
      <c r="N2" t="s">
        <v>408</v>
      </c>
      <c r="O2" t="s">
        <v>1086</v>
      </c>
      <c r="P2" t="s">
        <v>1087</v>
      </c>
      <c r="Q2" t="s">
        <v>1089</v>
      </c>
      <c r="R2"/>
    </row>
    <row r="3" spans="1:18" ht="18.75">
      <c r="D3" t="s">
        <v>1242</v>
      </c>
      <c r="E3" t="s">
        <v>1090</v>
      </c>
      <c r="F3" t="s">
        <v>1092</v>
      </c>
      <c r="G3" t="s">
        <v>1093</v>
      </c>
      <c r="H3" t="s">
        <v>1094</v>
      </c>
      <c r="I3" t="s">
        <v>1096</v>
      </c>
      <c r="J3" t="s">
        <v>1522</v>
      </c>
      <c r="K3" t="s">
        <v>1523</v>
      </c>
      <c r="L3" t="s">
        <v>1099</v>
      </c>
      <c r="M3"/>
      <c r="N3"/>
      <c r="O3"/>
      <c r="P3"/>
      <c r="Q3"/>
      <c r="R3"/>
    </row>
    <row r="4" spans="1:18" ht="18.75">
      <c r="D4" t="s">
        <v>1260</v>
      </c>
      <c r="E4" t="s">
        <v>139</v>
      </c>
      <c r="F4" t="s">
        <v>47</v>
      </c>
      <c r="G4" t="s">
        <v>1102</v>
      </c>
      <c r="H4" t="s">
        <v>1524</v>
      </c>
      <c r="I4" t="s">
        <v>1104</v>
      </c>
      <c r="J4" t="s">
        <v>101</v>
      </c>
      <c r="K4" t="s">
        <v>1105</v>
      </c>
      <c r="L4" t="s">
        <v>32</v>
      </c>
      <c r="M4" t="s">
        <v>128</v>
      </c>
      <c r="N4" t="s">
        <v>1106</v>
      </c>
      <c r="O4" t="s">
        <v>90</v>
      </c>
      <c r="P4" t="s">
        <v>596</v>
      </c>
      <c r="Q4" t="s">
        <v>1109</v>
      </c>
      <c r="R4" t="s">
        <v>1110</v>
      </c>
    </row>
    <row r="5" spans="1:18" ht="18.75">
      <c r="D5" t="s">
        <v>1287</v>
      </c>
      <c r="E5" t="s">
        <v>1525</v>
      </c>
      <c r="F5" t="s">
        <v>191</v>
      </c>
      <c r="G5" t="s">
        <v>1526</v>
      </c>
      <c r="H5" t="s">
        <v>1527</v>
      </c>
      <c r="I5"/>
      <c r="J5"/>
      <c r="K5"/>
      <c r="L5"/>
      <c r="M5"/>
      <c r="N5"/>
      <c r="O5"/>
      <c r="P5"/>
      <c r="Q5"/>
      <c r="R5"/>
    </row>
    <row r="6" spans="1:18" ht="18.75">
      <c r="D6" t="s">
        <v>1296</v>
      </c>
      <c r="E6" t="s">
        <v>1528</v>
      </c>
      <c r="F6" t="s">
        <v>368</v>
      </c>
      <c r="G6" t="s">
        <v>1195</v>
      </c>
      <c r="H6" t="s">
        <v>1117</v>
      </c>
      <c r="I6"/>
      <c r="J6"/>
      <c r="K6"/>
      <c r="L6"/>
      <c r="M6"/>
      <c r="N6"/>
      <c r="O6"/>
      <c r="P6"/>
      <c r="Q6"/>
      <c r="R6"/>
    </row>
    <row r="7" spans="1:18" ht="18.75">
      <c r="D7" t="s">
        <v>1529</v>
      </c>
      <c r="E7" t="s">
        <v>1530</v>
      </c>
      <c r="F7" t="s">
        <v>1531</v>
      </c>
      <c r="G7" t="s">
        <v>635</v>
      </c>
      <c r="H7" t="s">
        <v>1532</v>
      </c>
      <c r="I7" t="s">
        <v>1533</v>
      </c>
      <c r="J7" t="s">
        <v>1534</v>
      </c>
      <c r="K7"/>
      <c r="L7"/>
      <c r="M7"/>
      <c r="N7"/>
      <c r="O7"/>
      <c r="P7"/>
      <c r="Q7"/>
      <c r="R7"/>
    </row>
    <row r="8" spans="1:18" ht="18.75">
      <c r="D8" t="s">
        <v>1535</v>
      </c>
      <c r="E8" t="s">
        <v>1536</v>
      </c>
      <c r="F8" t="s">
        <v>271</v>
      </c>
      <c r="G8" t="s">
        <v>1537</v>
      </c>
      <c r="H8" t="s">
        <v>1538</v>
      </c>
      <c r="I8" t="s">
        <v>264</v>
      </c>
      <c r="J8" t="s">
        <v>1539</v>
      </c>
      <c r="K8"/>
      <c r="L8"/>
      <c r="M8"/>
      <c r="N8"/>
      <c r="O8"/>
      <c r="P8"/>
      <c r="Q8"/>
      <c r="R8"/>
    </row>
    <row r="9" spans="1:18" ht="18.75">
      <c r="D9" t="s">
        <v>1540</v>
      </c>
      <c r="E9" t="s">
        <v>1541</v>
      </c>
      <c r="F9" t="s">
        <v>396</v>
      </c>
      <c r="G9" t="s">
        <v>236</v>
      </c>
      <c r="H9" t="s">
        <v>1542</v>
      </c>
      <c r="I9"/>
      <c r="J9"/>
      <c r="K9"/>
      <c r="L9"/>
      <c r="M9"/>
      <c r="N9"/>
      <c r="O9"/>
      <c r="P9"/>
      <c r="Q9"/>
      <c r="R9"/>
    </row>
    <row r="10" spans="1:18" ht="18.75">
      <c r="D10" t="s">
        <v>1543</v>
      </c>
      <c r="E10" t="s">
        <v>718</v>
      </c>
      <c r="F10" t="s">
        <v>1544</v>
      </c>
      <c r="G10" t="s">
        <v>1545</v>
      </c>
      <c r="H10" t="s">
        <v>1546</v>
      </c>
      <c r="I10"/>
      <c r="J10"/>
      <c r="K10"/>
      <c r="L10"/>
      <c r="M10"/>
      <c r="N10"/>
      <c r="O10"/>
      <c r="P10"/>
      <c r="Q10"/>
      <c r="R10"/>
    </row>
    <row r="11" spans="1:18" ht="18.75">
      <c r="D11" t="s">
        <v>1547</v>
      </c>
      <c r="E11" t="s">
        <v>1548</v>
      </c>
      <c r="F11" t="s">
        <v>1549</v>
      </c>
      <c r="G11"/>
      <c r="H11"/>
      <c r="I11"/>
      <c r="J11"/>
      <c r="K11"/>
      <c r="L11"/>
      <c r="M11"/>
      <c r="N11"/>
      <c r="O11"/>
      <c r="P11"/>
      <c r="Q11"/>
      <c r="R11"/>
    </row>
    <row r="12" spans="1:18" ht="18.75">
      <c r="D12" t="s">
        <v>1550</v>
      </c>
      <c r="E12" t="s">
        <v>1551</v>
      </c>
      <c r="F12" t="s">
        <v>1552</v>
      </c>
      <c r="G12" t="s">
        <v>1553</v>
      </c>
      <c r="H12" t="s">
        <v>1554</v>
      </c>
      <c r="I12" t="s">
        <v>1555</v>
      </c>
      <c r="J12"/>
      <c r="K12"/>
      <c r="L12"/>
      <c r="M12"/>
      <c r="N12"/>
      <c r="O12"/>
      <c r="P12"/>
      <c r="Q12"/>
      <c r="R12"/>
    </row>
    <row r="13" spans="1:18" ht="18.75">
      <c r="D13" t="s">
        <v>1556</v>
      </c>
      <c r="E13"/>
      <c r="F13"/>
      <c r="G13"/>
      <c r="H13"/>
      <c r="I13"/>
      <c r="J13"/>
      <c r="K13"/>
      <c r="L13"/>
      <c r="M13"/>
      <c r="N13"/>
      <c r="O13"/>
      <c r="P13"/>
      <c r="Q13"/>
      <c r="R13"/>
    </row>
    <row r="14" spans="1:18" ht="18.75">
      <c r="D14" t="s">
        <v>1557</v>
      </c>
      <c r="E14" t="s">
        <v>1558</v>
      </c>
      <c r="F14" t="s">
        <v>1559</v>
      </c>
      <c r="G14" t="s">
        <v>1560</v>
      </c>
      <c r="H14"/>
      <c r="I14"/>
      <c r="J14"/>
      <c r="K14"/>
      <c r="L14"/>
      <c r="M14"/>
      <c r="N14"/>
      <c r="O14"/>
      <c r="P14"/>
      <c r="Q14"/>
      <c r="R14"/>
    </row>
    <row r="15" spans="1:18" ht="18.75">
      <c r="D15" t="s">
        <v>1561</v>
      </c>
      <c r="E15" t="s">
        <v>1562</v>
      </c>
      <c r="F15" t="s">
        <v>1149</v>
      </c>
      <c r="G15" t="s">
        <v>1150</v>
      </c>
      <c r="H15" t="s">
        <v>1151</v>
      </c>
      <c r="I15"/>
      <c r="J15"/>
      <c r="K15"/>
      <c r="L15"/>
      <c r="M15"/>
      <c r="N15"/>
      <c r="O15"/>
      <c r="P15"/>
      <c r="Q15"/>
      <c r="R15"/>
    </row>
    <row r="16" spans="1:18" ht="18.75">
      <c r="D16" t="s">
        <v>1385</v>
      </c>
      <c r="E16"/>
      <c r="F16"/>
      <c r="G16"/>
      <c r="H16"/>
      <c r="I16"/>
      <c r="J16"/>
      <c r="K16"/>
      <c r="L16"/>
      <c r="M16"/>
      <c r="N16"/>
      <c r="O16"/>
      <c r="P16"/>
      <c r="Q16"/>
      <c r="R16"/>
    </row>
    <row r="17" spans="4:18" ht="18.75">
      <c r="D17" t="s">
        <v>1563</v>
      </c>
      <c r="E17" t="s">
        <v>1564</v>
      </c>
      <c r="F17" t="s">
        <v>1565</v>
      </c>
      <c r="G17" t="s">
        <v>1566</v>
      </c>
      <c r="H17" t="s">
        <v>1567</v>
      </c>
      <c r="I17"/>
      <c r="J17"/>
      <c r="K17"/>
      <c r="L17"/>
      <c r="M17"/>
      <c r="N17"/>
      <c r="O17"/>
      <c r="P17"/>
      <c r="Q17"/>
      <c r="R17"/>
    </row>
    <row r="18" spans="4:18" ht="18.75">
      <c r="D18" t="s">
        <v>1398</v>
      </c>
      <c r="E18" t="s">
        <v>1156</v>
      </c>
      <c r="F18" t="s">
        <v>1157</v>
      </c>
      <c r="G18" t="s">
        <v>1568</v>
      </c>
      <c r="H18" t="s">
        <v>1159</v>
      </c>
      <c r="I18" t="s">
        <v>1160</v>
      </c>
      <c r="J18" t="s">
        <v>1410</v>
      </c>
      <c r="K18" t="s">
        <v>1161</v>
      </c>
      <c r="L18" t="s">
        <v>1569</v>
      </c>
      <c r="M18" t="s">
        <v>1570</v>
      </c>
      <c r="N18"/>
      <c r="O18"/>
      <c r="P18"/>
      <c r="Q18"/>
      <c r="R18"/>
    </row>
    <row r="19" spans="4:18" ht="18.75">
      <c r="D19" t="s">
        <v>1419</v>
      </c>
      <c r="E19" t="s">
        <v>1164</v>
      </c>
      <c r="F19" t="s">
        <v>1165</v>
      </c>
      <c r="G19" t="s">
        <v>1166</v>
      </c>
      <c r="H19" t="s">
        <v>1167</v>
      </c>
      <c r="I19"/>
      <c r="J19"/>
      <c r="K19"/>
      <c r="L19"/>
      <c r="M19"/>
      <c r="N19"/>
      <c r="O19"/>
      <c r="P19"/>
      <c r="Q19"/>
      <c r="R19"/>
    </row>
    <row r="20" spans="4:18" ht="18.75">
      <c r="D20" t="s">
        <v>545</v>
      </c>
      <c r="E20" t="s">
        <v>1571</v>
      </c>
      <c r="F20"/>
      <c r="G20"/>
      <c r="H20"/>
      <c r="I20"/>
      <c r="J20"/>
      <c r="K20"/>
      <c r="L20"/>
      <c r="M20"/>
      <c r="N20"/>
      <c r="O20"/>
      <c r="P20"/>
      <c r="Q20"/>
      <c r="R20"/>
    </row>
    <row r="21" spans="4:18" ht="18.75">
      <c r="D21" t="s">
        <v>1434</v>
      </c>
      <c r="E21"/>
      <c r="F21"/>
      <c r="G21"/>
      <c r="H21"/>
      <c r="I21"/>
      <c r="J21"/>
      <c r="K21"/>
      <c r="L21"/>
      <c r="M21"/>
      <c r="N21"/>
      <c r="O21"/>
      <c r="P21"/>
      <c r="Q21"/>
      <c r="R21"/>
    </row>
    <row r="22" spans="4:18" ht="18.75">
      <c r="D22" t="s">
        <v>1437</v>
      </c>
      <c r="E22"/>
      <c r="F22"/>
      <c r="G22"/>
      <c r="H22"/>
      <c r="I22"/>
      <c r="J22"/>
      <c r="K22"/>
      <c r="L22"/>
      <c r="M22"/>
      <c r="N22"/>
      <c r="O22"/>
      <c r="P22"/>
      <c r="Q22"/>
      <c r="R22"/>
    </row>
    <row r="23" spans="4:18" ht="18.75" customHeight="1">
      <c r="D23" t="s">
        <v>1847</v>
      </c>
      <c r="E23" t="s">
        <v>1849</v>
      </c>
      <c r="F23" t="s">
        <v>1851</v>
      </c>
      <c r="G23" t="s">
        <v>1853</v>
      </c>
      <c r="H23" t="s">
        <v>1855</v>
      </c>
      <c r="I23"/>
      <c r="J23"/>
      <c r="K23"/>
      <c r="L23"/>
      <c r="M23"/>
      <c r="N23"/>
      <c r="O23"/>
      <c r="P23"/>
      <c r="Q23"/>
      <c r="R23"/>
    </row>
  </sheetData>
  <phoneticPr fontId="6"/>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1.テスト">
                <anchor moveWithCells="1" sizeWithCells="1">
                  <from>
                    <xdr:col>2</xdr:col>
                    <xdr:colOff>104775</xdr:colOff>
                    <xdr:row>0</xdr:row>
                    <xdr:rowOff>47625</xdr:rowOff>
                  </from>
                  <to>
                    <xdr:col>2</xdr:col>
                    <xdr:colOff>552450</xdr:colOff>
                    <xdr:row>1</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I200"/>
  <sheetViews>
    <sheetView workbookViewId="0">
      <selection activeCell="D2" sqref="D2"/>
    </sheetView>
  </sheetViews>
  <sheetFormatPr defaultRowHeight="13.5"/>
  <cols>
    <col min="1" max="3" width="9" style="138"/>
    <col min="4" max="9" width="20.125" style="138" customWidth="1"/>
    <col min="10" max="16384" width="9" style="138"/>
  </cols>
  <sheetData>
    <row r="1" spans="1:9">
      <c r="A1" s="139" t="s">
        <v>1486</v>
      </c>
      <c r="B1" s="139" t="s">
        <v>1487</v>
      </c>
      <c r="D1" s="139" t="s">
        <v>1488</v>
      </c>
      <c r="E1" s="139" t="s">
        <v>1489</v>
      </c>
    </row>
    <row r="2" spans="1:9" ht="18.75">
      <c r="D2" s="159" t="s">
        <v>1572</v>
      </c>
      <c r="E2" s="159"/>
      <c r="F2" s="159"/>
      <c r="G2" s="159"/>
      <c r="H2" s="159"/>
      <c r="I2" s="159"/>
    </row>
    <row r="3" spans="1:9" ht="18.75">
      <c r="D3" s="159" t="s">
        <v>1573</v>
      </c>
      <c r="E3" s="159" t="s">
        <v>68</v>
      </c>
      <c r="F3" s="159" t="s">
        <v>1574</v>
      </c>
      <c r="G3" s="159" t="s">
        <v>1575</v>
      </c>
      <c r="H3" s="159"/>
      <c r="I3" s="159"/>
    </row>
    <row r="4" spans="1:9" ht="18.75">
      <c r="D4" s="159" t="s">
        <v>1576</v>
      </c>
      <c r="E4" s="159"/>
      <c r="F4" s="159"/>
      <c r="G4" s="159"/>
      <c r="H4" s="159"/>
      <c r="I4" s="159"/>
    </row>
    <row r="5" spans="1:9" ht="18.75">
      <c r="D5" s="159" t="s">
        <v>514</v>
      </c>
      <c r="E5" s="159" t="s">
        <v>1577</v>
      </c>
      <c r="F5" s="159"/>
      <c r="G5" s="159"/>
      <c r="H5" s="159"/>
      <c r="I5" s="159"/>
    </row>
    <row r="6" spans="1:9" ht="18.75">
      <c r="D6" s="159" t="s">
        <v>1578</v>
      </c>
      <c r="E6" s="159" t="s">
        <v>79</v>
      </c>
      <c r="F6" s="159"/>
      <c r="G6" s="159"/>
      <c r="H6" s="159"/>
      <c r="I6" s="159"/>
    </row>
    <row r="7" spans="1:9" ht="18.75">
      <c r="D7" s="159" t="s">
        <v>780</v>
      </c>
      <c r="E7" s="159" t="s">
        <v>1579</v>
      </c>
      <c r="F7" s="159"/>
      <c r="G7" s="159"/>
      <c r="H7" s="159"/>
      <c r="I7" s="159"/>
    </row>
    <row r="8" spans="1:9" ht="18.75">
      <c r="D8" s="159" t="s">
        <v>1580</v>
      </c>
      <c r="E8" s="159" t="s">
        <v>1581</v>
      </c>
      <c r="F8" s="159"/>
      <c r="G8" s="159"/>
      <c r="H8" s="159"/>
      <c r="I8" s="159"/>
    </row>
    <row r="9" spans="1:9" ht="18.75">
      <c r="D9" s="159" t="s">
        <v>639</v>
      </c>
      <c r="E9" s="159" t="s">
        <v>1582</v>
      </c>
      <c r="F9" s="159" t="s">
        <v>1583</v>
      </c>
      <c r="G9" s="159" t="s">
        <v>1584</v>
      </c>
      <c r="H9" s="159"/>
      <c r="I9" s="159"/>
    </row>
    <row r="10" spans="1:9" ht="18.75">
      <c r="D10" s="159" t="s">
        <v>105</v>
      </c>
      <c r="E10" s="159"/>
      <c r="F10" s="159"/>
      <c r="G10" s="159"/>
      <c r="H10" s="159"/>
      <c r="I10" s="159"/>
    </row>
    <row r="11" spans="1:9" ht="18.75">
      <c r="D11" s="159" t="s">
        <v>1585</v>
      </c>
      <c r="E11" s="159"/>
      <c r="F11" s="159"/>
      <c r="G11" s="159"/>
      <c r="H11" s="159"/>
      <c r="I11" s="159"/>
    </row>
    <row r="12" spans="1:9" ht="18.75">
      <c r="D12" s="159" t="s">
        <v>28</v>
      </c>
      <c r="E12" s="159"/>
      <c r="F12" s="159"/>
      <c r="G12" s="159"/>
      <c r="H12" s="159"/>
      <c r="I12" s="159"/>
    </row>
    <row r="13" spans="1:9" ht="18.75">
      <c r="D13" s="159" t="s">
        <v>1586</v>
      </c>
      <c r="E13" s="159" t="s">
        <v>1587</v>
      </c>
      <c r="F13" s="159" t="s">
        <v>1588</v>
      </c>
      <c r="G13" s="159" t="s">
        <v>1589</v>
      </c>
      <c r="H13" s="159"/>
      <c r="I13" s="159"/>
    </row>
    <row r="14" spans="1:9" ht="18.75">
      <c r="D14" s="159" t="s">
        <v>903</v>
      </c>
      <c r="E14" s="159"/>
      <c r="F14" s="159"/>
      <c r="G14" s="159"/>
      <c r="H14" s="159"/>
      <c r="I14" s="159"/>
    </row>
    <row r="15" spans="1:9" ht="18.75">
      <c r="D15" s="159" t="s">
        <v>1590</v>
      </c>
      <c r="E15" s="159" t="s">
        <v>124</v>
      </c>
      <c r="F15" s="159"/>
      <c r="G15" s="159"/>
      <c r="H15" s="159"/>
      <c r="I15" s="159"/>
    </row>
    <row r="16" spans="1:9" ht="18.75">
      <c r="D16" s="159" t="s">
        <v>999</v>
      </c>
      <c r="E16" s="159"/>
      <c r="F16" s="159"/>
      <c r="G16" s="159"/>
      <c r="H16" s="159"/>
      <c r="I16" s="159"/>
    </row>
    <row r="17" spans="4:9" ht="18.75">
      <c r="D17" s="159" t="s">
        <v>1591</v>
      </c>
      <c r="E17" s="159"/>
      <c r="F17" s="159"/>
      <c r="G17" s="159"/>
      <c r="H17" s="159"/>
      <c r="I17" s="159"/>
    </row>
    <row r="18" spans="4:9" ht="18.75">
      <c r="D18" s="159" t="s">
        <v>222</v>
      </c>
      <c r="E18" s="159"/>
      <c r="F18" s="159"/>
      <c r="G18" s="159"/>
      <c r="H18" s="159"/>
      <c r="I18" s="159"/>
    </row>
    <row r="19" spans="4:9" ht="18.75">
      <c r="D19" s="159" t="s">
        <v>1592</v>
      </c>
      <c r="E19" s="159"/>
      <c r="F19" s="159"/>
      <c r="G19" s="159"/>
      <c r="H19" s="159"/>
      <c r="I19" s="159"/>
    </row>
    <row r="20" spans="4:9" ht="18.75">
      <c r="D20" s="159" t="s">
        <v>826</v>
      </c>
      <c r="E20" s="159" t="s">
        <v>1593</v>
      </c>
      <c r="F20" s="159" t="s">
        <v>1594</v>
      </c>
      <c r="G20" s="159" t="s">
        <v>1595</v>
      </c>
      <c r="H20" s="159"/>
      <c r="I20" s="159"/>
    </row>
    <row r="21" spans="4:9" ht="18.75">
      <c r="D21" s="159" t="s">
        <v>167</v>
      </c>
      <c r="E21" s="159" t="s">
        <v>1596</v>
      </c>
      <c r="F21" s="159"/>
      <c r="G21" s="159"/>
      <c r="H21" s="159"/>
      <c r="I21" s="159"/>
    </row>
    <row r="22" spans="4:9" ht="18.75">
      <c r="D22" s="159" t="s">
        <v>985</v>
      </c>
      <c r="E22" s="159" t="s">
        <v>1597</v>
      </c>
      <c r="F22" s="159"/>
      <c r="G22" s="159"/>
      <c r="H22" s="159"/>
      <c r="I22" s="159"/>
    </row>
    <row r="23" spans="4:9" ht="18.75">
      <c r="D23" s="159" t="s">
        <v>669</v>
      </c>
      <c r="E23" s="159"/>
      <c r="F23" s="159"/>
      <c r="G23" s="159"/>
      <c r="H23" s="159"/>
      <c r="I23" s="159"/>
    </row>
    <row r="24" spans="4:9" ht="18.75">
      <c r="D24" s="159" t="s">
        <v>1598</v>
      </c>
      <c r="E24" s="159" t="s">
        <v>1599</v>
      </c>
      <c r="F24" s="159"/>
      <c r="G24" s="159"/>
      <c r="H24" s="159"/>
      <c r="I24" s="159"/>
    </row>
    <row r="25" spans="4:9" ht="18.75">
      <c r="D25" s="159" t="s">
        <v>1600</v>
      </c>
      <c r="E25" s="159"/>
      <c r="F25" s="159"/>
      <c r="G25" s="159"/>
      <c r="H25" s="159"/>
      <c r="I25" s="159"/>
    </row>
    <row r="26" spans="4:9" ht="18.75">
      <c r="D26" s="159" t="s">
        <v>378</v>
      </c>
      <c r="E26" s="159"/>
      <c r="F26" s="159"/>
      <c r="G26" s="159"/>
      <c r="H26" s="159"/>
      <c r="I26" s="159"/>
    </row>
    <row r="27" spans="4:9" ht="18.75">
      <c r="D27" s="159" t="s">
        <v>1601</v>
      </c>
      <c r="E27" s="159"/>
      <c r="F27" s="159"/>
      <c r="G27" s="159"/>
      <c r="H27" s="159"/>
      <c r="I27" s="159"/>
    </row>
    <row r="28" spans="4:9" ht="18.75">
      <c r="D28" s="159" t="s">
        <v>1602</v>
      </c>
      <c r="E28" s="159" t="s">
        <v>1603</v>
      </c>
      <c r="F28" s="159"/>
      <c r="G28" s="159"/>
      <c r="H28" s="159"/>
      <c r="I28" s="159"/>
    </row>
    <row r="29" spans="4:9" ht="18.75">
      <c r="D29" s="159" t="s">
        <v>1604</v>
      </c>
      <c r="E29" s="159"/>
      <c r="F29" s="159"/>
      <c r="G29" s="159"/>
      <c r="H29" s="159"/>
      <c r="I29" s="159"/>
    </row>
    <row r="30" spans="4:9" ht="18.75">
      <c r="D30" s="159" t="s">
        <v>1605</v>
      </c>
      <c r="E30" s="159" t="s">
        <v>1606</v>
      </c>
      <c r="F30" s="159"/>
      <c r="G30" s="159"/>
      <c r="H30" s="159"/>
      <c r="I30" s="159"/>
    </row>
    <row r="31" spans="4:9" ht="18.75">
      <c r="D31" s="159" t="s">
        <v>1607</v>
      </c>
      <c r="E31" s="159"/>
      <c r="F31" s="159"/>
      <c r="G31" s="159"/>
      <c r="H31" s="159"/>
      <c r="I31" s="159"/>
    </row>
    <row r="32" spans="4:9" ht="18.75">
      <c r="D32" s="159" t="s">
        <v>1608</v>
      </c>
      <c r="E32" s="159"/>
      <c r="F32" s="159"/>
      <c r="G32" s="159"/>
      <c r="H32" s="159"/>
      <c r="I32" s="159"/>
    </row>
    <row r="33" spans="4:9" ht="18.75">
      <c r="D33" s="159" t="s">
        <v>1609</v>
      </c>
      <c r="E33" s="159" t="s">
        <v>1610</v>
      </c>
      <c r="F33" s="159"/>
      <c r="G33" s="159"/>
      <c r="H33" s="159"/>
      <c r="I33" s="159"/>
    </row>
    <row r="34" spans="4:9" ht="18.75">
      <c r="D34" s="159" t="s">
        <v>1611</v>
      </c>
      <c r="E34" s="159" t="s">
        <v>1612</v>
      </c>
      <c r="F34" s="159"/>
      <c r="G34" s="159"/>
      <c r="H34" s="159"/>
      <c r="I34" s="159"/>
    </row>
    <row r="35" spans="4:9" ht="18.75">
      <c r="D35" s="159" t="s">
        <v>1613</v>
      </c>
      <c r="E35" s="159"/>
      <c r="F35" s="159"/>
      <c r="G35" s="159"/>
      <c r="H35" s="159"/>
      <c r="I35" s="159"/>
    </row>
    <row r="36" spans="4:9" ht="18.75">
      <c r="D36" s="159" t="s">
        <v>795</v>
      </c>
      <c r="E36" s="159"/>
      <c r="F36" s="159"/>
      <c r="G36" s="159"/>
      <c r="H36" s="159"/>
      <c r="I36" s="159"/>
    </row>
    <row r="37" spans="4:9" ht="18.75">
      <c r="D37" s="159" t="s">
        <v>1614</v>
      </c>
      <c r="E37" s="159"/>
      <c r="F37" s="159"/>
      <c r="G37" s="159"/>
      <c r="H37" s="159"/>
      <c r="I37" s="159"/>
    </row>
    <row r="38" spans="4:9" ht="18.75">
      <c r="D38" s="159" t="s">
        <v>1615</v>
      </c>
      <c r="E38" s="159"/>
      <c r="F38" s="159"/>
      <c r="G38" s="159"/>
      <c r="H38" s="159"/>
      <c r="I38" s="159"/>
    </row>
    <row r="39" spans="4:9" ht="18.75">
      <c r="D39" s="159" t="s">
        <v>99</v>
      </c>
      <c r="E39" s="159" t="s">
        <v>1616</v>
      </c>
      <c r="F39" s="159"/>
      <c r="G39" s="159"/>
      <c r="H39" s="159"/>
      <c r="I39" s="159"/>
    </row>
    <row r="40" spans="4:9" ht="18.75">
      <c r="D40" s="159" t="s">
        <v>1037</v>
      </c>
      <c r="E40" s="159" t="s">
        <v>1617</v>
      </c>
      <c r="F40" s="159"/>
      <c r="G40" s="159"/>
      <c r="H40" s="159"/>
      <c r="I40" s="159"/>
    </row>
    <row r="41" spans="4:9" ht="18.75">
      <c r="D41" s="159" t="s">
        <v>1618</v>
      </c>
      <c r="E41" s="159" t="s">
        <v>1619</v>
      </c>
      <c r="F41" s="159"/>
      <c r="G41" s="159"/>
      <c r="H41" s="159"/>
      <c r="I41" s="159"/>
    </row>
    <row r="42" spans="4:9" ht="18.75">
      <c r="D42" s="159" t="s">
        <v>1620</v>
      </c>
      <c r="E42" s="159" t="s">
        <v>1621</v>
      </c>
      <c r="F42" s="159"/>
      <c r="G42" s="159"/>
      <c r="H42" s="159"/>
      <c r="I42" s="159"/>
    </row>
    <row r="43" spans="4:9" ht="18.75">
      <c r="D43" s="159" t="s">
        <v>1622</v>
      </c>
      <c r="E43" s="159"/>
      <c r="F43" s="159"/>
      <c r="G43" s="159"/>
      <c r="H43" s="159"/>
      <c r="I43" s="159"/>
    </row>
    <row r="44" spans="4:9" ht="18.75">
      <c r="D44" s="159" t="s">
        <v>1623</v>
      </c>
      <c r="E44" s="159"/>
      <c r="F44" s="159"/>
      <c r="G44" s="159"/>
      <c r="H44" s="159"/>
      <c r="I44" s="159"/>
    </row>
    <row r="45" spans="4:9" ht="18.75">
      <c r="D45" s="159" t="s">
        <v>1624</v>
      </c>
      <c r="E45" s="159"/>
      <c r="F45" s="159"/>
      <c r="G45" s="159"/>
      <c r="H45" s="159"/>
      <c r="I45" s="159"/>
    </row>
    <row r="46" spans="4:9" ht="18.75">
      <c r="D46" s="159" t="s">
        <v>1625</v>
      </c>
      <c r="E46" s="159" t="s">
        <v>1626</v>
      </c>
      <c r="F46" s="159" t="s">
        <v>1627</v>
      </c>
      <c r="G46" s="159" t="s">
        <v>1628</v>
      </c>
      <c r="H46" s="159" t="s">
        <v>1629</v>
      </c>
      <c r="I46" s="159" t="s">
        <v>1630</v>
      </c>
    </row>
    <row r="47" spans="4:9" ht="18.75">
      <c r="D47" s="159" t="s">
        <v>1631</v>
      </c>
      <c r="E47" s="159" t="s">
        <v>1632</v>
      </c>
      <c r="F47" s="159"/>
      <c r="G47" s="159"/>
      <c r="H47" s="159"/>
      <c r="I47" s="159"/>
    </row>
    <row r="48" spans="4:9" ht="18.75">
      <c r="D48" s="159" t="s">
        <v>1633</v>
      </c>
      <c r="E48" s="159" t="s">
        <v>1634</v>
      </c>
      <c r="F48" s="159"/>
      <c r="G48" s="159"/>
      <c r="H48" s="159"/>
      <c r="I48" s="159"/>
    </row>
    <row r="49" spans="4:9" ht="18.75">
      <c r="D49" s="159" t="s">
        <v>1635</v>
      </c>
      <c r="E49" s="159" t="s">
        <v>1636</v>
      </c>
      <c r="F49" s="159"/>
      <c r="G49" s="159"/>
      <c r="H49" s="159"/>
      <c r="I49" s="159"/>
    </row>
    <row r="50" spans="4:9" ht="18.75">
      <c r="D50" s="159" t="s">
        <v>1637</v>
      </c>
      <c r="E50" s="159"/>
      <c r="F50" s="159"/>
      <c r="G50" s="159"/>
      <c r="H50" s="159"/>
      <c r="I50" s="159"/>
    </row>
    <row r="51" spans="4:9" ht="18.75">
      <c r="D51" s="159" t="s">
        <v>1638</v>
      </c>
      <c r="E51" s="159"/>
      <c r="F51" s="159"/>
      <c r="G51" s="159"/>
      <c r="H51" s="159"/>
      <c r="I51" s="159"/>
    </row>
    <row r="52" spans="4:9" ht="18.75">
      <c r="D52" s="159" t="s">
        <v>1639</v>
      </c>
      <c r="E52" s="159"/>
      <c r="F52" s="159"/>
      <c r="G52" s="159"/>
      <c r="H52" s="159"/>
      <c r="I52" s="159"/>
    </row>
    <row r="53" spans="4:9" ht="18.75">
      <c r="D53" s="159" t="s">
        <v>1640</v>
      </c>
      <c r="E53" s="159"/>
      <c r="F53" s="159"/>
      <c r="G53" s="159"/>
      <c r="H53" s="159"/>
      <c r="I53" s="159"/>
    </row>
    <row r="54" spans="4:9" ht="18.75">
      <c r="D54" s="159" t="s">
        <v>189</v>
      </c>
      <c r="E54" s="159"/>
      <c r="F54" s="159"/>
      <c r="G54" s="159"/>
      <c r="H54" s="159"/>
      <c r="I54" s="159"/>
    </row>
    <row r="55" spans="4:9" ht="18.75">
      <c r="D55" s="159" t="s">
        <v>1641</v>
      </c>
      <c r="E55" s="159"/>
      <c r="F55" s="159"/>
      <c r="G55" s="159"/>
      <c r="H55" s="159"/>
      <c r="I55" s="159"/>
    </row>
    <row r="56" spans="4:9" ht="18.75">
      <c r="D56" s="159" t="s">
        <v>1642</v>
      </c>
      <c r="E56" s="159"/>
      <c r="F56" s="159"/>
      <c r="G56" s="159"/>
      <c r="H56" s="159"/>
      <c r="I56" s="159"/>
    </row>
    <row r="57" spans="4:9" ht="18.75">
      <c r="D57" s="159" t="s">
        <v>246</v>
      </c>
      <c r="E57" s="159"/>
      <c r="F57" s="159"/>
      <c r="G57" s="159"/>
      <c r="H57" s="159"/>
      <c r="I57" s="159"/>
    </row>
    <row r="58" spans="4:9" ht="18.75">
      <c r="D58" s="159" t="s">
        <v>1643</v>
      </c>
      <c r="E58" s="159" t="s">
        <v>1644</v>
      </c>
      <c r="F58" s="159"/>
      <c r="G58" s="159"/>
      <c r="H58" s="159"/>
      <c r="I58" s="159"/>
    </row>
    <row r="59" spans="4:9" ht="18.75">
      <c r="D59" s="159" t="s">
        <v>1645</v>
      </c>
      <c r="E59" s="159"/>
      <c r="F59" s="159"/>
      <c r="G59" s="159"/>
      <c r="H59" s="159"/>
      <c r="I59" s="159"/>
    </row>
    <row r="60" spans="4:9" ht="18.75">
      <c r="D60" s="159" t="s">
        <v>1646</v>
      </c>
      <c r="E60" s="159"/>
      <c r="F60" s="159"/>
      <c r="G60" s="159"/>
      <c r="H60" s="159"/>
      <c r="I60" s="159"/>
    </row>
    <row r="61" spans="4:9" ht="18.75">
      <c r="D61" s="159" t="s">
        <v>1647</v>
      </c>
      <c r="E61" s="159"/>
      <c r="F61" s="159"/>
      <c r="G61" s="159"/>
      <c r="H61" s="159"/>
      <c r="I61" s="159"/>
    </row>
    <row r="62" spans="4:9" ht="18.75">
      <c r="D62" s="159" t="s">
        <v>1648</v>
      </c>
      <c r="E62" s="159"/>
      <c r="F62" s="159"/>
      <c r="G62" s="159"/>
      <c r="H62" s="159"/>
      <c r="I62" s="159"/>
    </row>
    <row r="63" spans="4:9" ht="18.75">
      <c r="D63" s="159" t="s">
        <v>710</v>
      </c>
      <c r="E63" s="159"/>
      <c r="F63" s="159"/>
      <c r="G63" s="159"/>
      <c r="H63" s="159"/>
      <c r="I63" s="159"/>
    </row>
    <row r="64" spans="4:9" ht="18.75">
      <c r="D64" s="159" t="s">
        <v>1649</v>
      </c>
      <c r="E64" s="159" t="s">
        <v>1650</v>
      </c>
      <c r="F64" s="159"/>
      <c r="G64" s="159"/>
      <c r="H64" s="159"/>
      <c r="I64" s="159"/>
    </row>
    <row r="65" spans="4:9" ht="18.75">
      <c r="D65" s="159" t="s">
        <v>1651</v>
      </c>
      <c r="E65" s="159" t="s">
        <v>1652</v>
      </c>
      <c r="F65" s="159"/>
      <c r="G65" s="159"/>
      <c r="H65" s="159"/>
      <c r="I65" s="159"/>
    </row>
    <row r="66" spans="4:9" ht="18.75">
      <c r="D66" s="159" t="s">
        <v>1653</v>
      </c>
      <c r="E66" s="159"/>
      <c r="F66" s="159"/>
      <c r="G66" s="159"/>
      <c r="H66" s="159"/>
      <c r="I66" s="159"/>
    </row>
    <row r="67" spans="4:9" ht="18.75">
      <c r="D67" s="159" t="s">
        <v>1654</v>
      </c>
      <c r="E67" s="159"/>
      <c r="F67" s="159"/>
      <c r="G67" s="159"/>
      <c r="H67" s="159"/>
      <c r="I67" s="159"/>
    </row>
    <row r="68" spans="4:9" ht="18.75">
      <c r="D68" s="159" t="s">
        <v>1655</v>
      </c>
      <c r="E68" s="159"/>
      <c r="F68" s="159"/>
      <c r="G68" s="159"/>
      <c r="H68" s="159"/>
      <c r="I68" s="159"/>
    </row>
    <row r="69" spans="4:9" ht="18.75">
      <c r="D69" s="159" t="s">
        <v>1656</v>
      </c>
      <c r="E69" s="159"/>
      <c r="F69" s="159"/>
      <c r="G69" s="159"/>
      <c r="H69" s="159"/>
      <c r="I69" s="159"/>
    </row>
    <row r="70" spans="4:9" ht="18.75">
      <c r="D70" s="159" t="s">
        <v>1657</v>
      </c>
      <c r="E70" s="159"/>
      <c r="F70" s="159"/>
      <c r="G70" s="159"/>
      <c r="H70" s="159"/>
      <c r="I70" s="159"/>
    </row>
    <row r="71" spans="4:9" ht="18.75">
      <c r="D71" s="159" t="s">
        <v>1658</v>
      </c>
      <c r="E71" s="159"/>
      <c r="F71" s="159"/>
      <c r="G71" s="159"/>
      <c r="H71" s="159"/>
      <c r="I71" s="159"/>
    </row>
    <row r="72" spans="4:9" ht="18.75">
      <c r="D72" s="159" t="s">
        <v>1659</v>
      </c>
      <c r="E72" s="159"/>
      <c r="F72" s="159"/>
      <c r="G72" s="159"/>
      <c r="H72" s="159"/>
      <c r="I72" s="159"/>
    </row>
    <row r="73" spans="4:9" ht="18.75">
      <c r="D73" s="159" t="s">
        <v>1660</v>
      </c>
      <c r="E73" s="159"/>
      <c r="F73" s="159"/>
      <c r="G73" s="159"/>
      <c r="H73" s="159"/>
      <c r="I73" s="159"/>
    </row>
    <row r="74" spans="4:9" ht="18.75">
      <c r="D74" s="159" t="s">
        <v>1661</v>
      </c>
      <c r="E74" s="159" t="s">
        <v>1662</v>
      </c>
      <c r="F74" s="159"/>
      <c r="G74" s="159"/>
      <c r="H74" s="159"/>
      <c r="I74" s="159"/>
    </row>
    <row r="75" spans="4:9" ht="18.75">
      <c r="D75" s="159" t="s">
        <v>1663</v>
      </c>
      <c r="E75" s="159" t="s">
        <v>1664</v>
      </c>
      <c r="F75" s="159"/>
      <c r="G75" s="159"/>
      <c r="H75" s="159"/>
      <c r="I75" s="159"/>
    </row>
    <row r="76" spans="4:9" ht="18.75">
      <c r="D76" s="159" t="s">
        <v>1665</v>
      </c>
      <c r="E76" s="167" t="s">
        <v>1666</v>
      </c>
      <c r="F76" s="168"/>
      <c r="G76" s="159"/>
      <c r="H76" s="159"/>
      <c r="I76" s="159"/>
    </row>
    <row r="77" spans="4:9" ht="18.75">
      <c r="D77" s="159" t="s">
        <v>1667</v>
      </c>
      <c r="E77" s="159" t="s">
        <v>1668</v>
      </c>
      <c r="F77" s="159"/>
      <c r="G77" s="159"/>
      <c r="H77" s="159"/>
      <c r="I77" s="159"/>
    </row>
    <row r="78" spans="4:9" ht="18.75">
      <c r="D78" s="159" t="s">
        <v>1669</v>
      </c>
      <c r="E78" s="159" t="s">
        <v>1670</v>
      </c>
      <c r="F78" s="159"/>
      <c r="G78" s="159"/>
      <c r="H78" s="159"/>
      <c r="I78" s="159"/>
    </row>
    <row r="79" spans="4:9" ht="18.75">
      <c r="D79" s="159" t="s">
        <v>1671</v>
      </c>
      <c r="E79" s="159"/>
      <c r="F79" s="159"/>
      <c r="G79" s="159"/>
      <c r="H79" s="159"/>
      <c r="I79" s="159"/>
    </row>
    <row r="80" spans="4:9" ht="18.75">
      <c r="D80" s="159" t="s">
        <v>1672</v>
      </c>
      <c r="E80" s="159"/>
      <c r="F80" s="159"/>
      <c r="G80" s="159"/>
      <c r="H80" s="159"/>
      <c r="I80" s="159"/>
    </row>
    <row r="81" spans="4:9" ht="18.75">
      <c r="D81" s="159" t="s">
        <v>1673</v>
      </c>
      <c r="E81" s="159"/>
      <c r="F81" s="159"/>
      <c r="G81" s="159"/>
      <c r="H81" s="159"/>
      <c r="I81" s="159"/>
    </row>
    <row r="82" spans="4:9" ht="18.75">
      <c r="D82" s="159" t="s">
        <v>1674</v>
      </c>
      <c r="E82" s="159"/>
      <c r="F82" s="159"/>
      <c r="G82" s="159"/>
      <c r="H82" s="159"/>
      <c r="I82" s="159"/>
    </row>
    <row r="83" spans="4:9" ht="18.75">
      <c r="D83" s="159" t="s">
        <v>1675</v>
      </c>
      <c r="E83" s="159" t="s">
        <v>1676</v>
      </c>
      <c r="F83" s="159"/>
      <c r="G83" s="159"/>
      <c r="H83" s="159"/>
      <c r="I83" s="159"/>
    </row>
    <row r="84" spans="4:9" ht="18.75">
      <c r="D84" s="159" t="s">
        <v>1677</v>
      </c>
      <c r="E84" s="159" t="s">
        <v>1678</v>
      </c>
      <c r="F84" s="159"/>
      <c r="G84" s="159"/>
      <c r="H84" s="159"/>
      <c r="I84" s="159"/>
    </row>
    <row r="85" spans="4:9" ht="18.75">
      <c r="D85" s="159" t="s">
        <v>1679</v>
      </c>
      <c r="E85" s="159"/>
      <c r="F85" s="159"/>
      <c r="G85" s="159"/>
      <c r="H85" s="159"/>
      <c r="I85" s="159"/>
    </row>
    <row r="86" spans="4:9" ht="18.75">
      <c r="D86" s="159" t="s">
        <v>1680</v>
      </c>
      <c r="E86" s="159" t="s">
        <v>1681</v>
      </c>
      <c r="F86" s="159"/>
      <c r="G86" s="159"/>
      <c r="H86" s="159"/>
      <c r="I86" s="159"/>
    </row>
    <row r="87" spans="4:9" ht="18.75">
      <c r="D87" s="159" t="s">
        <v>1682</v>
      </c>
      <c r="E87" s="159" t="s">
        <v>1683</v>
      </c>
      <c r="F87" s="159"/>
      <c r="G87" s="159"/>
      <c r="H87" s="159"/>
      <c r="I87" s="159"/>
    </row>
    <row r="88" spans="4:9" ht="18.75">
      <c r="D88" s="159" t="s">
        <v>1684</v>
      </c>
      <c r="E88" s="159" t="s">
        <v>1685</v>
      </c>
      <c r="F88" s="159" t="s">
        <v>1686</v>
      </c>
      <c r="G88" s="159" t="s">
        <v>1687</v>
      </c>
      <c r="H88" s="167" t="s">
        <v>1688</v>
      </c>
      <c r="I88" s="168"/>
    </row>
    <row r="89" spans="4:9" ht="18.75">
      <c r="D89" s="159" t="s">
        <v>1689</v>
      </c>
      <c r="E89" s="159"/>
      <c r="F89" s="159"/>
      <c r="G89" s="159"/>
      <c r="H89" s="159"/>
      <c r="I89" s="159"/>
    </row>
    <row r="90" spans="4:9" ht="18.75">
      <c r="D90" s="159" t="s">
        <v>1690</v>
      </c>
      <c r="E90" s="159"/>
      <c r="F90" s="159"/>
      <c r="G90" s="159"/>
      <c r="H90" s="159"/>
      <c r="I90" s="159"/>
    </row>
    <row r="91" spans="4:9" ht="18.75">
      <c r="D91" s="159" t="s">
        <v>1691</v>
      </c>
      <c r="E91" s="159"/>
      <c r="F91" s="159"/>
      <c r="G91" s="159"/>
      <c r="H91" s="159"/>
      <c r="I91" s="159"/>
    </row>
    <row r="92" spans="4:9" ht="18.75">
      <c r="D92" s="159" t="s">
        <v>1692</v>
      </c>
      <c r="E92" s="159" t="s">
        <v>1693</v>
      </c>
      <c r="F92" s="159"/>
      <c r="G92" s="159"/>
      <c r="H92" s="159"/>
      <c r="I92" s="159"/>
    </row>
    <row r="93" spans="4:9" ht="18.75">
      <c r="D93" s="159" t="s">
        <v>1694</v>
      </c>
      <c r="E93" s="159" t="s">
        <v>1695</v>
      </c>
      <c r="F93" s="159"/>
      <c r="G93" s="159"/>
      <c r="H93" s="159"/>
      <c r="I93" s="159"/>
    </row>
    <row r="94" spans="4:9" ht="18.75">
      <c r="D94" s="159" t="s">
        <v>1696</v>
      </c>
      <c r="E94" s="159" t="s">
        <v>1697</v>
      </c>
      <c r="F94" s="159"/>
      <c r="G94" s="159"/>
      <c r="H94" s="159"/>
      <c r="I94" s="159"/>
    </row>
    <row r="95" spans="4:9" ht="18.75">
      <c r="D95" s="159" t="s">
        <v>1698</v>
      </c>
      <c r="E95" s="159" t="s">
        <v>1699</v>
      </c>
      <c r="F95" s="159" t="s">
        <v>1700</v>
      </c>
      <c r="G95" s="159" t="s">
        <v>1701</v>
      </c>
      <c r="H95" s="159" t="s">
        <v>1702</v>
      </c>
      <c r="I95" s="159"/>
    </row>
    <row r="96" spans="4:9" ht="18.75">
      <c r="D96" s="159" t="s">
        <v>1703</v>
      </c>
      <c r="E96" s="159"/>
      <c r="F96" s="159"/>
      <c r="G96" s="159"/>
      <c r="H96" s="159"/>
      <c r="I96" s="159"/>
    </row>
    <row r="97" spans="4:9" ht="18.75">
      <c r="D97" s="159" t="s">
        <v>1704</v>
      </c>
      <c r="E97" s="159"/>
      <c r="F97" s="159"/>
      <c r="G97" s="159"/>
      <c r="H97" s="159"/>
      <c r="I97" s="159"/>
    </row>
    <row r="98" spans="4:9" ht="18.75">
      <c r="D98" s="159" t="s">
        <v>1705</v>
      </c>
      <c r="E98" s="159" t="s">
        <v>1706</v>
      </c>
      <c r="F98" s="159"/>
      <c r="G98" s="159"/>
      <c r="H98" s="159"/>
      <c r="I98" s="159"/>
    </row>
    <row r="99" spans="4:9" ht="18.75">
      <c r="D99" s="159" t="s">
        <v>1707</v>
      </c>
      <c r="E99" s="159"/>
      <c r="F99" s="159"/>
      <c r="G99" s="159"/>
      <c r="H99" s="159"/>
      <c r="I99" s="159"/>
    </row>
    <row r="100" spans="4:9" ht="18.75">
      <c r="D100" s="159" t="s">
        <v>1708</v>
      </c>
      <c r="E100" s="159"/>
      <c r="F100" s="159"/>
      <c r="G100" s="159"/>
      <c r="H100" s="159"/>
      <c r="I100" s="159"/>
    </row>
    <row r="101" spans="4:9" ht="18.75">
      <c r="D101" s="159" t="s">
        <v>1709</v>
      </c>
      <c r="E101" s="159"/>
      <c r="F101" s="159"/>
      <c r="G101" s="159"/>
      <c r="H101" s="159"/>
      <c r="I101" s="159"/>
    </row>
    <row r="102" spans="4:9" ht="18.75">
      <c r="D102" s="159" t="s">
        <v>1710</v>
      </c>
      <c r="E102" s="159"/>
      <c r="F102" s="159"/>
      <c r="G102" s="159"/>
      <c r="H102" s="159"/>
      <c r="I102" s="159"/>
    </row>
    <row r="103" spans="4:9" ht="18.75">
      <c r="D103" s="159" t="s">
        <v>1711</v>
      </c>
      <c r="E103" s="159" t="s">
        <v>1712</v>
      </c>
      <c r="F103" s="159" t="s">
        <v>1713</v>
      </c>
      <c r="G103" s="159" t="s">
        <v>1714</v>
      </c>
      <c r="H103" s="159"/>
      <c r="I103" s="159"/>
    </row>
    <row r="104" spans="4:9" ht="18.75">
      <c r="D104" s="159" t="s">
        <v>1715</v>
      </c>
      <c r="E104" s="159" t="s">
        <v>1716</v>
      </c>
      <c r="F104" s="159"/>
      <c r="G104" s="159"/>
      <c r="H104" s="159"/>
      <c r="I104" s="159"/>
    </row>
    <row r="105" spans="4:9" ht="18.75">
      <c r="D105" s="159" t="s">
        <v>83</v>
      </c>
      <c r="E105" s="159"/>
      <c r="F105" s="159"/>
      <c r="G105" s="159"/>
      <c r="H105" s="159"/>
      <c r="I105" s="159"/>
    </row>
    <row r="106" spans="4:9" ht="18.75">
      <c r="D106" s="159" t="s">
        <v>1717</v>
      </c>
      <c r="E106" s="159"/>
      <c r="F106" s="159"/>
      <c r="G106" s="159"/>
      <c r="H106" s="159"/>
      <c r="I106" s="159"/>
    </row>
    <row r="107" spans="4:9" ht="18.75">
      <c r="D107" s="159" t="s">
        <v>1718</v>
      </c>
      <c r="E107" s="159"/>
      <c r="F107" s="159"/>
      <c r="G107" s="159"/>
      <c r="H107" s="159"/>
      <c r="I107" s="159"/>
    </row>
    <row r="108" spans="4:9" ht="18.75">
      <c r="D108" s="159" t="s">
        <v>1719</v>
      </c>
      <c r="E108" s="159"/>
      <c r="F108" s="159"/>
      <c r="G108" s="159"/>
      <c r="H108" s="159"/>
      <c r="I108" s="159"/>
    </row>
    <row r="109" spans="4:9" ht="18.75">
      <c r="D109" s="159" t="s">
        <v>1720</v>
      </c>
      <c r="E109" s="159"/>
      <c r="F109" s="159"/>
      <c r="G109" s="159"/>
      <c r="H109" s="159"/>
      <c r="I109" s="159"/>
    </row>
    <row r="110" spans="4:9" ht="18.75">
      <c r="D110" s="159" t="s">
        <v>1721</v>
      </c>
      <c r="E110" s="159" t="s">
        <v>1722</v>
      </c>
      <c r="F110" s="159" t="s">
        <v>1723</v>
      </c>
      <c r="G110" s="159" t="s">
        <v>1724</v>
      </c>
      <c r="H110" s="159"/>
      <c r="I110" s="159"/>
    </row>
    <row r="111" spans="4:9" ht="18.75">
      <c r="D111" s="159" t="s">
        <v>1725</v>
      </c>
      <c r="E111" s="159" t="s">
        <v>1726</v>
      </c>
      <c r="F111" s="159" t="s">
        <v>1727</v>
      </c>
      <c r="G111" s="159" t="s">
        <v>1728</v>
      </c>
      <c r="H111" s="159"/>
      <c r="I111" s="159"/>
    </row>
    <row r="112" spans="4:9" ht="18.75">
      <c r="D112" s="159" t="s">
        <v>1729</v>
      </c>
      <c r="E112" s="159" t="s">
        <v>1667</v>
      </c>
      <c r="F112" s="159" t="s">
        <v>1668</v>
      </c>
      <c r="G112" s="159"/>
      <c r="H112" s="159"/>
      <c r="I112" s="159"/>
    </row>
    <row r="113" spans="4:9" ht="18.75">
      <c r="D113" s="159" t="s">
        <v>1730</v>
      </c>
      <c r="E113" s="159"/>
      <c r="F113" s="159"/>
      <c r="G113" s="159"/>
      <c r="H113" s="159"/>
      <c r="I113" s="159"/>
    </row>
    <row r="114" spans="4:9" ht="18.75">
      <c r="D114" s="159" t="s">
        <v>1731</v>
      </c>
      <c r="E114" s="159" t="s">
        <v>1732</v>
      </c>
      <c r="F114" s="159"/>
      <c r="G114" s="159"/>
      <c r="H114" s="159"/>
      <c r="I114" s="159"/>
    </row>
    <row r="115" spans="4:9" ht="18.75">
      <c r="D115" s="159" t="s">
        <v>1733</v>
      </c>
      <c r="E115" s="159"/>
      <c r="F115" s="159"/>
      <c r="G115" s="159"/>
      <c r="H115" s="159"/>
      <c r="I115" s="159"/>
    </row>
    <row r="116" spans="4:9" ht="18.75">
      <c r="D116" s="167" t="s">
        <v>1734</v>
      </c>
      <c r="E116" s="168"/>
      <c r="F116" s="159"/>
      <c r="G116" s="159"/>
      <c r="H116" s="159"/>
      <c r="I116" s="159"/>
    </row>
    <row r="117" spans="4:9" ht="18.75">
      <c r="D117" s="159" t="s">
        <v>1735</v>
      </c>
      <c r="E117" s="159"/>
      <c r="F117" s="159"/>
      <c r="G117" s="159"/>
      <c r="H117" s="159"/>
      <c r="I117" s="159"/>
    </row>
    <row r="118" spans="4:9" ht="18.75">
      <c r="D118" s="159" t="s">
        <v>1736</v>
      </c>
      <c r="E118" s="159" t="s">
        <v>1737</v>
      </c>
      <c r="F118" s="159"/>
      <c r="G118" s="159"/>
      <c r="H118" s="159"/>
      <c r="I118" s="159"/>
    </row>
    <row r="119" spans="4:9" ht="18.75">
      <c r="D119" s="159" t="s">
        <v>1738</v>
      </c>
      <c r="E119" s="159" t="s">
        <v>1739</v>
      </c>
      <c r="F119" s="159"/>
      <c r="G119" s="159"/>
      <c r="H119" s="159"/>
      <c r="I119" s="159"/>
    </row>
    <row r="120" spans="4:9" ht="18.75">
      <c r="D120" s="159" t="s">
        <v>477</v>
      </c>
      <c r="E120" s="159" t="s">
        <v>450</v>
      </c>
      <c r="F120" s="159"/>
      <c r="G120" s="159"/>
      <c r="H120" s="159"/>
      <c r="I120" s="159"/>
    </row>
    <row r="121" spans="4:9" ht="18.75">
      <c r="D121" s="159" t="s">
        <v>44</v>
      </c>
      <c r="E121" s="159" t="s">
        <v>1740</v>
      </c>
      <c r="F121" s="159"/>
      <c r="G121" s="159"/>
      <c r="H121" s="159"/>
      <c r="I121" s="159"/>
    </row>
    <row r="122" spans="4:9" ht="18.75">
      <c r="D122" s="159" t="s">
        <v>1741</v>
      </c>
      <c r="E122" s="159"/>
      <c r="F122" s="159"/>
      <c r="G122" s="159"/>
      <c r="H122" s="159"/>
      <c r="I122" s="159"/>
    </row>
    <row r="123" spans="4:9" ht="18.75">
      <c r="D123" s="159" t="s">
        <v>1742</v>
      </c>
      <c r="E123" s="159" t="s">
        <v>1743</v>
      </c>
      <c r="F123" s="159"/>
      <c r="G123" s="159"/>
      <c r="H123" s="159"/>
      <c r="I123" s="159"/>
    </row>
    <row r="124" spans="4:9" ht="18.75">
      <c r="D124" s="159" t="s">
        <v>1744</v>
      </c>
      <c r="E124" s="159"/>
      <c r="F124" s="159"/>
      <c r="G124" s="159"/>
      <c r="H124" s="159"/>
      <c r="I124" s="159"/>
    </row>
    <row r="125" spans="4:9" ht="18.75">
      <c r="D125" s="159" t="s">
        <v>1745</v>
      </c>
      <c r="E125" s="159"/>
      <c r="F125" s="159"/>
      <c r="G125" s="159"/>
      <c r="H125" s="159"/>
      <c r="I125" s="159"/>
    </row>
    <row r="126" spans="4:9" ht="18.75">
      <c r="D126" s="159" t="s">
        <v>653</v>
      </c>
      <c r="E126" s="159" t="s">
        <v>37</v>
      </c>
      <c r="F126" s="159"/>
      <c r="G126" s="159"/>
      <c r="H126" s="159"/>
      <c r="I126" s="159"/>
    </row>
    <row r="127" spans="4:9" ht="18.75">
      <c r="D127" s="159" t="s">
        <v>1746</v>
      </c>
      <c r="E127" s="159" t="s">
        <v>1747</v>
      </c>
      <c r="F127" s="159"/>
      <c r="G127" s="159"/>
      <c r="H127" s="159"/>
      <c r="I127" s="159"/>
    </row>
    <row r="128" spans="4:9" ht="18.75">
      <c r="D128" s="159" t="s">
        <v>454</v>
      </c>
      <c r="E128" s="159"/>
      <c r="F128" s="159"/>
      <c r="G128" s="159"/>
      <c r="H128" s="159"/>
      <c r="I128" s="159"/>
    </row>
    <row r="129" spans="4:9" ht="18.75">
      <c r="D129" s="159" t="s">
        <v>1748</v>
      </c>
      <c r="E129" s="159"/>
      <c r="F129" s="159"/>
      <c r="G129" s="159"/>
      <c r="H129" s="159"/>
      <c r="I129" s="159"/>
    </row>
    <row r="130" spans="4:9" ht="18.75">
      <c r="D130" s="159" t="s">
        <v>1749</v>
      </c>
      <c r="E130" s="159"/>
      <c r="F130" s="159"/>
      <c r="G130" s="159"/>
      <c r="H130" s="159"/>
      <c r="I130" s="159"/>
    </row>
    <row r="131" spans="4:9" ht="18.75">
      <c r="D131" s="159" t="s">
        <v>1750</v>
      </c>
      <c r="E131" s="159"/>
      <c r="F131" s="159"/>
      <c r="G131" s="159"/>
      <c r="H131" s="159"/>
      <c r="I131" s="159"/>
    </row>
    <row r="132" spans="4:9" ht="18.75">
      <c r="D132" s="159" t="s">
        <v>1751</v>
      </c>
      <c r="E132" s="159"/>
      <c r="F132" s="159"/>
      <c r="G132" s="159"/>
      <c r="H132" s="159"/>
      <c r="I132" s="159"/>
    </row>
    <row r="133" spans="4:9" ht="18.75">
      <c r="D133" s="159" t="s">
        <v>1752</v>
      </c>
      <c r="E133" s="159"/>
      <c r="F133" s="159"/>
      <c r="G133" s="159"/>
      <c r="H133" s="159"/>
      <c r="I133" s="159"/>
    </row>
    <row r="134" spans="4:9" ht="18.75">
      <c r="D134" s="159" t="s">
        <v>1753</v>
      </c>
      <c r="E134" s="159"/>
      <c r="F134" s="159"/>
      <c r="G134" s="159"/>
      <c r="H134" s="159"/>
      <c r="I134" s="159"/>
    </row>
    <row r="135" spans="4:9" ht="18.75">
      <c r="D135" s="159" t="s">
        <v>1754</v>
      </c>
      <c r="E135" s="159"/>
      <c r="F135" s="159"/>
      <c r="G135" s="159"/>
      <c r="H135" s="159"/>
      <c r="I135" s="159"/>
    </row>
    <row r="136" spans="4:9" ht="18.75">
      <c r="D136" s="159" t="s">
        <v>1755</v>
      </c>
      <c r="E136" s="159" t="s">
        <v>1756</v>
      </c>
      <c r="F136" s="159"/>
      <c r="G136" s="159"/>
      <c r="H136" s="159"/>
      <c r="I136" s="159"/>
    </row>
    <row r="137" spans="4:9" ht="18.75">
      <c r="D137" s="159" t="s">
        <v>1757</v>
      </c>
      <c r="E137" s="159"/>
      <c r="F137" s="159"/>
      <c r="G137" s="159"/>
      <c r="H137" s="159"/>
      <c r="I137" s="159"/>
    </row>
    <row r="138" spans="4:9" ht="18.75">
      <c r="D138" s="159" t="s">
        <v>1758</v>
      </c>
      <c r="E138" s="159" t="s">
        <v>1759</v>
      </c>
      <c r="F138" s="159"/>
      <c r="G138" s="159"/>
      <c r="H138" s="159"/>
      <c r="I138" s="159"/>
    </row>
    <row r="139" spans="4:9" ht="18.75">
      <c r="D139" s="159" t="s">
        <v>1760</v>
      </c>
      <c r="E139" s="159"/>
      <c r="F139" s="159"/>
      <c r="G139" s="159"/>
      <c r="H139" s="159"/>
      <c r="I139" s="159"/>
    </row>
    <row r="140" spans="4:9" ht="18.75">
      <c r="D140" s="159" t="s">
        <v>1761</v>
      </c>
      <c r="E140" s="159" t="s">
        <v>1762</v>
      </c>
      <c r="F140" s="159"/>
      <c r="G140" s="159"/>
      <c r="H140" s="159"/>
      <c r="I140" s="159"/>
    </row>
    <row r="141" spans="4:9" ht="18.75">
      <c r="D141" s="159" t="s">
        <v>1763</v>
      </c>
      <c r="E141" s="159" t="s">
        <v>1764</v>
      </c>
      <c r="F141" s="159" t="s">
        <v>1765</v>
      </c>
      <c r="G141" s="159" t="s">
        <v>1766</v>
      </c>
      <c r="H141" s="159"/>
      <c r="I141" s="159"/>
    </row>
    <row r="142" spans="4:9" ht="18.75">
      <c r="D142" s="159" t="s">
        <v>1767</v>
      </c>
      <c r="E142" s="159"/>
      <c r="F142" s="159"/>
      <c r="G142" s="159"/>
      <c r="H142" s="159"/>
      <c r="I142" s="159"/>
    </row>
    <row r="143" spans="4:9" ht="18.75">
      <c r="D143" s="159" t="s">
        <v>1768</v>
      </c>
      <c r="E143" s="159"/>
      <c r="F143" s="159"/>
      <c r="G143" s="159"/>
      <c r="H143" s="159"/>
      <c r="I143" s="159"/>
    </row>
    <row r="144" spans="4:9" ht="18.75">
      <c r="D144" s="159" t="s">
        <v>1769</v>
      </c>
      <c r="E144" s="159"/>
      <c r="F144" s="159"/>
      <c r="G144" s="159"/>
      <c r="H144" s="159"/>
      <c r="I144" s="159"/>
    </row>
    <row r="145" spans="4:9" ht="18.75">
      <c r="D145" s="159" t="s">
        <v>1770</v>
      </c>
      <c r="E145" s="159"/>
      <c r="F145" s="159"/>
      <c r="G145" s="159"/>
      <c r="H145" s="159"/>
      <c r="I145" s="159"/>
    </row>
    <row r="146" spans="4:9" ht="18.75">
      <c r="D146" s="159" t="s">
        <v>1771</v>
      </c>
      <c r="E146" s="159"/>
      <c r="F146" s="159"/>
      <c r="G146" s="159"/>
      <c r="H146" s="159"/>
      <c r="I146" s="159"/>
    </row>
    <row r="147" spans="4:9" ht="18.75">
      <c r="D147" s="159" t="s">
        <v>1772</v>
      </c>
      <c r="E147" s="159"/>
      <c r="F147" s="159"/>
      <c r="G147" s="159"/>
      <c r="H147" s="159"/>
      <c r="I147" s="159"/>
    </row>
    <row r="148" spans="4:9" ht="18.75">
      <c r="D148" s="159" t="s">
        <v>1773</v>
      </c>
      <c r="E148" s="159"/>
      <c r="F148" s="159"/>
      <c r="G148" s="159"/>
      <c r="H148" s="159"/>
      <c r="I148" s="159"/>
    </row>
    <row r="149" spans="4:9" ht="18.75">
      <c r="D149" s="159" t="s">
        <v>1774</v>
      </c>
      <c r="E149" s="159"/>
      <c r="F149" s="159"/>
      <c r="G149" s="159"/>
      <c r="H149" s="159"/>
      <c r="I149" s="159"/>
    </row>
    <row r="150" spans="4:9" ht="18.75">
      <c r="D150" s="159" t="s">
        <v>1775</v>
      </c>
      <c r="E150" s="159" t="s">
        <v>1776</v>
      </c>
      <c r="F150" s="159"/>
      <c r="G150" s="159"/>
      <c r="H150" s="159"/>
      <c r="I150" s="159"/>
    </row>
    <row r="151" spans="4:9" ht="18.75">
      <c r="D151" s="159" t="s">
        <v>1777</v>
      </c>
      <c r="E151" s="159"/>
      <c r="F151" s="159"/>
      <c r="G151" s="159"/>
      <c r="H151" s="159"/>
      <c r="I151" s="159"/>
    </row>
    <row r="152" spans="4:9" ht="18.75">
      <c r="D152" s="159" t="s">
        <v>1778</v>
      </c>
      <c r="E152" s="159"/>
      <c r="F152" s="159"/>
      <c r="G152" s="159"/>
      <c r="H152" s="159"/>
      <c r="I152" s="159"/>
    </row>
    <row r="153" spans="4:9" ht="18.75">
      <c r="D153" s="159" t="s">
        <v>1779</v>
      </c>
      <c r="E153" s="159"/>
      <c r="F153" s="159"/>
      <c r="G153" s="159"/>
      <c r="H153" s="159"/>
      <c r="I153" s="159"/>
    </row>
    <row r="154" spans="4:9" ht="18.75">
      <c r="D154" s="159" t="s">
        <v>1780</v>
      </c>
      <c r="E154" s="159" t="s">
        <v>1781</v>
      </c>
      <c r="F154" s="159" t="s">
        <v>1782</v>
      </c>
      <c r="G154" s="159"/>
      <c r="H154" s="159"/>
      <c r="I154" s="159"/>
    </row>
    <row r="155" spans="4:9" ht="18.75">
      <c r="D155" s="159" t="s">
        <v>1783</v>
      </c>
      <c r="E155" s="160" t="s">
        <v>1784</v>
      </c>
      <c r="F155" s="159" t="s">
        <v>1785</v>
      </c>
      <c r="G155" s="159" t="s">
        <v>1786</v>
      </c>
      <c r="H155" s="159"/>
      <c r="I155" s="159"/>
    </row>
    <row r="156" spans="4:9" ht="18.75">
      <c r="D156" s="159" t="s">
        <v>1787</v>
      </c>
      <c r="E156" s="159"/>
      <c r="F156" s="159"/>
      <c r="G156" s="159"/>
      <c r="H156" s="159"/>
      <c r="I156" s="159"/>
    </row>
    <row r="157" spans="4:9" ht="18.75">
      <c r="D157" s="159" t="s">
        <v>1788</v>
      </c>
      <c r="E157" s="159"/>
      <c r="F157" s="159"/>
      <c r="G157" s="159"/>
      <c r="H157" s="159"/>
      <c r="I157" s="159"/>
    </row>
    <row r="158" spans="4:9" ht="18.75">
      <c r="D158" s="159" t="s">
        <v>1789</v>
      </c>
      <c r="E158" s="159"/>
      <c r="F158" s="159"/>
      <c r="G158" s="159"/>
      <c r="H158" s="159"/>
      <c r="I158" s="159"/>
    </row>
    <row r="159" spans="4:9" ht="18.75">
      <c r="D159" s="159" t="s">
        <v>1790</v>
      </c>
      <c r="E159" s="159"/>
      <c r="F159" s="159"/>
      <c r="G159" s="159"/>
      <c r="H159" s="159"/>
      <c r="I159" s="159"/>
    </row>
    <row r="160" spans="4:9" ht="18.75">
      <c r="D160" s="159" t="s">
        <v>1791</v>
      </c>
      <c r="E160" s="159" t="s">
        <v>1792</v>
      </c>
      <c r="F160" s="159"/>
      <c r="G160" s="159"/>
      <c r="H160" s="159"/>
      <c r="I160" s="159"/>
    </row>
    <row r="161" spans="4:9" ht="18.75">
      <c r="D161" s="159" t="s">
        <v>1793</v>
      </c>
      <c r="E161" s="159"/>
      <c r="F161" s="159"/>
      <c r="G161" s="159"/>
      <c r="H161" s="159"/>
      <c r="I161" s="159"/>
    </row>
    <row r="162" spans="4:9" ht="18.75">
      <c r="D162" s="159" t="s">
        <v>208</v>
      </c>
      <c r="E162" s="159" t="s">
        <v>1794</v>
      </c>
      <c r="F162" s="159" t="s">
        <v>1795</v>
      </c>
      <c r="G162" s="159"/>
      <c r="H162" s="159"/>
      <c r="I162" s="159"/>
    </row>
    <row r="163" spans="4:9" ht="18.75">
      <c r="D163" s="159" t="s">
        <v>1796</v>
      </c>
      <c r="E163" s="159"/>
      <c r="F163" s="159"/>
      <c r="G163" s="159"/>
      <c r="H163" s="159"/>
      <c r="I163" s="159"/>
    </row>
    <row r="164" spans="4:9" ht="18.75">
      <c r="D164" s="159" t="s">
        <v>1797</v>
      </c>
      <c r="E164" s="159"/>
      <c r="F164" s="159"/>
      <c r="G164" s="159"/>
      <c r="H164" s="159"/>
      <c r="I164" s="159"/>
    </row>
    <row r="165" spans="4:9" ht="18.75">
      <c r="D165" s="159" t="s">
        <v>1798</v>
      </c>
      <c r="E165" s="159"/>
      <c r="F165" s="159"/>
      <c r="G165" s="159"/>
      <c r="H165" s="159"/>
      <c r="I165" s="159"/>
    </row>
    <row r="166" spans="4:9" ht="18.75">
      <c r="D166" s="159" t="s">
        <v>1799</v>
      </c>
      <c r="E166" s="159"/>
      <c r="F166" s="159"/>
      <c r="G166" s="159"/>
      <c r="H166" s="159"/>
      <c r="I166" s="159"/>
    </row>
    <row r="167" spans="4:9" ht="18.75">
      <c r="D167" s="159" t="s">
        <v>1800</v>
      </c>
      <c r="E167" s="159" t="s">
        <v>1801</v>
      </c>
      <c r="F167" s="159" t="s">
        <v>1802</v>
      </c>
      <c r="G167" s="159" t="s">
        <v>1803</v>
      </c>
      <c r="H167" s="159" t="s">
        <v>1804</v>
      </c>
      <c r="I167" s="159" t="s">
        <v>1805</v>
      </c>
    </row>
    <row r="168" spans="4:9" ht="18.75">
      <c r="D168" s="159" t="s">
        <v>1806</v>
      </c>
      <c r="E168" s="159"/>
      <c r="F168" s="159"/>
      <c r="G168" s="159"/>
      <c r="H168" s="159"/>
      <c r="I168" s="159"/>
    </row>
    <row r="169" spans="4:9" ht="18.75">
      <c r="D169" s="159" t="s">
        <v>1807</v>
      </c>
      <c r="E169" s="159" t="s">
        <v>1808</v>
      </c>
      <c r="F169" s="159"/>
      <c r="G169" s="159"/>
      <c r="H169" s="159"/>
      <c r="I169" s="159"/>
    </row>
    <row r="170" spans="4:9" ht="18.75">
      <c r="D170" s="159" t="s">
        <v>525</v>
      </c>
      <c r="E170" s="159"/>
      <c r="F170" s="159"/>
      <c r="G170" s="159"/>
      <c r="H170" s="159"/>
      <c r="I170" s="159"/>
    </row>
    <row r="171" spans="4:9" ht="18.75">
      <c r="D171" s="159" t="s">
        <v>1809</v>
      </c>
      <c r="E171" s="159"/>
      <c r="F171" s="159"/>
      <c r="G171" s="159"/>
      <c r="H171" s="159"/>
      <c r="I171" s="159"/>
    </row>
    <row r="172" spans="4:9" ht="18.75">
      <c r="D172" s="159" t="s">
        <v>1810</v>
      </c>
      <c r="E172" s="159" t="s">
        <v>1811</v>
      </c>
      <c r="F172" s="159"/>
      <c r="G172" s="159"/>
      <c r="H172" s="159"/>
      <c r="I172" s="159"/>
    </row>
    <row r="173" spans="4:9" ht="18.75">
      <c r="D173" s="159" t="s">
        <v>1812</v>
      </c>
      <c r="E173" s="159"/>
      <c r="F173" s="159"/>
      <c r="G173" s="159"/>
      <c r="H173" s="159"/>
      <c r="I173" s="159"/>
    </row>
    <row r="174" spans="4:9" ht="18.75">
      <c r="D174" s="159" t="s">
        <v>1813</v>
      </c>
      <c r="E174" s="159" t="s">
        <v>1814</v>
      </c>
      <c r="F174" s="159" t="s">
        <v>1815</v>
      </c>
      <c r="G174" s="159" t="s">
        <v>1816</v>
      </c>
      <c r="H174" s="159"/>
      <c r="I174" s="159"/>
    </row>
    <row r="175" spans="4:9" ht="18.75">
      <c r="D175" s="159" t="s">
        <v>1817</v>
      </c>
      <c r="E175" s="159"/>
      <c r="F175" s="159"/>
      <c r="G175" s="159"/>
      <c r="H175" s="159"/>
      <c r="I175" s="159"/>
    </row>
    <row r="176" spans="4:9" ht="18.75">
      <c r="D176" s="159" t="s">
        <v>1818</v>
      </c>
      <c r="E176" s="159" t="s">
        <v>1819</v>
      </c>
      <c r="F176" s="159"/>
      <c r="G176" s="159"/>
      <c r="H176" s="159"/>
      <c r="I176" s="159"/>
    </row>
    <row r="177" spans="4:9" ht="18.75">
      <c r="D177" s="159" t="s">
        <v>1820</v>
      </c>
      <c r="E177" s="159"/>
      <c r="F177" s="159"/>
      <c r="G177" s="159"/>
      <c r="H177" s="159"/>
      <c r="I177" s="159"/>
    </row>
    <row r="178" spans="4:9" ht="18.75">
      <c r="D178" s="159" t="s">
        <v>532</v>
      </c>
      <c r="E178" s="159" t="s">
        <v>1821</v>
      </c>
      <c r="F178" s="159"/>
      <c r="G178" s="159"/>
      <c r="H178" s="159"/>
      <c r="I178" s="159"/>
    </row>
    <row r="179" spans="4:9" ht="18.75">
      <c r="D179" s="159" t="s">
        <v>1822</v>
      </c>
      <c r="E179" s="159" t="s">
        <v>1823</v>
      </c>
      <c r="F179" s="159"/>
      <c r="G179" s="159"/>
      <c r="H179" s="159"/>
      <c r="I179" s="159"/>
    </row>
    <row r="180" spans="4:9" ht="18.75">
      <c r="D180" s="159" t="s">
        <v>1824</v>
      </c>
      <c r="E180" s="159"/>
      <c r="F180" s="159"/>
      <c r="G180" s="159"/>
      <c r="H180" s="159"/>
      <c r="I180" s="159"/>
    </row>
    <row r="181" spans="4:9" ht="18.75">
      <c r="D181" s="159" t="s">
        <v>911</v>
      </c>
      <c r="E181" s="159" t="s">
        <v>1825</v>
      </c>
      <c r="F181" s="159"/>
      <c r="G181" s="159"/>
      <c r="H181" s="159"/>
      <c r="I181" s="159"/>
    </row>
    <row r="182" spans="4:9" ht="18.75">
      <c r="D182" s="159" t="s">
        <v>773</v>
      </c>
      <c r="E182" s="159"/>
      <c r="F182" s="159"/>
      <c r="G182" s="159"/>
      <c r="H182" s="159"/>
      <c r="I182" s="159"/>
    </row>
    <row r="183" spans="4:9" ht="18.75">
      <c r="D183" s="159" t="s">
        <v>1826</v>
      </c>
      <c r="E183" s="159"/>
      <c r="F183" s="159"/>
      <c r="G183" s="159"/>
      <c r="H183" s="159"/>
      <c r="I183" s="159"/>
    </row>
    <row r="184" spans="4:9" ht="18.75">
      <c r="D184" s="159" t="s">
        <v>1827</v>
      </c>
      <c r="E184" s="159"/>
      <c r="F184" s="159"/>
      <c r="G184" s="159"/>
      <c r="H184" s="159"/>
      <c r="I184" s="159"/>
    </row>
    <row r="185" spans="4:9" ht="18.75">
      <c r="D185" s="159" t="s">
        <v>1828</v>
      </c>
      <c r="E185" s="159"/>
      <c r="F185" s="159"/>
      <c r="G185" s="159"/>
      <c r="H185" s="159"/>
      <c r="I185" s="159"/>
    </row>
    <row r="186" spans="4:9" ht="18.75">
      <c r="D186" s="159" t="s">
        <v>1829</v>
      </c>
      <c r="E186" s="159"/>
      <c r="F186" s="159"/>
      <c r="G186" s="159"/>
      <c r="H186" s="159"/>
      <c r="I186" s="159"/>
    </row>
    <row r="187" spans="4:9" ht="18.75">
      <c r="D187" s="159" t="s">
        <v>1830</v>
      </c>
      <c r="E187" s="159"/>
      <c r="F187" s="159"/>
      <c r="G187" s="159"/>
      <c r="H187" s="159"/>
      <c r="I187" s="159"/>
    </row>
    <row r="188" spans="4:9" ht="18.75">
      <c r="D188" s="159" t="s">
        <v>1831</v>
      </c>
      <c r="E188" s="159"/>
      <c r="F188" s="159"/>
      <c r="G188" s="159"/>
      <c r="H188" s="159"/>
      <c r="I188" s="159"/>
    </row>
    <row r="189" spans="4:9" ht="18.75">
      <c r="D189" s="159" t="s">
        <v>1832</v>
      </c>
      <c r="E189" s="159"/>
      <c r="F189" s="159"/>
      <c r="G189" s="159"/>
      <c r="H189" s="159"/>
      <c r="I189" s="159"/>
    </row>
    <row r="190" spans="4:9" ht="18.75">
      <c r="D190" s="159" t="s">
        <v>1833</v>
      </c>
      <c r="E190" s="159"/>
      <c r="F190" s="159"/>
      <c r="G190" s="159"/>
      <c r="H190" s="159"/>
      <c r="I190" s="159"/>
    </row>
    <row r="191" spans="4:9" ht="18.75">
      <c r="D191" s="159" t="s">
        <v>1834</v>
      </c>
      <c r="E191" s="159"/>
      <c r="F191" s="159"/>
      <c r="G191" s="159"/>
      <c r="H191" s="159"/>
      <c r="I191" s="159"/>
    </row>
    <row r="192" spans="4:9" ht="18.75">
      <c r="D192" s="159" t="s">
        <v>1835</v>
      </c>
      <c r="E192" s="159"/>
      <c r="F192" s="159"/>
      <c r="G192" s="159"/>
      <c r="H192" s="159"/>
      <c r="I192" s="159"/>
    </row>
    <row r="193" spans="4:9" ht="18.75">
      <c r="D193" s="159" t="s">
        <v>1836</v>
      </c>
      <c r="E193" s="159"/>
      <c r="F193" s="159"/>
      <c r="G193" s="159"/>
      <c r="H193" s="159"/>
      <c r="I193" s="159"/>
    </row>
    <row r="194" spans="4:9" ht="18.75">
      <c r="D194" s="159" t="s">
        <v>1837</v>
      </c>
      <c r="E194" s="159" t="s">
        <v>1838</v>
      </c>
      <c r="F194" s="159"/>
      <c r="G194" s="159"/>
      <c r="H194" s="159"/>
      <c r="I194" s="159"/>
    </row>
    <row r="195" spans="4:9" ht="18.75">
      <c r="D195" s="159" t="s">
        <v>1839</v>
      </c>
      <c r="E195" s="159"/>
      <c r="F195" s="159"/>
      <c r="G195" s="159"/>
      <c r="H195" s="159"/>
      <c r="I195" s="159"/>
    </row>
    <row r="196" spans="4:9" ht="18.75">
      <c r="D196" s="159" t="s">
        <v>1840</v>
      </c>
      <c r="E196" s="159" t="s">
        <v>1841</v>
      </c>
      <c r="F196" s="159"/>
      <c r="G196" s="159"/>
      <c r="H196" s="159"/>
      <c r="I196" s="159"/>
    </row>
    <row r="197" spans="4:9" ht="18.75">
      <c r="D197" s="159" t="s">
        <v>1842</v>
      </c>
      <c r="E197" s="159"/>
      <c r="F197" s="159"/>
      <c r="G197" s="159"/>
      <c r="H197" s="159"/>
      <c r="I197" s="159"/>
    </row>
    <row r="198" spans="4:9" ht="18.75">
      <c r="D198" s="159" t="s">
        <v>1843</v>
      </c>
      <c r="E198" s="159"/>
      <c r="F198" s="159"/>
      <c r="G198" s="159"/>
      <c r="H198" s="159"/>
      <c r="I198" s="159"/>
    </row>
    <row r="199" spans="4:9" ht="18.75">
      <c r="D199" s="159" t="s">
        <v>1844</v>
      </c>
      <c r="E199" s="159"/>
      <c r="F199" s="159"/>
      <c r="G199" s="159"/>
      <c r="H199" s="159"/>
      <c r="I199" s="159"/>
    </row>
    <row r="200" spans="4:9" ht="18.75">
      <c r="D200" s="159" t="s">
        <v>59</v>
      </c>
      <c r="E200" s="159" t="s">
        <v>1845</v>
      </c>
      <c r="F200" s="159"/>
      <c r="G200" s="159"/>
      <c r="H200" s="159"/>
      <c r="I200" s="159"/>
    </row>
  </sheetData>
  <mergeCells count="3">
    <mergeCell ref="E76:F76"/>
    <mergeCell ref="H88:I88"/>
    <mergeCell ref="D116:E116"/>
  </mergeCells>
  <phoneticPr fontId="6"/>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pageSetUpPr fitToPage="1"/>
  </sheetPr>
  <dimension ref="A1:I242"/>
  <sheetViews>
    <sheetView showGridLines="0" view="pageBreakPreview" topLeftCell="E217" zoomScale="90" zoomScaleNormal="85" zoomScaleSheetLayoutView="90" workbookViewId="0">
      <selection activeCell="G242" sqref="G242"/>
    </sheetView>
  </sheetViews>
  <sheetFormatPr defaultRowHeight="13.5"/>
  <cols>
    <col min="1" max="1" width="5.625" style="62" customWidth="1"/>
    <col min="2" max="3" width="15.125" style="62" customWidth="1"/>
    <col min="4" max="4" width="43.125" style="62" customWidth="1"/>
    <col min="5" max="5" width="10.625" style="62" customWidth="1"/>
    <col min="6" max="6" width="82.625" style="62" bestFit="1" customWidth="1"/>
    <col min="7" max="7" width="7.375" style="64" customWidth="1"/>
    <col min="8" max="256" width="9" style="62"/>
    <col min="257" max="257" width="5.625" style="62" customWidth="1"/>
    <col min="258" max="259" width="15.125" style="62" customWidth="1"/>
    <col min="260" max="260" width="43.125" style="62" customWidth="1"/>
    <col min="261" max="261" width="10.625" style="62" customWidth="1"/>
    <col min="262" max="262" width="82.625" style="62" bestFit="1" customWidth="1"/>
    <col min="263" max="263" width="7.375" style="62" customWidth="1"/>
    <col min="264" max="512" width="9" style="62"/>
    <col min="513" max="513" width="5.625" style="62" customWidth="1"/>
    <col min="514" max="515" width="15.125" style="62" customWidth="1"/>
    <col min="516" max="516" width="43.125" style="62" customWidth="1"/>
    <col min="517" max="517" width="10.625" style="62" customWidth="1"/>
    <col min="518" max="518" width="82.625" style="62" bestFit="1" customWidth="1"/>
    <col min="519" max="519" width="7.375" style="62" customWidth="1"/>
    <col min="520" max="768" width="9" style="62"/>
    <col min="769" max="769" width="5.625" style="62" customWidth="1"/>
    <col min="770" max="771" width="15.125" style="62" customWidth="1"/>
    <col min="772" max="772" width="43.125" style="62" customWidth="1"/>
    <col min="773" max="773" width="10.625" style="62" customWidth="1"/>
    <col min="774" max="774" width="82.625" style="62" bestFit="1" customWidth="1"/>
    <col min="775" max="775" width="7.375" style="62" customWidth="1"/>
    <col min="776" max="1024" width="9" style="62"/>
    <col min="1025" max="1025" width="5.625" style="62" customWidth="1"/>
    <col min="1026" max="1027" width="15.125" style="62" customWidth="1"/>
    <col min="1028" max="1028" width="43.125" style="62" customWidth="1"/>
    <col min="1029" max="1029" width="10.625" style="62" customWidth="1"/>
    <col min="1030" max="1030" width="82.625" style="62" bestFit="1" customWidth="1"/>
    <col min="1031" max="1031" width="7.375" style="62" customWidth="1"/>
    <col min="1032" max="1280" width="9" style="62"/>
    <col min="1281" max="1281" width="5.625" style="62" customWidth="1"/>
    <col min="1282" max="1283" width="15.125" style="62" customWidth="1"/>
    <col min="1284" max="1284" width="43.125" style="62" customWidth="1"/>
    <col min="1285" max="1285" width="10.625" style="62" customWidth="1"/>
    <col min="1286" max="1286" width="82.625" style="62" bestFit="1" customWidth="1"/>
    <col min="1287" max="1287" width="7.375" style="62" customWidth="1"/>
    <col min="1288" max="1536" width="9" style="62"/>
    <col min="1537" max="1537" width="5.625" style="62" customWidth="1"/>
    <col min="1538" max="1539" width="15.125" style="62" customWidth="1"/>
    <col min="1540" max="1540" width="43.125" style="62" customWidth="1"/>
    <col min="1541" max="1541" width="10.625" style="62" customWidth="1"/>
    <col min="1542" max="1542" width="82.625" style="62" bestFit="1" customWidth="1"/>
    <col min="1543" max="1543" width="7.375" style="62" customWidth="1"/>
    <col min="1544" max="1792" width="9" style="62"/>
    <col min="1793" max="1793" width="5.625" style="62" customWidth="1"/>
    <col min="1794" max="1795" width="15.125" style="62" customWidth="1"/>
    <col min="1796" max="1796" width="43.125" style="62" customWidth="1"/>
    <col min="1797" max="1797" width="10.625" style="62" customWidth="1"/>
    <col min="1798" max="1798" width="82.625" style="62" bestFit="1" customWidth="1"/>
    <col min="1799" max="1799" width="7.375" style="62" customWidth="1"/>
    <col min="1800" max="2048" width="9" style="62"/>
    <col min="2049" max="2049" width="5.625" style="62" customWidth="1"/>
    <col min="2050" max="2051" width="15.125" style="62" customWidth="1"/>
    <col min="2052" max="2052" width="43.125" style="62" customWidth="1"/>
    <col min="2053" max="2053" width="10.625" style="62" customWidth="1"/>
    <col min="2054" max="2054" width="82.625" style="62" bestFit="1" customWidth="1"/>
    <col min="2055" max="2055" width="7.375" style="62" customWidth="1"/>
    <col min="2056" max="2304" width="9" style="62"/>
    <col min="2305" max="2305" width="5.625" style="62" customWidth="1"/>
    <col min="2306" max="2307" width="15.125" style="62" customWidth="1"/>
    <col min="2308" max="2308" width="43.125" style="62" customWidth="1"/>
    <col min="2309" max="2309" width="10.625" style="62" customWidth="1"/>
    <col min="2310" max="2310" width="82.625" style="62" bestFit="1" customWidth="1"/>
    <col min="2311" max="2311" width="7.375" style="62" customWidth="1"/>
    <col min="2312" max="2560" width="9" style="62"/>
    <col min="2561" max="2561" width="5.625" style="62" customWidth="1"/>
    <col min="2562" max="2563" width="15.125" style="62" customWidth="1"/>
    <col min="2564" max="2564" width="43.125" style="62" customWidth="1"/>
    <col min="2565" max="2565" width="10.625" style="62" customWidth="1"/>
    <col min="2566" max="2566" width="82.625" style="62" bestFit="1" customWidth="1"/>
    <col min="2567" max="2567" width="7.375" style="62" customWidth="1"/>
    <col min="2568" max="2816" width="9" style="62"/>
    <col min="2817" max="2817" width="5.625" style="62" customWidth="1"/>
    <col min="2818" max="2819" width="15.125" style="62" customWidth="1"/>
    <col min="2820" max="2820" width="43.125" style="62" customWidth="1"/>
    <col min="2821" max="2821" width="10.625" style="62" customWidth="1"/>
    <col min="2822" max="2822" width="82.625" style="62" bestFit="1" customWidth="1"/>
    <col min="2823" max="2823" width="7.375" style="62" customWidth="1"/>
    <col min="2824" max="3072" width="9" style="62"/>
    <col min="3073" max="3073" width="5.625" style="62" customWidth="1"/>
    <col min="3074" max="3075" width="15.125" style="62" customWidth="1"/>
    <col min="3076" max="3076" width="43.125" style="62" customWidth="1"/>
    <col min="3077" max="3077" width="10.625" style="62" customWidth="1"/>
    <col min="3078" max="3078" width="82.625" style="62" bestFit="1" customWidth="1"/>
    <col min="3079" max="3079" width="7.375" style="62" customWidth="1"/>
    <col min="3080" max="3328" width="9" style="62"/>
    <col min="3329" max="3329" width="5.625" style="62" customWidth="1"/>
    <col min="3330" max="3331" width="15.125" style="62" customWidth="1"/>
    <col min="3332" max="3332" width="43.125" style="62" customWidth="1"/>
    <col min="3333" max="3333" width="10.625" style="62" customWidth="1"/>
    <col min="3334" max="3334" width="82.625" style="62" bestFit="1" customWidth="1"/>
    <col min="3335" max="3335" width="7.375" style="62" customWidth="1"/>
    <col min="3336" max="3584" width="9" style="62"/>
    <col min="3585" max="3585" width="5.625" style="62" customWidth="1"/>
    <col min="3586" max="3587" width="15.125" style="62" customWidth="1"/>
    <col min="3588" max="3588" width="43.125" style="62" customWidth="1"/>
    <col min="3589" max="3589" width="10.625" style="62" customWidth="1"/>
    <col min="3590" max="3590" width="82.625" style="62" bestFit="1" customWidth="1"/>
    <col min="3591" max="3591" width="7.375" style="62" customWidth="1"/>
    <col min="3592" max="3840" width="9" style="62"/>
    <col min="3841" max="3841" width="5.625" style="62" customWidth="1"/>
    <col min="3842" max="3843" width="15.125" style="62" customWidth="1"/>
    <col min="3844" max="3844" width="43.125" style="62" customWidth="1"/>
    <col min="3845" max="3845" width="10.625" style="62" customWidth="1"/>
    <col min="3846" max="3846" width="82.625" style="62" bestFit="1" customWidth="1"/>
    <col min="3847" max="3847" width="7.375" style="62" customWidth="1"/>
    <col min="3848" max="4096" width="9" style="62"/>
    <col min="4097" max="4097" width="5.625" style="62" customWidth="1"/>
    <col min="4098" max="4099" width="15.125" style="62" customWidth="1"/>
    <col min="4100" max="4100" width="43.125" style="62" customWidth="1"/>
    <col min="4101" max="4101" width="10.625" style="62" customWidth="1"/>
    <col min="4102" max="4102" width="82.625" style="62" bestFit="1" customWidth="1"/>
    <col min="4103" max="4103" width="7.375" style="62" customWidth="1"/>
    <col min="4104" max="4352" width="9" style="62"/>
    <col min="4353" max="4353" width="5.625" style="62" customWidth="1"/>
    <col min="4354" max="4355" width="15.125" style="62" customWidth="1"/>
    <col min="4356" max="4356" width="43.125" style="62" customWidth="1"/>
    <col min="4357" max="4357" width="10.625" style="62" customWidth="1"/>
    <col min="4358" max="4358" width="82.625" style="62" bestFit="1" customWidth="1"/>
    <col min="4359" max="4359" width="7.375" style="62" customWidth="1"/>
    <col min="4360" max="4608" width="9" style="62"/>
    <col min="4609" max="4609" width="5.625" style="62" customWidth="1"/>
    <col min="4610" max="4611" width="15.125" style="62" customWidth="1"/>
    <col min="4612" max="4612" width="43.125" style="62" customWidth="1"/>
    <col min="4613" max="4613" width="10.625" style="62" customWidth="1"/>
    <col min="4614" max="4614" width="82.625" style="62" bestFit="1" customWidth="1"/>
    <col min="4615" max="4615" width="7.375" style="62" customWidth="1"/>
    <col min="4616" max="4864" width="9" style="62"/>
    <col min="4865" max="4865" width="5.625" style="62" customWidth="1"/>
    <col min="4866" max="4867" width="15.125" style="62" customWidth="1"/>
    <col min="4868" max="4868" width="43.125" style="62" customWidth="1"/>
    <col min="4869" max="4869" width="10.625" style="62" customWidth="1"/>
    <col min="4870" max="4870" width="82.625" style="62" bestFit="1" customWidth="1"/>
    <col min="4871" max="4871" width="7.375" style="62" customWidth="1"/>
    <col min="4872" max="5120" width="9" style="62"/>
    <col min="5121" max="5121" width="5.625" style="62" customWidth="1"/>
    <col min="5122" max="5123" width="15.125" style="62" customWidth="1"/>
    <col min="5124" max="5124" width="43.125" style="62" customWidth="1"/>
    <col min="5125" max="5125" width="10.625" style="62" customWidth="1"/>
    <col min="5126" max="5126" width="82.625" style="62" bestFit="1" customWidth="1"/>
    <col min="5127" max="5127" width="7.375" style="62" customWidth="1"/>
    <col min="5128" max="5376" width="9" style="62"/>
    <col min="5377" max="5377" width="5.625" style="62" customWidth="1"/>
    <col min="5378" max="5379" width="15.125" style="62" customWidth="1"/>
    <col min="5380" max="5380" width="43.125" style="62" customWidth="1"/>
    <col min="5381" max="5381" width="10.625" style="62" customWidth="1"/>
    <col min="5382" max="5382" width="82.625" style="62" bestFit="1" customWidth="1"/>
    <col min="5383" max="5383" width="7.375" style="62" customWidth="1"/>
    <col min="5384" max="5632" width="9" style="62"/>
    <col min="5633" max="5633" width="5.625" style="62" customWidth="1"/>
    <col min="5634" max="5635" width="15.125" style="62" customWidth="1"/>
    <col min="5636" max="5636" width="43.125" style="62" customWidth="1"/>
    <col min="5637" max="5637" width="10.625" style="62" customWidth="1"/>
    <col min="5638" max="5638" width="82.625" style="62" bestFit="1" customWidth="1"/>
    <col min="5639" max="5639" width="7.375" style="62" customWidth="1"/>
    <col min="5640" max="5888" width="9" style="62"/>
    <col min="5889" max="5889" width="5.625" style="62" customWidth="1"/>
    <col min="5890" max="5891" width="15.125" style="62" customWidth="1"/>
    <col min="5892" max="5892" width="43.125" style="62" customWidth="1"/>
    <col min="5893" max="5893" width="10.625" style="62" customWidth="1"/>
    <col min="5894" max="5894" width="82.625" style="62" bestFit="1" customWidth="1"/>
    <col min="5895" max="5895" width="7.375" style="62" customWidth="1"/>
    <col min="5896" max="6144" width="9" style="62"/>
    <col min="6145" max="6145" width="5.625" style="62" customWidth="1"/>
    <col min="6146" max="6147" width="15.125" style="62" customWidth="1"/>
    <col min="6148" max="6148" width="43.125" style="62" customWidth="1"/>
    <col min="6149" max="6149" width="10.625" style="62" customWidth="1"/>
    <col min="6150" max="6150" width="82.625" style="62" bestFit="1" customWidth="1"/>
    <col min="6151" max="6151" width="7.375" style="62" customWidth="1"/>
    <col min="6152" max="6400" width="9" style="62"/>
    <col min="6401" max="6401" width="5.625" style="62" customWidth="1"/>
    <col min="6402" max="6403" width="15.125" style="62" customWidth="1"/>
    <col min="6404" max="6404" width="43.125" style="62" customWidth="1"/>
    <col min="6405" max="6405" width="10.625" style="62" customWidth="1"/>
    <col min="6406" max="6406" width="82.625" style="62" bestFit="1" customWidth="1"/>
    <col min="6407" max="6407" width="7.375" style="62" customWidth="1"/>
    <col min="6408" max="6656" width="9" style="62"/>
    <col min="6657" max="6657" width="5.625" style="62" customWidth="1"/>
    <col min="6658" max="6659" width="15.125" style="62" customWidth="1"/>
    <col min="6660" max="6660" width="43.125" style="62" customWidth="1"/>
    <col min="6661" max="6661" width="10.625" style="62" customWidth="1"/>
    <col min="6662" max="6662" width="82.625" style="62" bestFit="1" customWidth="1"/>
    <col min="6663" max="6663" width="7.375" style="62" customWidth="1"/>
    <col min="6664" max="6912" width="9" style="62"/>
    <col min="6913" max="6913" width="5.625" style="62" customWidth="1"/>
    <col min="6914" max="6915" width="15.125" style="62" customWidth="1"/>
    <col min="6916" max="6916" width="43.125" style="62" customWidth="1"/>
    <col min="6917" max="6917" width="10.625" style="62" customWidth="1"/>
    <col min="6918" max="6918" width="82.625" style="62" bestFit="1" customWidth="1"/>
    <col min="6919" max="6919" width="7.375" style="62" customWidth="1"/>
    <col min="6920" max="7168" width="9" style="62"/>
    <col min="7169" max="7169" width="5.625" style="62" customWidth="1"/>
    <col min="7170" max="7171" width="15.125" style="62" customWidth="1"/>
    <col min="7172" max="7172" width="43.125" style="62" customWidth="1"/>
    <col min="7173" max="7173" width="10.625" style="62" customWidth="1"/>
    <col min="7174" max="7174" width="82.625" style="62" bestFit="1" customWidth="1"/>
    <col min="7175" max="7175" width="7.375" style="62" customWidth="1"/>
    <col min="7176" max="7424" width="9" style="62"/>
    <col min="7425" max="7425" width="5.625" style="62" customWidth="1"/>
    <col min="7426" max="7427" width="15.125" style="62" customWidth="1"/>
    <col min="7428" max="7428" width="43.125" style="62" customWidth="1"/>
    <col min="7429" max="7429" width="10.625" style="62" customWidth="1"/>
    <col min="7430" max="7430" width="82.625" style="62" bestFit="1" customWidth="1"/>
    <col min="7431" max="7431" width="7.375" style="62" customWidth="1"/>
    <col min="7432" max="7680" width="9" style="62"/>
    <col min="7681" max="7681" width="5.625" style="62" customWidth="1"/>
    <col min="7682" max="7683" width="15.125" style="62" customWidth="1"/>
    <col min="7684" max="7684" width="43.125" style="62" customWidth="1"/>
    <col min="7685" max="7685" width="10.625" style="62" customWidth="1"/>
    <col min="7686" max="7686" width="82.625" style="62" bestFit="1" customWidth="1"/>
    <col min="7687" max="7687" width="7.375" style="62" customWidth="1"/>
    <col min="7688" max="7936" width="9" style="62"/>
    <col min="7937" max="7937" width="5.625" style="62" customWidth="1"/>
    <col min="7938" max="7939" width="15.125" style="62" customWidth="1"/>
    <col min="7940" max="7940" width="43.125" style="62" customWidth="1"/>
    <col min="7941" max="7941" width="10.625" style="62" customWidth="1"/>
    <col min="7942" max="7942" width="82.625" style="62" bestFit="1" customWidth="1"/>
    <col min="7943" max="7943" width="7.375" style="62" customWidth="1"/>
    <col min="7944" max="8192" width="9" style="62"/>
    <col min="8193" max="8193" width="5.625" style="62" customWidth="1"/>
    <col min="8194" max="8195" width="15.125" style="62" customWidth="1"/>
    <col min="8196" max="8196" width="43.125" style="62" customWidth="1"/>
    <col min="8197" max="8197" width="10.625" style="62" customWidth="1"/>
    <col min="8198" max="8198" width="82.625" style="62" bestFit="1" customWidth="1"/>
    <col min="8199" max="8199" width="7.375" style="62" customWidth="1"/>
    <col min="8200" max="8448" width="9" style="62"/>
    <col min="8449" max="8449" width="5.625" style="62" customWidth="1"/>
    <col min="8450" max="8451" width="15.125" style="62" customWidth="1"/>
    <col min="8452" max="8452" width="43.125" style="62" customWidth="1"/>
    <col min="8453" max="8453" width="10.625" style="62" customWidth="1"/>
    <col min="8454" max="8454" width="82.625" style="62" bestFit="1" customWidth="1"/>
    <col min="8455" max="8455" width="7.375" style="62" customWidth="1"/>
    <col min="8456" max="8704" width="9" style="62"/>
    <col min="8705" max="8705" width="5.625" style="62" customWidth="1"/>
    <col min="8706" max="8707" width="15.125" style="62" customWidth="1"/>
    <col min="8708" max="8708" width="43.125" style="62" customWidth="1"/>
    <col min="8709" max="8709" width="10.625" style="62" customWidth="1"/>
    <col min="8710" max="8710" width="82.625" style="62" bestFit="1" customWidth="1"/>
    <col min="8711" max="8711" width="7.375" style="62" customWidth="1"/>
    <col min="8712" max="8960" width="9" style="62"/>
    <col min="8961" max="8961" width="5.625" style="62" customWidth="1"/>
    <col min="8962" max="8963" width="15.125" style="62" customWidth="1"/>
    <col min="8964" max="8964" width="43.125" style="62" customWidth="1"/>
    <col min="8965" max="8965" width="10.625" style="62" customWidth="1"/>
    <col min="8966" max="8966" width="82.625" style="62" bestFit="1" customWidth="1"/>
    <col min="8967" max="8967" width="7.375" style="62" customWidth="1"/>
    <col min="8968" max="9216" width="9" style="62"/>
    <col min="9217" max="9217" width="5.625" style="62" customWidth="1"/>
    <col min="9218" max="9219" width="15.125" style="62" customWidth="1"/>
    <col min="9220" max="9220" width="43.125" style="62" customWidth="1"/>
    <col min="9221" max="9221" width="10.625" style="62" customWidth="1"/>
    <col min="9222" max="9222" width="82.625" style="62" bestFit="1" customWidth="1"/>
    <col min="9223" max="9223" width="7.375" style="62" customWidth="1"/>
    <col min="9224" max="9472" width="9" style="62"/>
    <col min="9473" max="9473" width="5.625" style="62" customWidth="1"/>
    <col min="9474" max="9475" width="15.125" style="62" customWidth="1"/>
    <col min="9476" max="9476" width="43.125" style="62" customWidth="1"/>
    <col min="9477" max="9477" width="10.625" style="62" customWidth="1"/>
    <col min="9478" max="9478" width="82.625" style="62" bestFit="1" customWidth="1"/>
    <col min="9479" max="9479" width="7.375" style="62" customWidth="1"/>
    <col min="9480" max="9728" width="9" style="62"/>
    <col min="9729" max="9729" width="5.625" style="62" customWidth="1"/>
    <col min="9730" max="9731" width="15.125" style="62" customWidth="1"/>
    <col min="9732" max="9732" width="43.125" style="62" customWidth="1"/>
    <col min="9733" max="9733" width="10.625" style="62" customWidth="1"/>
    <col min="9734" max="9734" width="82.625" style="62" bestFit="1" customWidth="1"/>
    <col min="9735" max="9735" width="7.375" style="62" customWidth="1"/>
    <col min="9736" max="9984" width="9" style="62"/>
    <col min="9985" max="9985" width="5.625" style="62" customWidth="1"/>
    <col min="9986" max="9987" width="15.125" style="62" customWidth="1"/>
    <col min="9988" max="9988" width="43.125" style="62" customWidth="1"/>
    <col min="9989" max="9989" width="10.625" style="62" customWidth="1"/>
    <col min="9990" max="9990" width="82.625" style="62" bestFit="1" customWidth="1"/>
    <col min="9991" max="9991" width="7.375" style="62" customWidth="1"/>
    <col min="9992" max="10240" width="9" style="62"/>
    <col min="10241" max="10241" width="5.625" style="62" customWidth="1"/>
    <col min="10242" max="10243" width="15.125" style="62" customWidth="1"/>
    <col min="10244" max="10244" width="43.125" style="62" customWidth="1"/>
    <col min="10245" max="10245" width="10.625" style="62" customWidth="1"/>
    <col min="10246" max="10246" width="82.625" style="62" bestFit="1" customWidth="1"/>
    <col min="10247" max="10247" width="7.375" style="62" customWidth="1"/>
    <col min="10248" max="10496" width="9" style="62"/>
    <col min="10497" max="10497" width="5.625" style="62" customWidth="1"/>
    <col min="10498" max="10499" width="15.125" style="62" customWidth="1"/>
    <col min="10500" max="10500" width="43.125" style="62" customWidth="1"/>
    <col min="10501" max="10501" width="10.625" style="62" customWidth="1"/>
    <col min="10502" max="10502" width="82.625" style="62" bestFit="1" customWidth="1"/>
    <col min="10503" max="10503" width="7.375" style="62" customWidth="1"/>
    <col min="10504" max="10752" width="9" style="62"/>
    <col min="10753" max="10753" width="5.625" style="62" customWidth="1"/>
    <col min="10754" max="10755" width="15.125" style="62" customWidth="1"/>
    <col min="10756" max="10756" width="43.125" style="62" customWidth="1"/>
    <col min="10757" max="10757" width="10.625" style="62" customWidth="1"/>
    <col min="10758" max="10758" width="82.625" style="62" bestFit="1" customWidth="1"/>
    <col min="10759" max="10759" width="7.375" style="62" customWidth="1"/>
    <col min="10760" max="11008" width="9" style="62"/>
    <col min="11009" max="11009" width="5.625" style="62" customWidth="1"/>
    <col min="11010" max="11011" width="15.125" style="62" customWidth="1"/>
    <col min="11012" max="11012" width="43.125" style="62" customWidth="1"/>
    <col min="11013" max="11013" width="10.625" style="62" customWidth="1"/>
    <col min="11014" max="11014" width="82.625" style="62" bestFit="1" customWidth="1"/>
    <col min="11015" max="11015" width="7.375" style="62" customWidth="1"/>
    <col min="11016" max="11264" width="9" style="62"/>
    <col min="11265" max="11265" width="5.625" style="62" customWidth="1"/>
    <col min="11266" max="11267" width="15.125" style="62" customWidth="1"/>
    <col min="11268" max="11268" width="43.125" style="62" customWidth="1"/>
    <col min="11269" max="11269" width="10.625" style="62" customWidth="1"/>
    <col min="11270" max="11270" width="82.625" style="62" bestFit="1" customWidth="1"/>
    <col min="11271" max="11271" width="7.375" style="62" customWidth="1"/>
    <col min="11272" max="11520" width="9" style="62"/>
    <col min="11521" max="11521" width="5.625" style="62" customWidth="1"/>
    <col min="11522" max="11523" width="15.125" style="62" customWidth="1"/>
    <col min="11524" max="11524" width="43.125" style="62" customWidth="1"/>
    <col min="11525" max="11525" width="10.625" style="62" customWidth="1"/>
    <col min="11526" max="11526" width="82.625" style="62" bestFit="1" customWidth="1"/>
    <col min="11527" max="11527" width="7.375" style="62" customWidth="1"/>
    <col min="11528" max="11776" width="9" style="62"/>
    <col min="11777" max="11777" width="5.625" style="62" customWidth="1"/>
    <col min="11778" max="11779" width="15.125" style="62" customWidth="1"/>
    <col min="11780" max="11780" width="43.125" style="62" customWidth="1"/>
    <col min="11781" max="11781" width="10.625" style="62" customWidth="1"/>
    <col min="11782" max="11782" width="82.625" style="62" bestFit="1" customWidth="1"/>
    <col min="11783" max="11783" width="7.375" style="62" customWidth="1"/>
    <col min="11784" max="12032" width="9" style="62"/>
    <col min="12033" max="12033" width="5.625" style="62" customWidth="1"/>
    <col min="12034" max="12035" width="15.125" style="62" customWidth="1"/>
    <col min="12036" max="12036" width="43.125" style="62" customWidth="1"/>
    <col min="12037" max="12037" width="10.625" style="62" customWidth="1"/>
    <col min="12038" max="12038" width="82.625" style="62" bestFit="1" customWidth="1"/>
    <col min="12039" max="12039" width="7.375" style="62" customWidth="1"/>
    <col min="12040" max="12288" width="9" style="62"/>
    <col min="12289" max="12289" width="5.625" style="62" customWidth="1"/>
    <col min="12290" max="12291" width="15.125" style="62" customWidth="1"/>
    <col min="12292" max="12292" width="43.125" style="62" customWidth="1"/>
    <col min="12293" max="12293" width="10.625" style="62" customWidth="1"/>
    <col min="12294" max="12294" width="82.625" style="62" bestFit="1" customWidth="1"/>
    <col min="12295" max="12295" width="7.375" style="62" customWidth="1"/>
    <col min="12296" max="12544" width="9" style="62"/>
    <col min="12545" max="12545" width="5.625" style="62" customWidth="1"/>
    <col min="12546" max="12547" width="15.125" style="62" customWidth="1"/>
    <col min="12548" max="12548" width="43.125" style="62" customWidth="1"/>
    <col min="12549" max="12549" width="10.625" style="62" customWidth="1"/>
    <col min="12550" max="12550" width="82.625" style="62" bestFit="1" customWidth="1"/>
    <col min="12551" max="12551" width="7.375" style="62" customWidth="1"/>
    <col min="12552" max="12800" width="9" style="62"/>
    <col min="12801" max="12801" width="5.625" style="62" customWidth="1"/>
    <col min="12802" max="12803" width="15.125" style="62" customWidth="1"/>
    <col min="12804" max="12804" width="43.125" style="62" customWidth="1"/>
    <col min="12805" max="12805" width="10.625" style="62" customWidth="1"/>
    <col min="12806" max="12806" width="82.625" style="62" bestFit="1" customWidth="1"/>
    <col min="12807" max="12807" width="7.375" style="62" customWidth="1"/>
    <col min="12808" max="13056" width="9" style="62"/>
    <col min="13057" max="13057" width="5.625" style="62" customWidth="1"/>
    <col min="13058" max="13059" width="15.125" style="62" customWidth="1"/>
    <col min="13060" max="13060" width="43.125" style="62" customWidth="1"/>
    <col min="13061" max="13061" width="10.625" style="62" customWidth="1"/>
    <col min="13062" max="13062" width="82.625" style="62" bestFit="1" customWidth="1"/>
    <col min="13063" max="13063" width="7.375" style="62" customWidth="1"/>
    <col min="13064" max="13312" width="9" style="62"/>
    <col min="13313" max="13313" width="5.625" style="62" customWidth="1"/>
    <col min="13314" max="13315" width="15.125" style="62" customWidth="1"/>
    <col min="13316" max="13316" width="43.125" style="62" customWidth="1"/>
    <col min="13317" max="13317" width="10.625" style="62" customWidth="1"/>
    <col min="13318" max="13318" width="82.625" style="62" bestFit="1" customWidth="1"/>
    <col min="13319" max="13319" width="7.375" style="62" customWidth="1"/>
    <col min="13320" max="13568" width="9" style="62"/>
    <col min="13569" max="13569" width="5.625" style="62" customWidth="1"/>
    <col min="13570" max="13571" width="15.125" style="62" customWidth="1"/>
    <col min="13572" max="13572" width="43.125" style="62" customWidth="1"/>
    <col min="13573" max="13573" width="10.625" style="62" customWidth="1"/>
    <col min="13574" max="13574" width="82.625" style="62" bestFit="1" customWidth="1"/>
    <col min="13575" max="13575" width="7.375" style="62" customWidth="1"/>
    <col min="13576" max="13824" width="9" style="62"/>
    <col min="13825" max="13825" width="5.625" style="62" customWidth="1"/>
    <col min="13826" max="13827" width="15.125" style="62" customWidth="1"/>
    <col min="13828" max="13828" width="43.125" style="62" customWidth="1"/>
    <col min="13829" max="13829" width="10.625" style="62" customWidth="1"/>
    <col min="13830" max="13830" width="82.625" style="62" bestFit="1" customWidth="1"/>
    <col min="13831" max="13831" width="7.375" style="62" customWidth="1"/>
    <col min="13832" max="14080" width="9" style="62"/>
    <col min="14081" max="14081" width="5.625" style="62" customWidth="1"/>
    <col min="14082" max="14083" width="15.125" style="62" customWidth="1"/>
    <col min="14084" max="14084" width="43.125" style="62" customWidth="1"/>
    <col min="14085" max="14085" width="10.625" style="62" customWidth="1"/>
    <col min="14086" max="14086" width="82.625" style="62" bestFit="1" customWidth="1"/>
    <col min="14087" max="14087" width="7.375" style="62" customWidth="1"/>
    <col min="14088" max="14336" width="9" style="62"/>
    <col min="14337" max="14337" width="5.625" style="62" customWidth="1"/>
    <col min="14338" max="14339" width="15.125" style="62" customWidth="1"/>
    <col min="14340" max="14340" width="43.125" style="62" customWidth="1"/>
    <col min="14341" max="14341" width="10.625" style="62" customWidth="1"/>
    <col min="14342" max="14342" width="82.625" style="62" bestFit="1" customWidth="1"/>
    <col min="14343" max="14343" width="7.375" style="62" customWidth="1"/>
    <col min="14344" max="14592" width="9" style="62"/>
    <col min="14593" max="14593" width="5.625" style="62" customWidth="1"/>
    <col min="14594" max="14595" width="15.125" style="62" customWidth="1"/>
    <col min="14596" max="14596" width="43.125" style="62" customWidth="1"/>
    <col min="14597" max="14597" width="10.625" style="62" customWidth="1"/>
    <col min="14598" max="14598" width="82.625" style="62" bestFit="1" customWidth="1"/>
    <col min="14599" max="14599" width="7.375" style="62" customWidth="1"/>
    <col min="14600" max="14848" width="9" style="62"/>
    <col min="14849" max="14849" width="5.625" style="62" customWidth="1"/>
    <col min="14850" max="14851" width="15.125" style="62" customWidth="1"/>
    <col min="14852" max="14852" width="43.125" style="62" customWidth="1"/>
    <col min="14853" max="14853" width="10.625" style="62" customWidth="1"/>
    <col min="14854" max="14854" width="82.625" style="62" bestFit="1" customWidth="1"/>
    <col min="14855" max="14855" width="7.375" style="62" customWidth="1"/>
    <col min="14856" max="15104" width="9" style="62"/>
    <col min="15105" max="15105" width="5.625" style="62" customWidth="1"/>
    <col min="15106" max="15107" width="15.125" style="62" customWidth="1"/>
    <col min="15108" max="15108" width="43.125" style="62" customWidth="1"/>
    <col min="15109" max="15109" width="10.625" style="62" customWidth="1"/>
    <col min="15110" max="15110" width="82.625" style="62" bestFit="1" customWidth="1"/>
    <col min="15111" max="15111" width="7.375" style="62" customWidth="1"/>
    <col min="15112" max="15360" width="9" style="62"/>
    <col min="15361" max="15361" width="5.625" style="62" customWidth="1"/>
    <col min="15362" max="15363" width="15.125" style="62" customWidth="1"/>
    <col min="15364" max="15364" width="43.125" style="62" customWidth="1"/>
    <col min="15365" max="15365" width="10.625" style="62" customWidth="1"/>
    <col min="15366" max="15366" width="82.625" style="62" bestFit="1" customWidth="1"/>
    <col min="15367" max="15367" width="7.375" style="62" customWidth="1"/>
    <col min="15368" max="15616" width="9" style="62"/>
    <col min="15617" max="15617" width="5.625" style="62" customWidth="1"/>
    <col min="15618" max="15619" width="15.125" style="62" customWidth="1"/>
    <col min="15620" max="15620" width="43.125" style="62" customWidth="1"/>
    <col min="15621" max="15621" width="10.625" style="62" customWidth="1"/>
    <col min="15622" max="15622" width="82.625" style="62" bestFit="1" customWidth="1"/>
    <col min="15623" max="15623" width="7.375" style="62" customWidth="1"/>
    <col min="15624" max="15872" width="9" style="62"/>
    <col min="15873" max="15873" width="5.625" style="62" customWidth="1"/>
    <col min="15874" max="15875" width="15.125" style="62" customWidth="1"/>
    <col min="15876" max="15876" width="43.125" style="62" customWidth="1"/>
    <col min="15877" max="15877" width="10.625" style="62" customWidth="1"/>
    <col min="15878" max="15878" width="82.625" style="62" bestFit="1" customWidth="1"/>
    <col min="15879" max="15879" width="7.375" style="62" customWidth="1"/>
    <col min="15880" max="16128" width="9" style="62"/>
    <col min="16129" max="16129" width="5.625" style="62" customWidth="1"/>
    <col min="16130" max="16131" width="15.125" style="62" customWidth="1"/>
    <col min="16132" max="16132" width="43.125" style="62" customWidth="1"/>
    <col min="16133" max="16133" width="10.625" style="62" customWidth="1"/>
    <col min="16134" max="16134" width="82.625" style="62" bestFit="1" customWidth="1"/>
    <col min="16135" max="16135" width="7.375" style="62" customWidth="1"/>
    <col min="16136" max="16384" width="9" style="62"/>
  </cols>
  <sheetData>
    <row r="1" spans="2:7" ht="14.25">
      <c r="F1" s="63" t="s">
        <v>1207</v>
      </c>
    </row>
    <row r="2" spans="2:7" ht="17.25">
      <c r="B2" s="65" t="s">
        <v>1208</v>
      </c>
      <c r="E2" s="66"/>
      <c r="F2" s="67">
        <v>44013</v>
      </c>
    </row>
    <row r="3" spans="2:7" ht="14.25" thickBot="1">
      <c r="F3" s="68" t="s">
        <v>1209</v>
      </c>
    </row>
    <row r="4" spans="2:7" ht="13.5" customHeight="1">
      <c r="B4" s="169" t="s">
        <v>1210</v>
      </c>
      <c r="C4" s="170"/>
      <c r="D4" s="171"/>
      <c r="E4" s="175" t="s">
        <v>1211</v>
      </c>
      <c r="F4" s="175" t="s">
        <v>1212</v>
      </c>
    </row>
    <row r="5" spans="2:7" ht="14.25" thickBot="1">
      <c r="B5" s="172"/>
      <c r="C5" s="173"/>
      <c r="D5" s="174"/>
      <c r="E5" s="176"/>
      <c r="F5" s="176"/>
    </row>
    <row r="6" spans="2:7" s="72" customFormat="1" ht="14.25" customHeight="1" thickTop="1">
      <c r="B6" s="177" t="s">
        <v>1213</v>
      </c>
      <c r="C6" s="178"/>
      <c r="D6" s="69"/>
      <c r="E6" s="13" t="s">
        <v>1518</v>
      </c>
      <c r="F6" s="70" t="s">
        <v>1214</v>
      </c>
      <c r="G6" s="71"/>
    </row>
    <row r="7" spans="2:7" s="72" customFormat="1">
      <c r="B7" s="73"/>
      <c r="C7" s="74" t="s">
        <v>1215</v>
      </c>
      <c r="D7" s="75"/>
      <c r="E7" s="18" t="s">
        <v>1072</v>
      </c>
      <c r="F7" s="76" t="s">
        <v>1216</v>
      </c>
      <c r="G7" s="71"/>
    </row>
    <row r="8" spans="2:7" s="72" customFormat="1">
      <c r="B8" s="73"/>
      <c r="C8" s="74" t="s">
        <v>1217</v>
      </c>
      <c r="D8" s="75"/>
      <c r="E8" s="18" t="s">
        <v>1074</v>
      </c>
      <c r="F8" s="76" t="s">
        <v>1218</v>
      </c>
      <c r="G8" s="71"/>
    </row>
    <row r="9" spans="2:7" s="72" customFormat="1">
      <c r="B9" s="73"/>
      <c r="C9" s="74" t="s">
        <v>1219</v>
      </c>
      <c r="D9" s="75"/>
      <c r="E9" s="18" t="s">
        <v>1075</v>
      </c>
      <c r="F9" s="76" t="s">
        <v>1220</v>
      </c>
      <c r="G9" s="71"/>
    </row>
    <row r="10" spans="2:7" s="72" customFormat="1">
      <c r="B10" s="73"/>
      <c r="C10" s="74" t="s">
        <v>1221</v>
      </c>
      <c r="D10" s="75"/>
      <c r="E10" s="18" t="s">
        <v>1078</v>
      </c>
      <c r="F10" s="76" t="s">
        <v>1222</v>
      </c>
      <c r="G10" s="71"/>
    </row>
    <row r="11" spans="2:7" s="72" customFormat="1">
      <c r="B11" s="73"/>
      <c r="C11" s="77" t="s">
        <v>1223</v>
      </c>
      <c r="D11" s="75"/>
      <c r="E11" s="18" t="s">
        <v>1079</v>
      </c>
      <c r="F11" s="76" t="s">
        <v>1224</v>
      </c>
      <c r="G11" s="71"/>
    </row>
    <row r="12" spans="2:7" s="72" customFormat="1">
      <c r="B12" s="73"/>
      <c r="C12" s="78"/>
      <c r="D12" s="79" t="s">
        <v>1225</v>
      </c>
      <c r="E12" s="18" t="s">
        <v>1081</v>
      </c>
      <c r="F12" s="76" t="s">
        <v>1226</v>
      </c>
      <c r="G12" s="71"/>
    </row>
    <row r="13" spans="2:7" s="72" customFormat="1">
      <c r="B13" s="73"/>
      <c r="C13" s="80" t="s">
        <v>1227</v>
      </c>
      <c r="D13" s="75"/>
      <c r="E13" s="18" t="s">
        <v>1082</v>
      </c>
      <c r="F13" s="76" t="s">
        <v>1228</v>
      </c>
      <c r="G13" s="71"/>
    </row>
    <row r="14" spans="2:7" s="72" customFormat="1">
      <c r="B14" s="73"/>
      <c r="C14" s="74" t="s">
        <v>1229</v>
      </c>
      <c r="D14" s="75"/>
      <c r="E14" s="18" t="s">
        <v>886</v>
      </c>
      <c r="F14" s="76" t="s">
        <v>1230</v>
      </c>
      <c r="G14" s="71"/>
    </row>
    <row r="15" spans="2:7" s="72" customFormat="1">
      <c r="B15" s="73"/>
      <c r="C15" s="74" t="s">
        <v>1231</v>
      </c>
      <c r="D15" s="75"/>
      <c r="E15" s="18" t="s">
        <v>604</v>
      </c>
      <c r="F15" s="76" t="s">
        <v>1232</v>
      </c>
      <c r="G15" s="71"/>
    </row>
    <row r="16" spans="2:7" s="72" customFormat="1">
      <c r="B16" s="73"/>
      <c r="C16" s="74" t="s">
        <v>1233</v>
      </c>
      <c r="D16" s="75"/>
      <c r="E16" s="18" t="s">
        <v>408</v>
      </c>
      <c r="F16" s="76" t="s">
        <v>1234</v>
      </c>
      <c r="G16" s="71"/>
    </row>
    <row r="17" spans="2:7" s="72" customFormat="1">
      <c r="B17" s="73"/>
      <c r="C17" s="74" t="s">
        <v>1235</v>
      </c>
      <c r="D17" s="75"/>
      <c r="E17" s="18" t="s">
        <v>1086</v>
      </c>
      <c r="F17" s="76" t="s">
        <v>1236</v>
      </c>
      <c r="G17" s="71"/>
    </row>
    <row r="18" spans="2:7" s="72" customFormat="1">
      <c r="B18" s="73"/>
      <c r="C18" s="77" t="s">
        <v>1237</v>
      </c>
      <c r="D18" s="81"/>
      <c r="E18" s="22" t="s">
        <v>1087</v>
      </c>
      <c r="F18" s="82" t="s">
        <v>1238</v>
      </c>
      <c r="G18" s="71"/>
    </row>
    <row r="19" spans="2:7" s="72" customFormat="1" ht="14.25" thickBot="1">
      <c r="B19" s="73"/>
      <c r="C19" s="77" t="s">
        <v>1239</v>
      </c>
      <c r="D19" s="81"/>
      <c r="E19" s="22" t="s">
        <v>1089</v>
      </c>
      <c r="F19" s="82" t="s">
        <v>1240</v>
      </c>
      <c r="G19" s="71"/>
    </row>
    <row r="20" spans="2:7" s="72" customFormat="1">
      <c r="B20" s="83" t="s">
        <v>1241</v>
      </c>
      <c r="C20" s="84"/>
      <c r="D20" s="85"/>
      <c r="E20" s="23" t="s">
        <v>1242</v>
      </c>
      <c r="F20" s="86" t="s">
        <v>1243</v>
      </c>
      <c r="G20" s="71"/>
    </row>
    <row r="21" spans="2:7" s="72" customFormat="1">
      <c r="B21" s="73"/>
      <c r="C21" s="74" t="s">
        <v>1244</v>
      </c>
      <c r="D21" s="75"/>
      <c r="E21" s="18" t="s">
        <v>1090</v>
      </c>
      <c r="F21" s="76" t="s">
        <v>1245</v>
      </c>
      <c r="G21" s="71"/>
    </row>
    <row r="22" spans="2:7" s="72" customFormat="1">
      <c r="B22" s="73"/>
      <c r="C22" s="74" t="s">
        <v>1246</v>
      </c>
      <c r="D22" s="75"/>
      <c r="E22" s="18" t="s">
        <v>1092</v>
      </c>
      <c r="F22" s="76" t="s">
        <v>1247</v>
      </c>
      <c r="G22" s="71"/>
    </row>
    <row r="23" spans="2:7" s="72" customFormat="1">
      <c r="B23" s="73"/>
      <c r="C23" s="74" t="s">
        <v>1248</v>
      </c>
      <c r="D23" s="75"/>
      <c r="E23" s="18" t="s">
        <v>1093</v>
      </c>
      <c r="F23" s="76" t="s">
        <v>1249</v>
      </c>
      <c r="G23" s="71"/>
    </row>
    <row r="24" spans="2:7" s="72" customFormat="1" ht="13.5" customHeight="1">
      <c r="B24" s="73"/>
      <c r="C24" s="179" t="s">
        <v>1250</v>
      </c>
      <c r="D24" s="180"/>
      <c r="E24" s="24" t="s">
        <v>1094</v>
      </c>
      <c r="F24" s="76" t="s">
        <v>1251</v>
      </c>
      <c r="G24" s="71"/>
    </row>
    <row r="25" spans="2:7" s="72" customFormat="1">
      <c r="B25" s="73"/>
      <c r="C25" s="87" t="s">
        <v>1252</v>
      </c>
      <c r="D25" s="88"/>
      <c r="E25" s="24" t="s">
        <v>1096</v>
      </c>
      <c r="F25" s="89" t="s">
        <v>1253</v>
      </c>
      <c r="G25" s="71"/>
    </row>
    <row r="26" spans="2:7" s="72" customFormat="1">
      <c r="B26" s="73"/>
      <c r="C26" s="87" t="s">
        <v>1254</v>
      </c>
      <c r="D26" s="88"/>
      <c r="E26" s="24" t="s">
        <v>1097</v>
      </c>
      <c r="F26" s="89" t="s">
        <v>1255</v>
      </c>
      <c r="G26" s="71"/>
    </row>
    <row r="27" spans="2:7" s="72" customFormat="1">
      <c r="B27" s="73"/>
      <c r="C27" s="87" t="s">
        <v>1256</v>
      </c>
      <c r="D27" s="90"/>
      <c r="E27" s="25" t="s">
        <v>1098</v>
      </c>
      <c r="F27" s="91" t="s">
        <v>1257</v>
      </c>
      <c r="G27" s="71"/>
    </row>
    <row r="28" spans="2:7" s="72" customFormat="1" ht="14.25" thickBot="1">
      <c r="B28" s="73"/>
      <c r="C28" s="77" t="s">
        <v>1258</v>
      </c>
      <c r="D28" s="81"/>
      <c r="E28" s="22" t="s">
        <v>1099</v>
      </c>
      <c r="F28" s="82" t="s">
        <v>1240</v>
      </c>
      <c r="G28" s="71"/>
    </row>
    <row r="29" spans="2:7" s="72" customFormat="1">
      <c r="B29" s="83" t="s">
        <v>1259</v>
      </c>
      <c r="C29" s="84"/>
      <c r="D29" s="85"/>
      <c r="E29" s="23" t="s">
        <v>1260</v>
      </c>
      <c r="F29" s="86" t="s">
        <v>1261</v>
      </c>
      <c r="G29" s="71"/>
    </row>
    <row r="30" spans="2:7" s="72" customFormat="1">
      <c r="B30" s="73"/>
      <c r="C30" s="74" t="s">
        <v>1262</v>
      </c>
      <c r="D30" s="75"/>
      <c r="E30" s="18" t="s">
        <v>1101</v>
      </c>
      <c r="F30" s="76" t="s">
        <v>1263</v>
      </c>
      <c r="G30" s="71"/>
    </row>
    <row r="31" spans="2:7" s="72" customFormat="1" ht="13.5" customHeight="1">
      <c r="B31" s="73"/>
      <c r="C31" s="77" t="s">
        <v>1244</v>
      </c>
      <c r="D31" s="75"/>
      <c r="E31" s="18" t="s">
        <v>47</v>
      </c>
      <c r="F31" s="76" t="s">
        <v>1245</v>
      </c>
      <c r="G31" s="71"/>
    </row>
    <row r="32" spans="2:7" s="72" customFormat="1" ht="14.25">
      <c r="B32" s="73"/>
      <c r="C32" s="92"/>
      <c r="D32" s="93" t="s">
        <v>1264</v>
      </c>
      <c r="E32" s="18" t="s">
        <v>1102</v>
      </c>
      <c r="F32" s="76" t="s">
        <v>1265</v>
      </c>
      <c r="G32" s="71"/>
    </row>
    <row r="33" spans="2:7" s="72" customFormat="1" ht="14.25">
      <c r="B33" s="73"/>
      <c r="C33" s="78"/>
      <c r="D33" s="93" t="s">
        <v>1266</v>
      </c>
      <c r="E33" s="18" t="s">
        <v>1103</v>
      </c>
      <c r="F33" s="76" t="s">
        <v>1267</v>
      </c>
      <c r="G33" s="71"/>
    </row>
    <row r="34" spans="2:7" s="72" customFormat="1">
      <c r="B34" s="73"/>
      <c r="C34" s="74" t="s">
        <v>1268</v>
      </c>
      <c r="D34" s="75"/>
      <c r="E34" s="18" t="s">
        <v>1104</v>
      </c>
      <c r="F34" s="76" t="s">
        <v>1269</v>
      </c>
      <c r="G34" s="71"/>
    </row>
    <row r="35" spans="2:7" s="72" customFormat="1">
      <c r="B35" s="73"/>
      <c r="C35" s="74" t="s">
        <v>1270</v>
      </c>
      <c r="D35" s="75"/>
      <c r="E35" s="18" t="s">
        <v>101</v>
      </c>
      <c r="F35" s="76" t="s">
        <v>1271</v>
      </c>
      <c r="G35" s="71"/>
    </row>
    <row r="36" spans="2:7" s="72" customFormat="1">
      <c r="B36" s="73"/>
      <c r="C36" s="74" t="s">
        <v>1272</v>
      </c>
      <c r="D36" s="75"/>
      <c r="E36" s="18" t="s">
        <v>1105</v>
      </c>
      <c r="F36" s="76" t="s">
        <v>1273</v>
      </c>
      <c r="G36" s="71"/>
    </row>
    <row r="37" spans="2:7" s="72" customFormat="1">
      <c r="B37" s="73"/>
      <c r="C37" s="74" t="s">
        <v>1274</v>
      </c>
      <c r="D37" s="75"/>
      <c r="E37" s="18" t="s">
        <v>32</v>
      </c>
      <c r="F37" s="76" t="s">
        <v>1275</v>
      </c>
      <c r="G37" s="71"/>
    </row>
    <row r="38" spans="2:7" s="72" customFormat="1">
      <c r="B38" s="73"/>
      <c r="C38" s="74" t="s">
        <v>1276</v>
      </c>
      <c r="D38" s="75"/>
      <c r="E38" s="18" t="s">
        <v>128</v>
      </c>
      <c r="F38" s="76" t="s">
        <v>1277</v>
      </c>
      <c r="G38" s="71"/>
    </row>
    <row r="39" spans="2:7" s="72" customFormat="1">
      <c r="B39" s="73"/>
      <c r="C39" s="77" t="s">
        <v>1278</v>
      </c>
      <c r="D39" s="75"/>
      <c r="E39" s="18" t="s">
        <v>1106</v>
      </c>
      <c r="F39" s="76" t="s">
        <v>1279</v>
      </c>
      <c r="G39" s="71"/>
    </row>
    <row r="40" spans="2:7" s="72" customFormat="1" ht="14.25">
      <c r="B40" s="73"/>
      <c r="C40" s="78"/>
      <c r="D40" s="93" t="s">
        <v>1280</v>
      </c>
      <c r="E40" s="18" t="s">
        <v>1107</v>
      </c>
      <c r="F40" s="76" t="s">
        <v>1281</v>
      </c>
      <c r="G40" s="71"/>
    </row>
    <row r="41" spans="2:7" s="72" customFormat="1" ht="14.25">
      <c r="B41" s="73"/>
      <c r="C41" s="94" t="s">
        <v>1282</v>
      </c>
      <c r="D41" s="95"/>
      <c r="E41" s="18" t="s">
        <v>1108</v>
      </c>
      <c r="F41" s="76" t="s">
        <v>1283</v>
      </c>
      <c r="G41" s="71"/>
    </row>
    <row r="42" spans="2:7" s="72" customFormat="1">
      <c r="B42" s="73"/>
      <c r="C42" s="74" t="s">
        <v>1284</v>
      </c>
      <c r="D42" s="75"/>
      <c r="E42" s="18" t="s">
        <v>1109</v>
      </c>
      <c r="F42" s="76" t="s">
        <v>1285</v>
      </c>
      <c r="G42" s="71"/>
    </row>
    <row r="43" spans="2:7" s="72" customFormat="1" ht="14.25" thickBot="1">
      <c r="B43" s="96"/>
      <c r="C43" s="97" t="s">
        <v>1239</v>
      </c>
      <c r="D43" s="98"/>
      <c r="E43" s="29" t="s">
        <v>1110</v>
      </c>
      <c r="F43" s="99" t="s">
        <v>1240</v>
      </c>
      <c r="G43" s="71"/>
    </row>
    <row r="44" spans="2:7" s="72" customFormat="1">
      <c r="B44" s="100" t="s">
        <v>1286</v>
      </c>
      <c r="C44" s="101"/>
      <c r="D44" s="102"/>
      <c r="E44" s="30" t="s">
        <v>1287</v>
      </c>
      <c r="F44" s="103" t="s">
        <v>1288</v>
      </c>
      <c r="G44" s="71"/>
    </row>
    <row r="45" spans="2:7" s="72" customFormat="1">
      <c r="B45" s="73"/>
      <c r="C45" s="74" t="s">
        <v>1289</v>
      </c>
      <c r="D45" s="75"/>
      <c r="E45" s="24" t="s">
        <v>1111</v>
      </c>
      <c r="F45" s="76" t="s">
        <v>1290</v>
      </c>
      <c r="G45" s="71"/>
    </row>
    <row r="46" spans="2:7" s="72" customFormat="1">
      <c r="B46" s="73"/>
      <c r="C46" s="74" t="s">
        <v>1291</v>
      </c>
      <c r="D46" s="75"/>
      <c r="E46" s="18" t="s">
        <v>1112</v>
      </c>
      <c r="F46" s="104" t="s">
        <v>1292</v>
      </c>
      <c r="G46" s="71"/>
    </row>
    <row r="47" spans="2:7" s="72" customFormat="1">
      <c r="B47" s="73"/>
      <c r="C47" s="74" t="s">
        <v>1293</v>
      </c>
      <c r="D47" s="75"/>
      <c r="E47" s="18" t="s">
        <v>1113</v>
      </c>
      <c r="F47" s="76" t="s">
        <v>1294</v>
      </c>
      <c r="G47" s="71"/>
    </row>
    <row r="48" spans="2:7" s="72" customFormat="1" ht="14.25" thickBot="1">
      <c r="B48" s="73"/>
      <c r="C48" s="77" t="s">
        <v>1239</v>
      </c>
      <c r="D48" s="81"/>
      <c r="E48" s="22" t="s">
        <v>1114</v>
      </c>
      <c r="F48" s="99" t="s">
        <v>1240</v>
      </c>
      <c r="G48" s="71"/>
    </row>
    <row r="49" spans="2:7" s="72" customFormat="1">
      <c r="B49" s="83" t="s">
        <v>1295</v>
      </c>
      <c r="C49" s="84"/>
      <c r="D49" s="85"/>
      <c r="E49" s="23" t="s">
        <v>1296</v>
      </c>
      <c r="F49" s="86" t="s">
        <v>1297</v>
      </c>
      <c r="G49" s="71"/>
    </row>
    <row r="50" spans="2:7" s="72" customFormat="1">
      <c r="B50" s="73"/>
      <c r="C50" s="74" t="s">
        <v>1298</v>
      </c>
      <c r="D50" s="75"/>
      <c r="E50" s="24" t="s">
        <v>1115</v>
      </c>
      <c r="F50" s="76" t="s">
        <v>1299</v>
      </c>
      <c r="G50" s="71"/>
    </row>
    <row r="51" spans="2:7" s="72" customFormat="1">
      <c r="B51" s="73"/>
      <c r="C51" s="74" t="s">
        <v>1300</v>
      </c>
      <c r="D51" s="75"/>
      <c r="E51" s="18" t="s">
        <v>368</v>
      </c>
      <c r="F51" s="76" t="s">
        <v>1301</v>
      </c>
      <c r="G51" s="71"/>
    </row>
    <row r="52" spans="2:7" s="72" customFormat="1">
      <c r="B52" s="73"/>
      <c r="C52" s="74" t="s">
        <v>1302</v>
      </c>
      <c r="D52" s="75"/>
      <c r="E52" s="18" t="s">
        <v>1116</v>
      </c>
      <c r="F52" s="76" t="s">
        <v>1303</v>
      </c>
      <c r="G52" s="71"/>
    </row>
    <row r="53" spans="2:7" s="72" customFormat="1" ht="14.25" thickBot="1">
      <c r="B53" s="96"/>
      <c r="C53" s="97" t="s">
        <v>1239</v>
      </c>
      <c r="D53" s="98"/>
      <c r="E53" s="29" t="s">
        <v>1117</v>
      </c>
      <c r="F53" s="99" t="s">
        <v>1240</v>
      </c>
      <c r="G53" s="71"/>
    </row>
    <row r="54" spans="2:7" s="72" customFormat="1">
      <c r="B54" s="100" t="s">
        <v>1304</v>
      </c>
      <c r="C54" s="101"/>
      <c r="D54" s="102"/>
      <c r="E54" s="30" t="s">
        <v>1305</v>
      </c>
      <c r="F54" s="103" t="s">
        <v>1306</v>
      </c>
      <c r="G54" s="71"/>
    </row>
    <row r="55" spans="2:7" s="72" customFormat="1">
      <c r="B55" s="73"/>
      <c r="C55" s="74" t="s">
        <v>1307</v>
      </c>
      <c r="D55" s="75"/>
      <c r="E55" s="18" t="s">
        <v>1118</v>
      </c>
      <c r="F55" s="76" t="s">
        <v>1308</v>
      </c>
      <c r="G55" s="71"/>
    </row>
    <row r="56" spans="2:7" s="72" customFormat="1">
      <c r="B56" s="73"/>
      <c r="C56" s="74" t="s">
        <v>1309</v>
      </c>
      <c r="D56" s="75"/>
      <c r="E56" s="18" t="s">
        <v>1119</v>
      </c>
      <c r="F56" s="76" t="s">
        <v>1310</v>
      </c>
      <c r="G56" s="71"/>
    </row>
    <row r="57" spans="2:7" s="72" customFormat="1">
      <c r="B57" s="73"/>
      <c r="C57" s="105" t="s">
        <v>1311</v>
      </c>
      <c r="D57" s="88"/>
      <c r="E57" s="18" t="s">
        <v>1120</v>
      </c>
      <c r="F57" s="76" t="s">
        <v>1312</v>
      </c>
      <c r="G57" s="71"/>
    </row>
    <row r="58" spans="2:7" s="72" customFormat="1">
      <c r="B58" s="73"/>
      <c r="C58" s="74" t="s">
        <v>1313</v>
      </c>
      <c r="D58" s="75"/>
      <c r="E58" s="18" t="s">
        <v>1121</v>
      </c>
      <c r="F58" s="76" t="s">
        <v>1314</v>
      </c>
      <c r="G58" s="71"/>
    </row>
    <row r="59" spans="2:7" s="72" customFormat="1">
      <c r="B59" s="73"/>
      <c r="C59" s="74" t="s">
        <v>1315</v>
      </c>
      <c r="D59" s="75"/>
      <c r="E59" s="18" t="s">
        <v>1122</v>
      </c>
      <c r="F59" s="76" t="s">
        <v>1316</v>
      </c>
      <c r="G59" s="71"/>
    </row>
    <row r="60" spans="2:7" s="72" customFormat="1" ht="14.25" thickBot="1">
      <c r="B60" s="73"/>
      <c r="C60" s="106" t="s">
        <v>1258</v>
      </c>
      <c r="D60" s="107"/>
      <c r="E60" s="22" t="s">
        <v>1123</v>
      </c>
      <c r="F60" s="82" t="s">
        <v>1240</v>
      </c>
      <c r="G60" s="71"/>
    </row>
    <row r="61" spans="2:7" s="72" customFormat="1">
      <c r="B61" s="83" t="s">
        <v>1317</v>
      </c>
      <c r="C61" s="84"/>
      <c r="D61" s="85"/>
      <c r="E61" s="23" t="s">
        <v>1318</v>
      </c>
      <c r="F61" s="86" t="s">
        <v>1319</v>
      </c>
      <c r="G61" s="71"/>
    </row>
    <row r="62" spans="2:7" s="72" customFormat="1">
      <c r="B62" s="73"/>
      <c r="C62" s="108" t="s">
        <v>1320</v>
      </c>
      <c r="D62" s="109"/>
      <c r="E62" s="18" t="s">
        <v>1124</v>
      </c>
      <c r="F62" s="76" t="s">
        <v>1321</v>
      </c>
      <c r="G62" s="71"/>
    </row>
    <row r="63" spans="2:7" s="72" customFormat="1">
      <c r="B63" s="73"/>
      <c r="C63" s="74" t="s">
        <v>1322</v>
      </c>
      <c r="D63" s="75"/>
      <c r="E63" s="18" t="s">
        <v>1125</v>
      </c>
      <c r="F63" s="76" t="s">
        <v>1323</v>
      </c>
      <c r="G63" s="71"/>
    </row>
    <row r="64" spans="2:7" s="72" customFormat="1">
      <c r="B64" s="73"/>
      <c r="C64" s="74" t="s">
        <v>1324</v>
      </c>
      <c r="D64" s="75"/>
      <c r="E64" s="18" t="s">
        <v>1126</v>
      </c>
      <c r="F64" s="76" t="s">
        <v>1325</v>
      </c>
      <c r="G64" s="71"/>
    </row>
    <row r="65" spans="2:7" s="72" customFormat="1">
      <c r="B65" s="73"/>
      <c r="C65" s="87" t="s">
        <v>1326</v>
      </c>
      <c r="D65" s="90"/>
      <c r="E65" s="24" t="s">
        <v>1127</v>
      </c>
      <c r="F65" s="91" t="s">
        <v>1327</v>
      </c>
      <c r="G65" s="71"/>
    </row>
    <row r="66" spans="2:7" s="72" customFormat="1">
      <c r="B66" s="73"/>
      <c r="C66" s="106" t="s">
        <v>1328</v>
      </c>
      <c r="D66" s="107"/>
      <c r="E66" s="22" t="s">
        <v>1128</v>
      </c>
      <c r="F66" s="82" t="s">
        <v>1329</v>
      </c>
      <c r="G66" s="71"/>
    </row>
    <row r="67" spans="2:7" s="72" customFormat="1" ht="14.25" thickBot="1">
      <c r="B67" s="73"/>
      <c r="C67" s="106" t="s">
        <v>1258</v>
      </c>
      <c r="D67" s="107"/>
      <c r="E67" s="22" t="s">
        <v>1129</v>
      </c>
      <c r="F67" s="82" t="s">
        <v>1330</v>
      </c>
      <c r="G67" s="71"/>
    </row>
    <row r="68" spans="2:7" s="72" customFormat="1">
      <c r="B68" s="83" t="s">
        <v>1331</v>
      </c>
      <c r="C68" s="84"/>
      <c r="D68" s="85"/>
      <c r="E68" s="23" t="s">
        <v>1332</v>
      </c>
      <c r="F68" s="86" t="s">
        <v>1333</v>
      </c>
      <c r="G68" s="71"/>
    </row>
    <row r="69" spans="2:7" s="72" customFormat="1">
      <c r="B69" s="73"/>
      <c r="C69" s="74" t="s">
        <v>1334</v>
      </c>
      <c r="D69" s="75"/>
      <c r="E69" s="18" t="s">
        <v>1130</v>
      </c>
      <c r="F69" s="76" t="s">
        <v>1335</v>
      </c>
      <c r="G69" s="71"/>
    </row>
    <row r="70" spans="2:7" s="72" customFormat="1">
      <c r="B70" s="73"/>
      <c r="C70" s="74" t="s">
        <v>1336</v>
      </c>
      <c r="D70" s="75"/>
      <c r="E70" s="18" t="s">
        <v>1131</v>
      </c>
      <c r="F70" s="76" t="s">
        <v>1337</v>
      </c>
      <c r="G70" s="71"/>
    </row>
    <row r="71" spans="2:7" s="72" customFormat="1">
      <c r="B71" s="73"/>
      <c r="C71" s="74" t="s">
        <v>1338</v>
      </c>
      <c r="D71" s="75"/>
      <c r="E71" s="18" t="s">
        <v>1132</v>
      </c>
      <c r="F71" s="104" t="s">
        <v>1339</v>
      </c>
      <c r="G71" s="71"/>
    </row>
    <row r="72" spans="2:7" s="72" customFormat="1" ht="14.25" thickBot="1">
      <c r="B72" s="96"/>
      <c r="C72" s="110" t="s">
        <v>1258</v>
      </c>
      <c r="D72" s="111"/>
      <c r="E72" s="29" t="s">
        <v>1133</v>
      </c>
      <c r="F72" s="99" t="s">
        <v>1240</v>
      </c>
      <c r="G72" s="71"/>
    </row>
    <row r="73" spans="2:7" s="72" customFormat="1">
      <c r="B73" s="100" t="s">
        <v>1340</v>
      </c>
      <c r="C73" s="101"/>
      <c r="D73" s="102"/>
      <c r="E73" s="30" t="s">
        <v>1341</v>
      </c>
      <c r="F73" s="103" t="s">
        <v>1342</v>
      </c>
      <c r="G73" s="71"/>
    </row>
    <row r="74" spans="2:7" s="72" customFormat="1">
      <c r="B74" s="73"/>
      <c r="C74" s="108" t="s">
        <v>1343</v>
      </c>
      <c r="D74" s="109"/>
      <c r="E74" s="18" t="s">
        <v>1134</v>
      </c>
      <c r="F74" s="76" t="s">
        <v>1344</v>
      </c>
      <c r="G74" s="71"/>
    </row>
    <row r="75" spans="2:7" s="72" customFormat="1">
      <c r="B75" s="73"/>
      <c r="C75" s="74" t="s">
        <v>1345</v>
      </c>
      <c r="D75" s="75"/>
      <c r="E75" s="18" t="s">
        <v>1135</v>
      </c>
      <c r="F75" s="76" t="s">
        <v>1346</v>
      </c>
      <c r="G75" s="71"/>
    </row>
    <row r="76" spans="2:7" s="72" customFormat="1">
      <c r="B76" s="73"/>
      <c r="C76" s="74" t="s">
        <v>1347</v>
      </c>
      <c r="D76" s="75"/>
      <c r="E76" s="18" t="s">
        <v>1136</v>
      </c>
      <c r="F76" s="76" t="s">
        <v>1348</v>
      </c>
      <c r="G76" s="71"/>
    </row>
    <row r="77" spans="2:7" s="72" customFormat="1" ht="14.25" thickBot="1">
      <c r="B77" s="73"/>
      <c r="C77" s="106" t="s">
        <v>1258</v>
      </c>
      <c r="D77" s="107"/>
      <c r="E77" s="22" t="s">
        <v>1137</v>
      </c>
      <c r="F77" s="82" t="s">
        <v>1240</v>
      </c>
      <c r="G77" s="71"/>
    </row>
    <row r="78" spans="2:7" s="72" customFormat="1">
      <c r="B78" s="83" t="s">
        <v>1349</v>
      </c>
      <c r="C78" s="84"/>
      <c r="D78" s="85"/>
      <c r="E78" s="31" t="s">
        <v>1350</v>
      </c>
      <c r="F78" s="112" t="s">
        <v>1351</v>
      </c>
      <c r="G78" s="71"/>
    </row>
    <row r="79" spans="2:7" s="72" customFormat="1">
      <c r="B79" s="73"/>
      <c r="C79" s="108" t="s">
        <v>1352</v>
      </c>
      <c r="D79" s="109"/>
      <c r="E79" s="25" t="s">
        <v>1138</v>
      </c>
      <c r="F79" s="91" t="s">
        <v>1353</v>
      </c>
      <c r="G79" s="71"/>
    </row>
    <row r="80" spans="2:7" s="72" customFormat="1" ht="14.25" thickBot="1">
      <c r="B80" s="73"/>
      <c r="C80" s="108" t="s">
        <v>1354</v>
      </c>
      <c r="D80" s="109"/>
      <c r="E80" s="32" t="s">
        <v>1139</v>
      </c>
      <c r="F80" s="113" t="s">
        <v>1330</v>
      </c>
      <c r="G80" s="71"/>
    </row>
    <row r="81" spans="2:7" s="72" customFormat="1">
      <c r="B81" s="83" t="s">
        <v>1355</v>
      </c>
      <c r="C81" s="84"/>
      <c r="D81" s="85"/>
      <c r="E81" s="23" t="s">
        <v>1356</v>
      </c>
      <c r="F81" s="86" t="s">
        <v>1357</v>
      </c>
      <c r="G81" s="71"/>
    </row>
    <row r="82" spans="2:7" s="72" customFormat="1">
      <c r="B82" s="73"/>
      <c r="C82" s="74" t="s">
        <v>1358</v>
      </c>
      <c r="D82" s="75"/>
      <c r="E82" s="18" t="s">
        <v>1140</v>
      </c>
      <c r="F82" s="76" t="s">
        <v>1359</v>
      </c>
      <c r="G82" s="71"/>
    </row>
    <row r="83" spans="2:7" s="72" customFormat="1">
      <c r="B83" s="73"/>
      <c r="C83" s="77" t="s">
        <v>1360</v>
      </c>
      <c r="D83" s="81"/>
      <c r="E83" s="22" t="s">
        <v>1141</v>
      </c>
      <c r="F83" s="91" t="s">
        <v>1361</v>
      </c>
      <c r="G83" s="71"/>
    </row>
    <row r="84" spans="2:7" s="72" customFormat="1">
      <c r="B84" s="73"/>
      <c r="C84" s="77" t="s">
        <v>1362</v>
      </c>
      <c r="D84" s="81"/>
      <c r="E84" s="22" t="s">
        <v>1142</v>
      </c>
      <c r="F84" s="91" t="s">
        <v>1363</v>
      </c>
      <c r="G84" s="71"/>
    </row>
    <row r="85" spans="2:7" s="72" customFormat="1">
      <c r="B85" s="73"/>
      <c r="C85" s="77" t="s">
        <v>1364</v>
      </c>
      <c r="D85" s="81"/>
      <c r="E85" s="22" t="s">
        <v>1143</v>
      </c>
      <c r="F85" s="91" t="s">
        <v>1365</v>
      </c>
      <c r="G85" s="71"/>
    </row>
    <row r="86" spans="2:7" s="72" customFormat="1" ht="14.25" thickBot="1">
      <c r="B86" s="96"/>
      <c r="C86" s="110" t="s">
        <v>1258</v>
      </c>
      <c r="D86" s="111"/>
      <c r="E86" s="29" t="s">
        <v>1144</v>
      </c>
      <c r="F86" s="99" t="s">
        <v>1240</v>
      </c>
      <c r="G86" s="71"/>
    </row>
    <row r="87" spans="2:7" s="72" customFormat="1" ht="14.25" thickBot="1">
      <c r="B87" s="114" t="s">
        <v>1366</v>
      </c>
      <c r="C87" s="115"/>
      <c r="D87" s="116"/>
      <c r="E87" s="33" t="s">
        <v>1367</v>
      </c>
      <c r="F87" s="117" t="s">
        <v>1368</v>
      </c>
      <c r="G87" s="71"/>
    </row>
    <row r="88" spans="2:7" s="72" customFormat="1">
      <c r="B88" s="83" t="s">
        <v>1369</v>
      </c>
      <c r="C88" s="84"/>
      <c r="D88" s="85"/>
      <c r="E88" s="31" t="s">
        <v>1370</v>
      </c>
      <c r="F88" s="112" t="s">
        <v>1371</v>
      </c>
      <c r="G88" s="71"/>
    </row>
    <row r="89" spans="2:7" s="72" customFormat="1">
      <c r="B89" s="73"/>
      <c r="C89" s="105" t="s">
        <v>1372</v>
      </c>
      <c r="D89" s="88"/>
      <c r="E89" s="25" t="s">
        <v>1145</v>
      </c>
      <c r="F89" s="91" t="s">
        <v>1321</v>
      </c>
      <c r="G89" s="71"/>
    </row>
    <row r="90" spans="2:7" s="72" customFormat="1">
      <c r="B90" s="73"/>
      <c r="C90" s="105" t="s">
        <v>1373</v>
      </c>
      <c r="D90" s="88"/>
      <c r="E90" s="25" t="s">
        <v>1146</v>
      </c>
      <c r="F90" s="91" t="s">
        <v>1263</v>
      </c>
      <c r="G90" s="71"/>
    </row>
    <row r="91" spans="2:7" s="72" customFormat="1" ht="14.25" thickBot="1">
      <c r="B91" s="73"/>
      <c r="C91" s="106" t="s">
        <v>1354</v>
      </c>
      <c r="D91" s="107"/>
      <c r="E91" s="25" t="s">
        <v>1147</v>
      </c>
      <c r="F91" s="113" t="s">
        <v>1330</v>
      </c>
      <c r="G91" s="71"/>
    </row>
    <row r="92" spans="2:7" s="72" customFormat="1">
      <c r="B92" s="83" t="s">
        <v>1374</v>
      </c>
      <c r="C92" s="118"/>
      <c r="D92" s="119"/>
      <c r="E92" s="31" t="s">
        <v>1375</v>
      </c>
      <c r="F92" s="120" t="s">
        <v>1376</v>
      </c>
      <c r="G92" s="71"/>
    </row>
    <row r="93" spans="2:7" s="72" customFormat="1">
      <c r="B93" s="73"/>
      <c r="C93" s="74" t="s">
        <v>1377</v>
      </c>
      <c r="D93" s="75"/>
      <c r="E93" s="18" t="s">
        <v>1148</v>
      </c>
      <c r="F93" s="76" t="s">
        <v>1378</v>
      </c>
      <c r="G93" s="71"/>
    </row>
    <row r="94" spans="2:7" s="72" customFormat="1">
      <c r="B94" s="73"/>
      <c r="C94" s="74" t="s">
        <v>1379</v>
      </c>
      <c r="D94" s="75"/>
      <c r="E94" s="18" t="s">
        <v>1149</v>
      </c>
      <c r="F94" s="76" t="s">
        <v>1380</v>
      </c>
      <c r="G94" s="71"/>
    </row>
    <row r="95" spans="2:7" s="72" customFormat="1">
      <c r="B95" s="73"/>
      <c r="C95" s="77" t="s">
        <v>1381</v>
      </c>
      <c r="D95" s="75"/>
      <c r="E95" s="18" t="s">
        <v>1150</v>
      </c>
      <c r="F95" s="76" t="s">
        <v>1382</v>
      </c>
      <c r="G95" s="71"/>
    </row>
    <row r="96" spans="2:7" s="72" customFormat="1" ht="14.25" thickBot="1">
      <c r="B96" s="96"/>
      <c r="C96" s="97" t="s">
        <v>1383</v>
      </c>
      <c r="D96" s="98"/>
      <c r="E96" s="29" t="s">
        <v>1151</v>
      </c>
      <c r="F96" s="99" t="s">
        <v>1240</v>
      </c>
      <c r="G96" s="71"/>
    </row>
    <row r="97" spans="2:9" s="72" customFormat="1" ht="14.25" thickBot="1">
      <c r="B97" s="100" t="s">
        <v>1384</v>
      </c>
      <c r="C97" s="121"/>
      <c r="D97" s="122"/>
      <c r="E97" s="34" t="s">
        <v>1385</v>
      </c>
      <c r="F97" s="120" t="s">
        <v>1386</v>
      </c>
      <c r="G97" s="71"/>
    </row>
    <row r="98" spans="2:9" s="72" customFormat="1">
      <c r="B98" s="83" t="s">
        <v>1387</v>
      </c>
      <c r="C98" s="84"/>
      <c r="D98" s="85"/>
      <c r="E98" s="23" t="s">
        <v>1388</v>
      </c>
      <c r="F98" s="86" t="s">
        <v>1389</v>
      </c>
      <c r="G98" s="71"/>
    </row>
    <row r="99" spans="2:9" s="72" customFormat="1">
      <c r="B99" s="73"/>
      <c r="C99" s="108" t="s">
        <v>1390</v>
      </c>
      <c r="D99" s="109"/>
      <c r="E99" s="18" t="s">
        <v>1152</v>
      </c>
      <c r="F99" s="76" t="s">
        <v>1391</v>
      </c>
      <c r="G99" s="71"/>
      <c r="I99" s="62"/>
    </row>
    <row r="100" spans="2:9" s="72" customFormat="1">
      <c r="B100" s="73"/>
      <c r="C100" s="108" t="s">
        <v>1392</v>
      </c>
      <c r="D100" s="109"/>
      <c r="E100" s="18" t="s">
        <v>1153</v>
      </c>
      <c r="F100" s="76" t="s">
        <v>1393</v>
      </c>
      <c r="G100" s="71"/>
    </row>
    <row r="101" spans="2:9" s="72" customFormat="1">
      <c r="B101" s="73"/>
      <c r="C101" s="106" t="s">
        <v>1394</v>
      </c>
      <c r="D101" s="107"/>
      <c r="E101" s="18" t="s">
        <v>1154</v>
      </c>
      <c r="F101" s="76" t="s">
        <v>1395</v>
      </c>
      <c r="G101" s="71"/>
    </row>
    <row r="102" spans="2:9" s="72" customFormat="1" ht="14.25" thickBot="1">
      <c r="B102" s="96"/>
      <c r="C102" s="110" t="s">
        <v>1396</v>
      </c>
      <c r="D102" s="111"/>
      <c r="E102" s="29" t="s">
        <v>1155</v>
      </c>
      <c r="F102" s="99" t="s">
        <v>1397</v>
      </c>
      <c r="G102" s="71"/>
    </row>
    <row r="103" spans="2:9" s="72" customFormat="1">
      <c r="B103" s="100" t="s">
        <v>1209</v>
      </c>
      <c r="C103" s="101"/>
      <c r="D103" s="102"/>
      <c r="E103" s="30" t="s">
        <v>1398</v>
      </c>
      <c r="F103" s="103" t="s">
        <v>1399</v>
      </c>
      <c r="G103" s="71"/>
    </row>
    <row r="104" spans="2:9" s="72" customFormat="1">
      <c r="B104" s="73"/>
      <c r="C104" s="108" t="s">
        <v>1400</v>
      </c>
      <c r="D104" s="109"/>
      <c r="E104" s="18" t="s">
        <v>1156</v>
      </c>
      <c r="F104" s="76" t="s">
        <v>1401</v>
      </c>
      <c r="G104" s="71"/>
    </row>
    <row r="105" spans="2:9" s="72" customFormat="1">
      <c r="B105" s="73"/>
      <c r="C105" s="105" t="s">
        <v>1402</v>
      </c>
      <c r="D105" s="88"/>
      <c r="E105" s="24" t="s">
        <v>1157</v>
      </c>
      <c r="F105" s="89" t="s">
        <v>1403</v>
      </c>
      <c r="G105" s="71"/>
    </row>
    <row r="106" spans="2:9" s="72" customFormat="1">
      <c r="B106" s="73"/>
      <c r="C106" s="105" t="s">
        <v>1404</v>
      </c>
      <c r="D106" s="88"/>
      <c r="E106" s="24" t="s">
        <v>1158</v>
      </c>
      <c r="F106" s="89" t="s">
        <v>1405</v>
      </c>
      <c r="G106" s="71"/>
    </row>
    <row r="107" spans="2:9" s="72" customFormat="1">
      <c r="B107" s="73"/>
      <c r="C107" s="105" t="s">
        <v>1406</v>
      </c>
      <c r="D107" s="88"/>
      <c r="E107" s="24" t="s">
        <v>1159</v>
      </c>
      <c r="F107" s="89" t="s">
        <v>1321</v>
      </c>
      <c r="G107" s="71"/>
    </row>
    <row r="108" spans="2:9" s="72" customFormat="1">
      <c r="B108" s="73"/>
      <c r="C108" s="108" t="s">
        <v>1407</v>
      </c>
      <c r="D108" s="109"/>
      <c r="E108" s="18" t="s">
        <v>1160</v>
      </c>
      <c r="F108" s="76" t="s">
        <v>1408</v>
      </c>
      <c r="G108" s="71"/>
    </row>
    <row r="109" spans="2:9" s="72" customFormat="1">
      <c r="B109" s="73"/>
      <c r="C109" s="74" t="s">
        <v>1409</v>
      </c>
      <c r="D109" s="75"/>
      <c r="E109" s="18" t="s">
        <v>1410</v>
      </c>
      <c r="F109" s="76" t="s">
        <v>1411</v>
      </c>
      <c r="G109" s="71"/>
    </row>
    <row r="110" spans="2:9" s="72" customFormat="1">
      <c r="B110" s="73"/>
      <c r="C110" s="74" t="s">
        <v>1412</v>
      </c>
      <c r="D110" s="75"/>
      <c r="E110" s="18" t="s">
        <v>1161</v>
      </c>
      <c r="F110" s="76" t="s">
        <v>1413</v>
      </c>
      <c r="G110" s="71"/>
    </row>
    <row r="111" spans="2:9" s="72" customFormat="1">
      <c r="B111" s="73"/>
      <c r="C111" s="77" t="s">
        <v>1414</v>
      </c>
      <c r="D111" s="81"/>
      <c r="E111" s="22" t="s">
        <v>1162</v>
      </c>
      <c r="F111" s="82" t="s">
        <v>1415</v>
      </c>
      <c r="G111" s="71"/>
    </row>
    <row r="112" spans="2:9" s="72" customFormat="1" ht="14.25" thickBot="1">
      <c r="B112" s="73"/>
      <c r="C112" s="77" t="s">
        <v>1416</v>
      </c>
      <c r="D112" s="81"/>
      <c r="E112" s="22" t="s">
        <v>1163</v>
      </c>
      <c r="F112" s="82" t="s">
        <v>1417</v>
      </c>
      <c r="G112" s="71"/>
    </row>
    <row r="113" spans="1:7" s="72" customFormat="1">
      <c r="B113" s="83" t="s">
        <v>1418</v>
      </c>
      <c r="C113" s="84"/>
      <c r="D113" s="85"/>
      <c r="E113" s="23" t="s">
        <v>1419</v>
      </c>
      <c r="F113" s="86" t="s">
        <v>1420</v>
      </c>
      <c r="G113" s="71"/>
    </row>
    <row r="114" spans="1:7">
      <c r="A114" s="72"/>
      <c r="B114" s="73"/>
      <c r="C114" s="74" t="s">
        <v>1421</v>
      </c>
      <c r="D114" s="75"/>
      <c r="E114" s="18" t="s">
        <v>1164</v>
      </c>
      <c r="F114" s="76" t="s">
        <v>1422</v>
      </c>
      <c r="G114" s="71"/>
    </row>
    <row r="115" spans="1:7">
      <c r="A115" s="72"/>
      <c r="B115" s="73"/>
      <c r="C115" s="74" t="s">
        <v>1423</v>
      </c>
      <c r="D115" s="75"/>
      <c r="E115" s="18" t="s">
        <v>1165</v>
      </c>
      <c r="F115" s="76" t="s">
        <v>1424</v>
      </c>
      <c r="G115" s="71"/>
    </row>
    <row r="116" spans="1:7">
      <c r="A116" s="72"/>
      <c r="B116" s="73"/>
      <c r="C116" s="74" t="s">
        <v>1425</v>
      </c>
      <c r="D116" s="75"/>
      <c r="E116" s="18" t="s">
        <v>1166</v>
      </c>
      <c r="F116" s="76" t="s">
        <v>1426</v>
      </c>
      <c r="G116" s="71"/>
    </row>
    <row r="117" spans="1:7" ht="14.25" thickBot="1">
      <c r="A117" s="72"/>
      <c r="B117" s="73"/>
      <c r="C117" s="77" t="s">
        <v>1427</v>
      </c>
      <c r="D117" s="81"/>
      <c r="E117" s="22" t="s">
        <v>1167</v>
      </c>
      <c r="F117" s="82" t="s">
        <v>1428</v>
      </c>
      <c r="G117" s="71"/>
    </row>
    <row r="118" spans="1:7">
      <c r="A118" s="72"/>
      <c r="B118" s="83" t="s">
        <v>1429</v>
      </c>
      <c r="C118" s="84"/>
      <c r="D118" s="85"/>
      <c r="E118" s="23" t="s">
        <v>545</v>
      </c>
      <c r="F118" s="86" t="s">
        <v>1430</v>
      </c>
      <c r="G118" s="71"/>
    </row>
    <row r="119" spans="1:7" ht="14.25" thickBot="1">
      <c r="A119" s="72"/>
      <c r="B119" s="96"/>
      <c r="C119" s="97" t="s">
        <v>1431</v>
      </c>
      <c r="D119" s="98"/>
      <c r="E119" s="29" t="s">
        <v>1168</v>
      </c>
      <c r="F119" s="99" t="s">
        <v>1432</v>
      </c>
      <c r="G119" s="71"/>
    </row>
    <row r="120" spans="1:7" ht="14.25" thickBot="1">
      <c r="A120" s="72"/>
      <c r="B120" s="100" t="s">
        <v>1433</v>
      </c>
      <c r="C120" s="121"/>
      <c r="D120" s="122"/>
      <c r="E120" s="34" t="s">
        <v>1434</v>
      </c>
      <c r="F120" s="120" t="s">
        <v>1435</v>
      </c>
      <c r="G120" s="71"/>
    </row>
    <row r="121" spans="1:7" ht="14.25" thickBot="1">
      <c r="A121" s="72"/>
      <c r="B121" s="114" t="s">
        <v>1436</v>
      </c>
      <c r="C121" s="115"/>
      <c r="D121" s="116"/>
      <c r="E121" s="33" t="s">
        <v>1437</v>
      </c>
      <c r="F121" s="117" t="s">
        <v>1438</v>
      </c>
      <c r="G121" s="71"/>
    </row>
    <row r="122" spans="1:7">
      <c r="G122" s="13" t="s">
        <v>1518</v>
      </c>
    </row>
    <row r="123" spans="1:7">
      <c r="G123" s="18" t="s">
        <v>1072</v>
      </c>
    </row>
    <row r="124" spans="1:7">
      <c r="G124" s="18" t="s">
        <v>1074</v>
      </c>
    </row>
    <row r="125" spans="1:7">
      <c r="G125" s="18" t="s">
        <v>1075</v>
      </c>
    </row>
    <row r="126" spans="1:7">
      <c r="G126" s="18" t="s">
        <v>1078</v>
      </c>
    </row>
    <row r="127" spans="1:7">
      <c r="G127" s="18" t="s">
        <v>1079</v>
      </c>
    </row>
    <row r="128" spans="1:7">
      <c r="G128" s="18" t="s">
        <v>1081</v>
      </c>
    </row>
    <row r="129" spans="7:7">
      <c r="G129" s="18" t="s">
        <v>1082</v>
      </c>
    </row>
    <row r="130" spans="7:7">
      <c r="G130" s="18" t="s">
        <v>886</v>
      </c>
    </row>
    <row r="131" spans="7:7">
      <c r="G131" s="18" t="s">
        <v>604</v>
      </c>
    </row>
    <row r="132" spans="7:7">
      <c r="G132" s="18" t="s">
        <v>408</v>
      </c>
    </row>
    <row r="133" spans="7:7">
      <c r="G133" s="18" t="s">
        <v>1086</v>
      </c>
    </row>
    <row r="134" spans="7:7">
      <c r="G134" s="22" t="s">
        <v>1087</v>
      </c>
    </row>
    <row r="135" spans="7:7" ht="14.25" thickBot="1">
      <c r="G135" s="22" t="s">
        <v>1089</v>
      </c>
    </row>
    <row r="136" spans="7:7">
      <c r="G136" s="23" t="s">
        <v>1242</v>
      </c>
    </row>
    <row r="137" spans="7:7">
      <c r="G137" s="18" t="s">
        <v>1090</v>
      </c>
    </row>
    <row r="138" spans="7:7">
      <c r="G138" s="18" t="s">
        <v>1092</v>
      </c>
    </row>
    <row r="139" spans="7:7">
      <c r="G139" s="18" t="s">
        <v>1093</v>
      </c>
    </row>
    <row r="140" spans="7:7">
      <c r="G140" s="24" t="s">
        <v>1094</v>
      </c>
    </row>
    <row r="141" spans="7:7">
      <c r="G141" s="24" t="s">
        <v>1096</v>
      </c>
    </row>
    <row r="142" spans="7:7">
      <c r="G142" s="24" t="s">
        <v>1097</v>
      </c>
    </row>
    <row r="143" spans="7:7">
      <c r="G143" s="25" t="s">
        <v>1098</v>
      </c>
    </row>
    <row r="144" spans="7:7" ht="14.25" thickBot="1">
      <c r="G144" s="22" t="s">
        <v>1099</v>
      </c>
    </row>
    <row r="145" spans="7:7">
      <c r="G145" s="23" t="s">
        <v>1260</v>
      </c>
    </row>
    <row r="146" spans="7:7">
      <c r="G146" s="18" t="s">
        <v>1101</v>
      </c>
    </row>
    <row r="147" spans="7:7">
      <c r="G147" s="18" t="s">
        <v>47</v>
      </c>
    </row>
    <row r="148" spans="7:7">
      <c r="G148" s="18" t="s">
        <v>1102</v>
      </c>
    </row>
    <row r="149" spans="7:7">
      <c r="G149" s="18" t="s">
        <v>1103</v>
      </c>
    </row>
    <row r="150" spans="7:7">
      <c r="G150" s="18" t="s">
        <v>1104</v>
      </c>
    </row>
    <row r="151" spans="7:7">
      <c r="G151" s="18" t="s">
        <v>101</v>
      </c>
    </row>
    <row r="152" spans="7:7">
      <c r="G152" s="18" t="s">
        <v>1105</v>
      </c>
    </row>
    <row r="153" spans="7:7">
      <c r="G153" s="18" t="s">
        <v>32</v>
      </c>
    </row>
    <row r="154" spans="7:7">
      <c r="G154" s="18" t="s">
        <v>128</v>
      </c>
    </row>
    <row r="155" spans="7:7">
      <c r="G155" s="18" t="s">
        <v>1106</v>
      </c>
    </row>
    <row r="156" spans="7:7">
      <c r="G156" s="18" t="s">
        <v>1107</v>
      </c>
    </row>
    <row r="157" spans="7:7">
      <c r="G157" s="18" t="s">
        <v>1108</v>
      </c>
    </row>
    <row r="158" spans="7:7">
      <c r="G158" s="18" t="s">
        <v>1109</v>
      </c>
    </row>
    <row r="159" spans="7:7" ht="14.25" thickBot="1">
      <c r="G159" s="29" t="s">
        <v>1110</v>
      </c>
    </row>
    <row r="160" spans="7:7">
      <c r="G160" s="30" t="s">
        <v>1287</v>
      </c>
    </row>
    <row r="161" spans="7:7">
      <c r="G161" s="24" t="s">
        <v>1111</v>
      </c>
    </row>
    <row r="162" spans="7:7">
      <c r="G162" s="18" t="s">
        <v>1112</v>
      </c>
    </row>
    <row r="163" spans="7:7">
      <c r="G163" s="18" t="s">
        <v>1113</v>
      </c>
    </row>
    <row r="164" spans="7:7" ht="14.25" thickBot="1">
      <c r="G164" s="22" t="s">
        <v>1114</v>
      </c>
    </row>
    <row r="165" spans="7:7">
      <c r="G165" s="23" t="s">
        <v>1296</v>
      </c>
    </row>
    <row r="166" spans="7:7">
      <c r="G166" s="24" t="s">
        <v>1115</v>
      </c>
    </row>
    <row r="167" spans="7:7">
      <c r="G167" s="18" t="s">
        <v>368</v>
      </c>
    </row>
    <row r="168" spans="7:7">
      <c r="G168" s="18" t="s">
        <v>1116</v>
      </c>
    </row>
    <row r="169" spans="7:7" ht="14.25" thickBot="1">
      <c r="G169" s="29" t="s">
        <v>1117</v>
      </c>
    </row>
    <row r="170" spans="7:7">
      <c r="G170" s="30" t="s">
        <v>1305</v>
      </c>
    </row>
    <row r="171" spans="7:7">
      <c r="G171" s="18" t="s">
        <v>1118</v>
      </c>
    </row>
    <row r="172" spans="7:7">
      <c r="G172" s="18" t="s">
        <v>1119</v>
      </c>
    </row>
    <row r="173" spans="7:7">
      <c r="G173" s="18" t="s">
        <v>1120</v>
      </c>
    </row>
    <row r="174" spans="7:7">
      <c r="G174" s="18" t="s">
        <v>1121</v>
      </c>
    </row>
    <row r="175" spans="7:7">
      <c r="G175" s="18" t="s">
        <v>1122</v>
      </c>
    </row>
    <row r="176" spans="7:7" ht="14.25" thickBot="1">
      <c r="G176" s="22" t="s">
        <v>1123</v>
      </c>
    </row>
    <row r="177" spans="7:7">
      <c r="G177" s="23" t="s">
        <v>1318</v>
      </c>
    </row>
    <row r="178" spans="7:7">
      <c r="G178" s="18" t="s">
        <v>1124</v>
      </c>
    </row>
    <row r="179" spans="7:7">
      <c r="G179" s="18" t="s">
        <v>1125</v>
      </c>
    </row>
    <row r="180" spans="7:7">
      <c r="G180" s="18" t="s">
        <v>1126</v>
      </c>
    </row>
    <row r="181" spans="7:7">
      <c r="G181" s="24" t="s">
        <v>1127</v>
      </c>
    </row>
    <row r="182" spans="7:7">
      <c r="G182" s="22" t="s">
        <v>1128</v>
      </c>
    </row>
    <row r="183" spans="7:7" ht="14.25" thickBot="1">
      <c r="G183" s="22" t="s">
        <v>1129</v>
      </c>
    </row>
    <row r="184" spans="7:7">
      <c r="G184" s="23" t="s">
        <v>1332</v>
      </c>
    </row>
    <row r="185" spans="7:7">
      <c r="G185" s="18" t="s">
        <v>1130</v>
      </c>
    </row>
    <row r="186" spans="7:7">
      <c r="G186" s="18" t="s">
        <v>1131</v>
      </c>
    </row>
    <row r="187" spans="7:7">
      <c r="G187" s="18" t="s">
        <v>1132</v>
      </c>
    </row>
    <row r="188" spans="7:7" ht="14.25" thickBot="1">
      <c r="G188" s="29" t="s">
        <v>1133</v>
      </c>
    </row>
    <row r="189" spans="7:7">
      <c r="G189" s="30" t="s">
        <v>1341</v>
      </c>
    </row>
    <row r="190" spans="7:7">
      <c r="G190" s="18" t="s">
        <v>1134</v>
      </c>
    </row>
    <row r="191" spans="7:7">
      <c r="G191" s="18" t="s">
        <v>1135</v>
      </c>
    </row>
    <row r="192" spans="7:7">
      <c r="G192" s="18" t="s">
        <v>1136</v>
      </c>
    </row>
    <row r="193" spans="7:7" ht="14.25" thickBot="1">
      <c r="G193" s="22" t="s">
        <v>1137</v>
      </c>
    </row>
    <row r="194" spans="7:7">
      <c r="G194" s="31" t="s">
        <v>1350</v>
      </c>
    </row>
    <row r="195" spans="7:7">
      <c r="G195" s="25" t="s">
        <v>1138</v>
      </c>
    </row>
    <row r="196" spans="7:7" ht="14.25" thickBot="1">
      <c r="G196" s="32" t="s">
        <v>1139</v>
      </c>
    </row>
    <row r="197" spans="7:7">
      <c r="G197" s="23" t="s">
        <v>1356</v>
      </c>
    </row>
    <row r="198" spans="7:7">
      <c r="G198" s="18" t="s">
        <v>1140</v>
      </c>
    </row>
    <row r="199" spans="7:7">
      <c r="G199" s="22" t="s">
        <v>1141</v>
      </c>
    </row>
    <row r="200" spans="7:7">
      <c r="G200" s="22" t="s">
        <v>1142</v>
      </c>
    </row>
    <row r="201" spans="7:7">
      <c r="G201" s="22" t="s">
        <v>1143</v>
      </c>
    </row>
    <row r="202" spans="7:7" ht="14.25" thickBot="1">
      <c r="G202" s="29" t="s">
        <v>1144</v>
      </c>
    </row>
    <row r="203" spans="7:7" ht="14.25" thickBot="1">
      <c r="G203" s="33" t="s">
        <v>1367</v>
      </c>
    </row>
    <row r="204" spans="7:7">
      <c r="G204" s="31" t="s">
        <v>1370</v>
      </c>
    </row>
    <row r="205" spans="7:7">
      <c r="G205" s="25" t="s">
        <v>1145</v>
      </c>
    </row>
    <row r="206" spans="7:7">
      <c r="G206" s="25" t="s">
        <v>1146</v>
      </c>
    </row>
    <row r="207" spans="7:7" ht="14.25" thickBot="1">
      <c r="G207" s="25" t="s">
        <v>1147</v>
      </c>
    </row>
    <row r="208" spans="7:7">
      <c r="G208" s="31" t="s">
        <v>1375</v>
      </c>
    </row>
    <row r="209" spans="7:7">
      <c r="G209" s="18" t="s">
        <v>1148</v>
      </c>
    </row>
    <row r="210" spans="7:7">
      <c r="G210" s="18" t="s">
        <v>1149</v>
      </c>
    </row>
    <row r="211" spans="7:7">
      <c r="G211" s="18" t="s">
        <v>1150</v>
      </c>
    </row>
    <row r="212" spans="7:7" ht="14.25" thickBot="1">
      <c r="G212" s="29" t="s">
        <v>1151</v>
      </c>
    </row>
    <row r="213" spans="7:7" ht="14.25" thickBot="1">
      <c r="G213" s="34" t="s">
        <v>1385</v>
      </c>
    </row>
    <row r="214" spans="7:7">
      <c r="G214" s="23" t="s">
        <v>1388</v>
      </c>
    </row>
    <row r="215" spans="7:7">
      <c r="G215" s="18" t="s">
        <v>1152</v>
      </c>
    </row>
    <row r="216" spans="7:7">
      <c r="G216" s="18" t="s">
        <v>1153</v>
      </c>
    </row>
    <row r="217" spans="7:7">
      <c r="G217" s="18" t="s">
        <v>1154</v>
      </c>
    </row>
    <row r="218" spans="7:7" ht="14.25" thickBot="1">
      <c r="G218" s="29" t="s">
        <v>1155</v>
      </c>
    </row>
    <row r="219" spans="7:7">
      <c r="G219" s="30" t="s">
        <v>1398</v>
      </c>
    </row>
    <row r="220" spans="7:7">
      <c r="G220" s="18" t="s">
        <v>1156</v>
      </c>
    </row>
    <row r="221" spans="7:7">
      <c r="G221" s="24" t="s">
        <v>1157</v>
      </c>
    </row>
    <row r="222" spans="7:7">
      <c r="G222" s="24" t="s">
        <v>1158</v>
      </c>
    </row>
    <row r="223" spans="7:7">
      <c r="G223" s="24" t="s">
        <v>1159</v>
      </c>
    </row>
    <row r="224" spans="7:7">
      <c r="G224" s="18" t="s">
        <v>1160</v>
      </c>
    </row>
    <row r="225" spans="7:7">
      <c r="G225" s="18" t="s">
        <v>1410</v>
      </c>
    </row>
    <row r="226" spans="7:7">
      <c r="G226" s="18" t="s">
        <v>1161</v>
      </c>
    </row>
    <row r="227" spans="7:7">
      <c r="G227" s="22" t="s">
        <v>1162</v>
      </c>
    </row>
    <row r="228" spans="7:7" ht="14.25" thickBot="1">
      <c r="G228" s="22" t="s">
        <v>1163</v>
      </c>
    </row>
    <row r="229" spans="7:7">
      <c r="G229" s="23" t="s">
        <v>1419</v>
      </c>
    </row>
    <row r="230" spans="7:7">
      <c r="G230" s="18" t="s">
        <v>1164</v>
      </c>
    </row>
    <row r="231" spans="7:7">
      <c r="G231" s="18" t="s">
        <v>1165</v>
      </c>
    </row>
    <row r="232" spans="7:7">
      <c r="G232" s="18" t="s">
        <v>1166</v>
      </c>
    </row>
    <row r="233" spans="7:7" ht="14.25" thickBot="1">
      <c r="G233" s="22" t="s">
        <v>1167</v>
      </c>
    </row>
    <row r="234" spans="7:7">
      <c r="G234" s="23" t="s">
        <v>545</v>
      </c>
    </row>
    <row r="235" spans="7:7" ht="14.25" thickBot="1">
      <c r="G235" s="29" t="s">
        <v>1168</v>
      </c>
    </row>
    <row r="236" spans="7:7" ht="14.25" thickBot="1">
      <c r="G236" s="34" t="s">
        <v>1434</v>
      </c>
    </row>
    <row r="237" spans="7:7" ht="14.25" thickBot="1">
      <c r="G237" s="33" t="s">
        <v>1437</v>
      </c>
    </row>
    <row r="238" spans="7:7">
      <c r="G238" s="23" t="s">
        <v>1848</v>
      </c>
    </row>
    <row r="239" spans="7:7">
      <c r="G239" s="18" t="s">
        <v>1850</v>
      </c>
    </row>
    <row r="240" spans="7:7">
      <c r="G240" s="18" t="s">
        <v>1852</v>
      </c>
    </row>
    <row r="241" spans="7:7">
      <c r="G241" s="18" t="s">
        <v>1854</v>
      </c>
    </row>
    <row r="242" spans="7:7">
      <c r="G242" s="22" t="s">
        <v>1856</v>
      </c>
    </row>
  </sheetData>
  <autoFilter ref="A4:I122" xr:uid="{00000000-0009-0000-0000-000005000000}">
    <filterColumn colId="1" showButton="0"/>
    <filterColumn colId="2" showButton="0"/>
  </autoFilter>
  <mergeCells count="5">
    <mergeCell ref="B4:D5"/>
    <mergeCell ref="E4:E5"/>
    <mergeCell ref="F4:F5"/>
    <mergeCell ref="B6:C6"/>
    <mergeCell ref="C24:D24"/>
  </mergeCells>
  <phoneticPr fontId="6"/>
  <pageMargins left="0.70866141732283472" right="0.51181102362204722" top="0.74803149606299213" bottom="0.55118110236220474" header="0.31496062992125984" footer="0.31496062992125984"/>
  <pageSetup paperSize="9" scale="44"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000"/>
  </sheetPr>
  <dimension ref="A1:R23"/>
  <sheetViews>
    <sheetView zoomScaleNormal="100" workbookViewId="0">
      <selection activeCell="T199" sqref="T199"/>
    </sheetView>
  </sheetViews>
  <sheetFormatPr defaultRowHeight="18.75"/>
  <cols>
    <col min="7" max="7" width="12.125" bestFit="1" customWidth="1"/>
    <col min="17" max="17" width="8" bestFit="1" customWidth="1"/>
    <col min="18" max="18" width="12.125" bestFit="1" customWidth="1"/>
  </cols>
  <sheetData>
    <row r="1" spans="1:18" ht="19.5" thickBot="1">
      <c r="A1" s="35" t="s">
        <v>1169</v>
      </c>
      <c r="H1" s="35" t="s">
        <v>1170</v>
      </c>
      <c r="L1" s="35" t="s">
        <v>1169</v>
      </c>
      <c r="P1" t="s">
        <v>1171</v>
      </c>
    </row>
    <row r="2" spans="1:18" ht="19.5" thickTop="1">
      <c r="B2" s="36"/>
      <c r="C2" s="185" t="s">
        <v>1172</v>
      </c>
      <c r="D2" s="185"/>
      <c r="E2" s="37">
        <f>E8-E7</f>
        <v>18</v>
      </c>
      <c r="H2">
        <v>13</v>
      </c>
      <c r="M2" s="36"/>
      <c r="N2" s="185" t="s">
        <v>1172</v>
      </c>
      <c r="O2" s="185"/>
      <c r="P2" s="37">
        <f>P8-P7</f>
        <v>12</v>
      </c>
    </row>
    <row r="3" spans="1:18">
      <c r="B3" s="38"/>
      <c r="C3" s="39"/>
      <c r="D3" s="39" t="s">
        <v>1173</v>
      </c>
      <c r="E3" s="40">
        <v>0</v>
      </c>
      <c r="G3">
        <f>E3+P3</f>
        <v>0</v>
      </c>
      <c r="H3" s="35" t="s">
        <v>1174</v>
      </c>
      <c r="M3" s="38"/>
      <c r="N3" s="39"/>
      <c r="O3" s="39" t="s">
        <v>1173</v>
      </c>
      <c r="P3" s="40">
        <v>0</v>
      </c>
    </row>
    <row r="4" spans="1:18">
      <c r="B4" s="38"/>
      <c r="C4" s="39"/>
      <c r="D4" s="39" t="s">
        <v>1175</v>
      </c>
      <c r="E4" s="40">
        <v>10</v>
      </c>
      <c r="F4" t="s">
        <v>1176</v>
      </c>
      <c r="G4">
        <f>E4+P4</f>
        <v>21</v>
      </c>
      <c r="H4">
        <v>202</v>
      </c>
      <c r="M4" s="38"/>
      <c r="N4" s="39"/>
      <c r="O4" s="39" t="s">
        <v>1175</v>
      </c>
      <c r="P4" s="40">
        <f>8+3</f>
        <v>11</v>
      </c>
    </row>
    <row r="5" spans="1:18">
      <c r="B5" s="38"/>
      <c r="C5" s="39"/>
      <c r="D5" s="39" t="s">
        <v>1177</v>
      </c>
      <c r="E5" s="40">
        <v>10</v>
      </c>
      <c r="F5" t="s">
        <v>1176</v>
      </c>
      <c r="G5">
        <f t="shared" ref="G5:G11" si="0">E5+P5</f>
        <v>27</v>
      </c>
      <c r="M5" s="38"/>
      <c r="N5" s="39"/>
      <c r="O5" s="39" t="s">
        <v>1177</v>
      </c>
      <c r="P5" s="40">
        <f>3+14</f>
        <v>17</v>
      </c>
    </row>
    <row r="6" spans="1:18">
      <c r="B6" s="38"/>
      <c r="C6" s="39"/>
      <c r="D6" s="39" t="s">
        <v>1178</v>
      </c>
      <c r="E6" s="40">
        <v>1</v>
      </c>
      <c r="F6" t="s">
        <v>1176</v>
      </c>
      <c r="G6">
        <f t="shared" si="0"/>
        <v>13</v>
      </c>
      <c r="M6" s="38"/>
      <c r="N6" s="39"/>
      <c r="O6" s="39" t="s">
        <v>1178</v>
      </c>
      <c r="P6" s="40">
        <v>12</v>
      </c>
    </row>
    <row r="7" spans="1:18">
      <c r="B7" s="38"/>
      <c r="C7" s="184" t="s">
        <v>1179</v>
      </c>
      <c r="D7" s="186"/>
      <c r="E7" s="40">
        <v>87</v>
      </c>
      <c r="F7" t="s">
        <v>1063</v>
      </c>
      <c r="G7">
        <f t="shared" si="0"/>
        <v>180</v>
      </c>
      <c r="M7" s="38"/>
      <c r="N7" s="184" t="s">
        <v>1179</v>
      </c>
      <c r="O7" s="186"/>
      <c r="P7" s="40">
        <v>93</v>
      </c>
    </row>
    <row r="8" spans="1:18">
      <c r="B8" s="183" t="s">
        <v>1180</v>
      </c>
      <c r="C8" s="184"/>
      <c r="D8" s="186"/>
      <c r="E8" s="40">
        <v>105</v>
      </c>
      <c r="F8" t="s">
        <v>1176</v>
      </c>
      <c r="G8">
        <f t="shared" si="0"/>
        <v>210</v>
      </c>
      <c r="M8" s="183" t="s">
        <v>1180</v>
      </c>
      <c r="N8" s="184"/>
      <c r="O8" s="186"/>
      <c r="P8" s="40">
        <v>105</v>
      </c>
    </row>
    <row r="9" spans="1:18">
      <c r="B9" s="38"/>
      <c r="C9" s="39"/>
      <c r="D9" s="39"/>
      <c r="E9" s="41"/>
      <c r="G9">
        <f t="shared" si="0"/>
        <v>0</v>
      </c>
      <c r="M9" s="38"/>
      <c r="N9" s="39"/>
      <c r="O9" s="39"/>
      <c r="P9" s="41"/>
    </row>
    <row r="10" spans="1:18">
      <c r="B10" s="183" t="s">
        <v>1181</v>
      </c>
      <c r="C10" s="184"/>
      <c r="D10" s="184"/>
      <c r="E10" s="40">
        <v>1</v>
      </c>
      <c r="G10">
        <f t="shared" si="0"/>
        <v>81</v>
      </c>
      <c r="M10" s="183" t="s">
        <v>1181</v>
      </c>
      <c r="N10" s="184"/>
      <c r="O10" s="184"/>
      <c r="P10" s="40">
        <v>80</v>
      </c>
    </row>
    <row r="11" spans="1:18" ht="19.5" thickBot="1">
      <c r="B11" s="181" t="s">
        <v>1182</v>
      </c>
      <c r="C11" s="182"/>
      <c r="D11" s="182"/>
      <c r="E11" s="42">
        <f>G17</f>
        <v>279</v>
      </c>
      <c r="G11">
        <f t="shared" si="0"/>
        <v>542</v>
      </c>
      <c r="M11" s="181" t="s">
        <v>1182</v>
      </c>
      <c r="N11" s="182"/>
      <c r="O11" s="182"/>
      <c r="P11" s="42">
        <v>263</v>
      </c>
    </row>
    <row r="12" spans="1:18" ht="19.5" thickTop="1"/>
    <row r="13" spans="1:18">
      <c r="B13" s="183" t="s">
        <v>1183</v>
      </c>
      <c r="C13" s="184"/>
      <c r="D13" s="184"/>
      <c r="E13" s="40">
        <f>185+E8+E10</f>
        <v>291</v>
      </c>
      <c r="M13" s="183" t="s">
        <v>1183</v>
      </c>
      <c r="N13" s="184"/>
      <c r="O13" s="184"/>
      <c r="P13" s="40">
        <f>P8+P10</f>
        <v>185</v>
      </c>
    </row>
    <row r="14" spans="1:18" ht="19.5" thickBot="1">
      <c r="B14" s="181" t="s">
        <v>1184</v>
      </c>
      <c r="C14" s="182"/>
      <c r="D14" s="182"/>
      <c r="E14" s="42">
        <f>368+E11+E8</f>
        <v>752</v>
      </c>
      <c r="M14" s="181" t="s">
        <v>1184</v>
      </c>
      <c r="N14" s="182"/>
      <c r="O14" s="182"/>
      <c r="P14" s="42">
        <f>P11+P8</f>
        <v>368</v>
      </c>
    </row>
    <row r="15" spans="1:18" ht="19.5" thickTop="1"/>
    <row r="16" spans="1:18">
      <c r="B16" s="43" t="s">
        <v>139</v>
      </c>
      <c r="C16" s="44">
        <v>27</v>
      </c>
      <c r="D16" s="44">
        <v>74</v>
      </c>
      <c r="F16" s="45" t="s">
        <v>1185</v>
      </c>
      <c r="G16" s="46">
        <v>432721.90032620012</v>
      </c>
      <c r="M16" s="43" t="s">
        <v>139</v>
      </c>
      <c r="N16" s="44">
        <v>27</v>
      </c>
      <c r="O16" s="44">
        <v>74</v>
      </c>
      <c r="Q16" s="45" t="s">
        <v>1186</v>
      </c>
      <c r="R16" s="46">
        <v>7258265.1363499993</v>
      </c>
    </row>
    <row r="17" spans="2:18">
      <c r="B17" s="43" t="s">
        <v>47</v>
      </c>
      <c r="C17" s="39">
        <v>4</v>
      </c>
      <c r="D17" s="39"/>
      <c r="F17" s="45" t="s">
        <v>1187</v>
      </c>
      <c r="G17" s="47">
        <v>279</v>
      </c>
      <c r="M17" s="43" t="s">
        <v>47</v>
      </c>
      <c r="N17" s="39">
        <v>4</v>
      </c>
      <c r="O17" s="39"/>
      <c r="Q17" s="45" t="s">
        <v>1188</v>
      </c>
      <c r="R17" s="47">
        <v>263</v>
      </c>
    </row>
    <row r="18" spans="2:18">
      <c r="B18" s="43" t="s">
        <v>32</v>
      </c>
      <c r="C18" s="48">
        <v>43</v>
      </c>
      <c r="D18" s="48"/>
      <c r="F18" s="45" t="s">
        <v>1189</v>
      </c>
      <c r="G18" s="49">
        <v>38511.86</v>
      </c>
      <c r="M18" s="43" t="s">
        <v>32</v>
      </c>
      <c r="N18" s="48">
        <v>43</v>
      </c>
      <c r="O18" s="48"/>
      <c r="Q18" s="45" t="s">
        <v>1190</v>
      </c>
      <c r="R18" s="49">
        <v>47600.347999999998</v>
      </c>
    </row>
    <row r="19" spans="2:18">
      <c r="B19" s="43" t="s">
        <v>604</v>
      </c>
      <c r="C19" s="44">
        <v>1</v>
      </c>
      <c r="D19" s="44">
        <v>2</v>
      </c>
      <c r="F19" s="45" t="s">
        <v>1191</v>
      </c>
      <c r="G19" s="47">
        <v>64</v>
      </c>
      <c r="M19" s="43" t="s">
        <v>604</v>
      </c>
      <c r="N19" s="44">
        <v>1</v>
      </c>
      <c r="O19" s="44">
        <v>2</v>
      </c>
      <c r="Q19" s="45" t="s">
        <v>1192</v>
      </c>
      <c r="R19" s="47">
        <v>69</v>
      </c>
    </row>
    <row r="20" spans="2:18">
      <c r="B20" s="43" t="s">
        <v>408</v>
      </c>
      <c r="C20" s="48">
        <v>1</v>
      </c>
      <c r="D20" s="48"/>
      <c r="F20" s="50" t="s">
        <v>1193</v>
      </c>
      <c r="G20" s="51">
        <v>44013</v>
      </c>
      <c r="M20" s="43" t="s">
        <v>408</v>
      </c>
      <c r="N20" s="48">
        <v>1</v>
      </c>
      <c r="O20" s="48"/>
      <c r="Q20" s="50" t="s">
        <v>1194</v>
      </c>
      <c r="R20" s="51">
        <v>43922</v>
      </c>
    </row>
    <row r="21" spans="2:18">
      <c r="B21" s="43" t="s">
        <v>1195</v>
      </c>
      <c r="C21" s="52">
        <v>1</v>
      </c>
      <c r="D21" s="52">
        <v>1</v>
      </c>
      <c r="F21" s="50" t="s">
        <v>1196</v>
      </c>
      <c r="G21" s="53">
        <v>44104</v>
      </c>
      <c r="M21" s="43" t="s">
        <v>1195</v>
      </c>
      <c r="N21" s="52">
        <v>1</v>
      </c>
      <c r="O21" s="52">
        <v>1</v>
      </c>
      <c r="Q21" s="50" t="s">
        <v>1197</v>
      </c>
      <c r="R21" s="53">
        <v>44012</v>
      </c>
    </row>
    <row r="22" spans="2:18">
      <c r="B22" s="43" t="s">
        <v>191</v>
      </c>
      <c r="C22" s="52">
        <v>4</v>
      </c>
      <c r="D22" s="52">
        <v>4</v>
      </c>
      <c r="M22" s="43" t="s">
        <v>191</v>
      </c>
      <c r="N22" s="52">
        <v>3</v>
      </c>
      <c r="O22" s="52">
        <v>3</v>
      </c>
    </row>
    <row r="23" spans="2:18">
      <c r="D23">
        <f>SUM(D16:D22)</f>
        <v>81</v>
      </c>
      <c r="O23">
        <f>SUM(O16:O22)</f>
        <v>80</v>
      </c>
    </row>
  </sheetData>
  <mergeCells count="14">
    <mergeCell ref="C2:D2"/>
    <mergeCell ref="N2:O2"/>
    <mergeCell ref="C7:D7"/>
    <mergeCell ref="N7:O7"/>
    <mergeCell ref="B8:D8"/>
    <mergeCell ref="M8:O8"/>
    <mergeCell ref="B14:D14"/>
    <mergeCell ref="M14:O14"/>
    <mergeCell ref="B10:D10"/>
    <mergeCell ref="M10:O10"/>
    <mergeCell ref="B11:D11"/>
    <mergeCell ref="M11:O11"/>
    <mergeCell ref="B13:D13"/>
    <mergeCell ref="M13:O13"/>
  </mergeCells>
  <phoneticPr fontId="6"/>
  <conditionalFormatting sqref="G20">
    <cfRule type="expression" dxfId="1" priority="2">
      <formula>$Q$8</formula>
    </cfRule>
  </conditionalFormatting>
  <conditionalFormatting sqref="G21">
    <cfRule type="expression" dxfId="0" priority="1">
      <formula>$Q$9</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tabColor rgb="FFFFC000"/>
  </sheetPr>
  <dimension ref="A1:K27"/>
  <sheetViews>
    <sheetView workbookViewId="0">
      <selection activeCell="B3" sqref="B3"/>
    </sheetView>
  </sheetViews>
  <sheetFormatPr defaultRowHeight="18.75"/>
  <cols>
    <col min="6" max="6" width="15.125" bestFit="1" customWidth="1"/>
    <col min="9" max="9" width="15.125" bestFit="1" customWidth="1"/>
    <col min="11" max="11" width="15.125" bestFit="1" customWidth="1"/>
  </cols>
  <sheetData>
    <row r="1" spans="1:11" ht="19.5" thickBot="1"/>
    <row r="2" spans="1:11" ht="20.25" thickTop="1" thickBot="1">
      <c r="A2" s="35" t="s">
        <v>1198</v>
      </c>
      <c r="B2" t="s">
        <v>1485</v>
      </c>
      <c r="C2" t="s">
        <v>1068</v>
      </c>
      <c r="D2" t="s">
        <v>1069</v>
      </c>
      <c r="E2" s="35" t="s">
        <v>1199</v>
      </c>
      <c r="F2" s="36" t="s">
        <v>1200</v>
      </c>
      <c r="G2" s="37" t="s">
        <v>1201</v>
      </c>
      <c r="H2" s="35" t="s">
        <v>1202</v>
      </c>
      <c r="I2" s="54" t="s">
        <v>1203</v>
      </c>
      <c r="J2" s="54" t="s">
        <v>1201</v>
      </c>
      <c r="K2" s="35" t="s">
        <v>1204</v>
      </c>
    </row>
    <row r="3" spans="1:11" ht="19.5" thickTop="1">
      <c r="B3" s="36" t="str">
        <f>IF(OR(B2=B$26,B2=""),"",IF(中間処理シート!O4="",B$26,中間処理シート!O4))</f>
        <v>ＶＣ本</v>
      </c>
      <c r="C3" s="55">
        <f>IF(OR(B2=B$26,B2=""),"",IF(中間処理シート!O4="",SUM(C2:C$3),中間処理シート!P4))</f>
        <v>3</v>
      </c>
      <c r="D3" s="37">
        <f>IF(OR(B2=B$26,B2=""),"",IF(中間処理シート!O4="",SUM(D2:D$3),中間処理シート!Q4))</f>
        <v>3</v>
      </c>
      <c r="F3" s="38" t="str">
        <f>IF(OR(F2="計",F2=""),"",IF(中間処理シート!W2="","計",中間処理シート!W2))</f>
        <v>販売</v>
      </c>
      <c r="G3" s="41">
        <f>IF(OR(F2="計",F2=""),"",IF(中間処理シート!X2="",SUM(G2:G$3),中間処理シート!X2))</f>
        <v>52</v>
      </c>
      <c r="I3" s="36" t="str">
        <f>中間処理シート!AH3</f>
        <v>米国</v>
      </c>
      <c r="J3" s="37">
        <f>中間処理シート!AI3</f>
        <v>29</v>
      </c>
      <c r="K3" s="35" t="s">
        <v>1205</v>
      </c>
    </row>
    <row r="4" spans="1:11">
      <c r="B4" s="38" t="str">
        <f>IF(OR(B3=B$26,B3=""),"",IF(中間処理シート!O5="",B$26,中間処理シート!O5))</f>
        <v>ＧＢ本</v>
      </c>
      <c r="C4" s="39">
        <f>IF(OR(B3=B$26,B3=""),"",IF(中間処理シート!O5="",SUM(C$3:C3),中間処理シート!P5))</f>
        <v>91</v>
      </c>
      <c r="D4" s="41">
        <f>IF(OR(B3=B$26,B3=""),"",IF(中間処理シート!O5="",SUM(D$3:D3),中間処理シート!Q5))</f>
        <v>74</v>
      </c>
      <c r="F4" s="38" t="str">
        <f>IF(OR(F3="計",F3=""),"",IF(中間処理シート!W3="","計",中間処理シート!W3))</f>
        <v>無償提供</v>
      </c>
      <c r="G4" s="41">
        <f>IF(OR(F3="計",F3=""),"",IF(中間処理シート!X3="",SUM(G$3:G3),中間処理シート!X3))</f>
        <v>28</v>
      </c>
      <c r="I4" s="38" t="str">
        <f>中間処理シート!AH4</f>
        <v>中華人民共和国</v>
      </c>
      <c r="J4" s="41">
        <f>中間処理シート!AI4</f>
        <v>14</v>
      </c>
    </row>
    <row r="5" spans="1:11">
      <c r="B5" s="38" t="str">
        <f>IF(OR(B4=B$26,B4=""),"",IF(中間処理シート!O6="",B$26,中間処理シート!O6))</f>
        <v>セ事本</v>
      </c>
      <c r="C5" s="39">
        <f>IF(OR(B4=B$26,B4=""),"",IF(中間処理シート!O6="",SUM(C$3:C4),中間処理シート!P6))</f>
        <v>3</v>
      </c>
      <c r="D5" s="41">
        <f>IF(OR(B4=B$26,B4=""),"",IF(中間処理シート!O6="",SUM(D$3:D4),中間処理シート!Q6))</f>
        <v>4</v>
      </c>
      <c r="F5" s="38" t="str">
        <f>IF(OR(F4="計",F4=""),"",IF(中間処理シート!W4="","計",中間処理シート!W4))</f>
        <v>展示・デモ</v>
      </c>
      <c r="G5" s="41">
        <f>IF(OR(F4="計",F4=""),"",IF(中間処理シート!X4="",SUM(G$3:G4),中間処理シート!X4))</f>
        <v>1</v>
      </c>
      <c r="I5" s="38" t="str">
        <f>中間処理シート!AH5</f>
        <v>台湾</v>
      </c>
      <c r="J5" s="41">
        <f>中間処理シート!AI5</f>
        <v>10</v>
      </c>
    </row>
    <row r="6" spans="1:11">
      <c r="B6" s="38" t="str">
        <f>IF(OR(B5=B$26,B5=""),"",IF(中間処理シート!O7="",B$26,中間処理シート!O7))</f>
        <v>ＣＩ本</v>
      </c>
      <c r="C6" s="39">
        <f>IF(OR(B5=B$26,B5=""),"",IF(中間処理シート!O7="",SUM(C$3:C5),中間処理シート!P7))</f>
        <v>0</v>
      </c>
      <c r="D6" s="41">
        <f>IF(OR(B5=B$26,B5=""),"",IF(中間処理シート!O7="",SUM(D$3:D5),中間処理シート!Q7))</f>
        <v>1</v>
      </c>
      <c r="F6" s="38" t="str">
        <f>IF(OR(F5="計",F5=""),"",IF(中間処理シート!W5="","計",中間処理シート!W5))</f>
        <v>貸出</v>
      </c>
      <c r="G6" s="41">
        <f>IF(OR(F5="計",F5=""),"",IF(中間処理シート!X5="",SUM(G$3:G5),中間処理シート!X5))</f>
        <v>2</v>
      </c>
      <c r="I6" s="38" t="str">
        <f>中間処理シート!AH6</f>
        <v>ドイツ</v>
      </c>
      <c r="J6" s="41">
        <f>中間処理シート!AI6</f>
        <v>7</v>
      </c>
    </row>
    <row r="7" spans="1:11">
      <c r="B7" s="38" t="str">
        <f>IF(OR(B6=B$26,B6=""),"",IF(中間処理シート!O8="",B$26,中間処理シート!O8))</f>
        <v>ＡＩ本</v>
      </c>
      <c r="C7" s="39">
        <f>IF(OR(B6=B$26,B6=""),"",IF(中間処理シート!O8="",SUM(C$3:C6),中間処理シート!P8))</f>
        <v>6</v>
      </c>
      <c r="D7" s="41">
        <f>IF(OR(B6=B$26,B6=""),"",IF(中間処理シート!O8="",SUM(D$3:D6),中間処理シート!Q8))</f>
        <v>0</v>
      </c>
      <c r="F7" s="38" t="str">
        <f>IF(OR(F6="計",F6=""),"",IF(中間処理シート!W6="","計",中間処理シート!W6))</f>
        <v>製造・評価</v>
      </c>
      <c r="G7" s="41">
        <f>IF(OR(F6="計",F6=""),"",IF(中間処理シート!X6="",SUM(G$3:G6),中間処理シート!X6))</f>
        <v>4</v>
      </c>
      <c r="I7" s="38" t="str">
        <f>中間処理シート!AH7</f>
        <v>シンガポール</v>
      </c>
      <c r="J7" s="41">
        <f>中間処理シート!AI7</f>
        <v>6</v>
      </c>
    </row>
    <row r="8" spans="1:11" ht="19.5" thickBot="1">
      <c r="B8" s="38" t="str">
        <f>IF(OR(B7=B$26,B7=""),"",IF(中間処理シート!O9="",B$26,中間処理シート!O9))</f>
        <v>ＩＰＣ</v>
      </c>
      <c r="C8" s="39">
        <f>IF(OR(B7=B$26,B7=""),"",IF(中間処理シート!O9="",SUM(C$3:C7),中間処理シート!P9))</f>
        <v>1</v>
      </c>
      <c r="D8" s="41">
        <f>IF(OR(B7=B$26,B7=""),"",IF(中間処理シート!O9="",SUM(D$3:D7),中間処理シート!Q9))</f>
        <v>0</v>
      </c>
      <c r="F8" s="38" t="str">
        <f>IF(OR(F7="計",F7=""),"",IF(中間処理シート!W7="","計",中間処理シート!W7))</f>
        <v>修理・交換</v>
      </c>
      <c r="G8" s="41">
        <f>IF(OR(F7="計",F7=""),"",IF(中間処理シート!X7="",SUM(G$3:G7),中間処理シート!X7))</f>
        <v>4</v>
      </c>
      <c r="I8" s="56" t="str">
        <f>中間処理シート!AH8</f>
        <v>ロシア</v>
      </c>
      <c r="J8" s="57">
        <f>中間処理シート!AI8</f>
        <v>4</v>
      </c>
    </row>
    <row r="9" spans="1:11" ht="19.5" thickTop="1">
      <c r="B9" s="38" t="str">
        <f>IF(OR(B8=B$26,B8=""),"",IF(中間処理シート!O10="",B$26,中間処理シート!O10))</f>
        <v>人事部</v>
      </c>
      <c r="C9" s="39">
        <f>IF(OR(B8=B$26,B8=""),"",IF(中間処理シート!O10="",SUM(C$3:C8),中間処理シート!P10))</f>
        <v>1</v>
      </c>
      <c r="D9" s="41">
        <f>IF(OR(B8=B$26,B8=""),"",IF(中間処理シート!O10="",SUM(D$3:D8),中間処理シート!Q10))</f>
        <v>0</v>
      </c>
      <c r="F9" s="38" t="str">
        <f>IF(OR(F8="計",F8=""),"",IF(中間処理シート!W8="","計",中間処理シート!W8))</f>
        <v>返却</v>
      </c>
      <c r="G9" s="41">
        <f>IF(OR(F8="計",F8=""),"",IF(中間処理シート!X8="",SUM(G$3:G8),中間処理シート!X8))</f>
        <v>2</v>
      </c>
    </row>
    <row r="10" spans="1:11">
      <c r="B10" s="38" t="str">
        <f>IF(OR(B9=B$26,B9=""),"",IF(中間処理シート!O11="",B$26,中間処理シート!O11))</f>
        <v>計</v>
      </c>
      <c r="C10" s="39">
        <f>IF(OR(B9=B$26,B9=""),"",IF(中間処理シート!O11="",SUM(C$3:C9),中間処理シート!P11))</f>
        <v>105</v>
      </c>
      <c r="D10" s="41">
        <f>IF(OR(B9=B$26,B9=""),"",IF(中間処理シート!O11="",SUM(D$3:D9),中間処理シート!Q11))</f>
        <v>82</v>
      </c>
      <c r="F10" s="38" t="str">
        <f>IF(OR(F9="計",F9=""),"",IF(中間処理シート!W9="","計",中間処理シート!W9))</f>
        <v>プログラム提供</v>
      </c>
      <c r="G10" s="41">
        <f>IF(OR(F9="計",F9=""),"",IF(中間処理シート!X9="",SUM(G$3:G9),中間処理シート!X9))</f>
        <v>5</v>
      </c>
    </row>
    <row r="11" spans="1:11">
      <c r="B11" s="38" t="str">
        <f>IF(OR(B10=B$26,B10=""),"",IF(中間処理シート!O12="",B$26,中間処理シート!O12))</f>
        <v/>
      </c>
      <c r="C11" s="39" t="str">
        <f>IF(OR(B10=B$26,B10=""),"",IF(中間処理シート!O12="",SUM(C$3:C10),中間処理シート!P12))</f>
        <v/>
      </c>
      <c r="D11" s="41" t="str">
        <f>IF(OR(B10=B$26,B10=""),"",IF(中間処理シート!O12="",SUM(D$3:D10),中間処理シート!Q12))</f>
        <v/>
      </c>
      <c r="F11" s="38" t="str">
        <f>IF(OR(F10="計",F10=""),"",IF(中間処理シート!W10="","計",中間処理シート!W10))</f>
        <v>技術提供</v>
      </c>
      <c r="G11" s="41">
        <f>IF(OR(F10="計",F10=""),"",IF(中間処理シート!X10="",SUM(G$3:G10),中間処理シート!X10))</f>
        <v>4</v>
      </c>
    </row>
    <row r="12" spans="1:11">
      <c r="B12" s="38" t="str">
        <f>IF(OR(B11=B$26,B11=""),"",IF(中間処理シート!O13="",B$26,中間処理シート!O13))</f>
        <v/>
      </c>
      <c r="C12" s="39" t="str">
        <f>IF(OR(B11=B$26,B11=""),"",IF(中間処理シート!O13="",SUM(C$3:C11),中間処理シート!P13))</f>
        <v/>
      </c>
      <c r="D12" s="41" t="str">
        <f>IF(OR(B11=B$26,B11=""),"",IF(中間処理シート!O13="",SUM(D$3:D11),中間処理シート!Q13))</f>
        <v/>
      </c>
      <c r="F12" s="38" t="str">
        <f>IF(OR(F11="計",F11=""),"",IF(中間処理シート!W11="","計",中間処理シート!W11))</f>
        <v>その他の案件</v>
      </c>
      <c r="G12" s="41">
        <f>IF(OR(F11="計",F11=""),"",IF(中間処理シート!X11="",SUM(G$3:G11),中間処理シート!X11))</f>
        <v>3</v>
      </c>
    </row>
    <row r="13" spans="1:11">
      <c r="B13" s="38" t="str">
        <f>IF(OR(B12=B$26,B12=""),"",IF(中間処理シート!O14="",B$26,中間処理シート!O14))</f>
        <v/>
      </c>
      <c r="C13" s="39" t="str">
        <f>IF(OR(B12=B$26,B12=""),"",IF(中間処理シート!O14="",SUM(C$3:C12),中間処理シート!P14))</f>
        <v/>
      </c>
      <c r="D13" s="41" t="str">
        <f>IF(OR(B12=B$26,B12=""),"",IF(中間処理シート!O14="",SUM(D$3:D12),中間処理シート!Q14))</f>
        <v/>
      </c>
      <c r="F13" s="38" t="str">
        <f>IF(OR(F12=F$26,F12=""),"",IF(中間処理シート!W12="",F$26,中間処理シート!W12))</f>
        <v>計</v>
      </c>
      <c r="G13" s="41">
        <f>IF(OR(F12="計",F12=""),"",IF(中間処理シート!X12="",SUM(G$3:G12),中間処理シート!X12))</f>
        <v>105</v>
      </c>
    </row>
    <row r="14" spans="1:11">
      <c r="B14" s="38" t="str">
        <f>IF(OR(B13=B$26,B13=""),"",IF(中間処理シート!O15="",B$26,中間処理シート!O15))</f>
        <v/>
      </c>
      <c r="C14" s="39" t="str">
        <f>IF(OR(B13=B$26,B13=""),"",IF(中間処理シート!O15="",SUM(C$3:C13),中間処理シート!P15))</f>
        <v/>
      </c>
      <c r="D14" s="41" t="str">
        <f>IF(OR(B13=B$26,B13=""),"",IF(中間処理シート!O15="",SUM(D$3:D13),中間処理シート!Q15))</f>
        <v/>
      </c>
      <c r="F14" s="38" t="str">
        <f>IF(OR(F13="計",F13=""),"",IF(中間処理シート!W13="","計",中間処理シート!W13))</f>
        <v/>
      </c>
      <c r="G14" s="41" t="str">
        <f>IF(OR(F13="計",F13=""),"",IF(中間処理シート!X13="",SUM(G$3:G13),中間処理シート!X13))</f>
        <v/>
      </c>
    </row>
    <row r="15" spans="1:11">
      <c r="B15" s="38" t="str">
        <f>IF(OR(B14=B$26,B14=""),"",IF(中間処理シート!O16="",B$26,中間処理シート!O16))</f>
        <v/>
      </c>
      <c r="C15" s="39" t="str">
        <f>IF(OR(B14=B$26,B14=""),"",IF(中間処理シート!O16="",SUM(C$3:C14),中間処理シート!P16))</f>
        <v/>
      </c>
      <c r="D15" s="41" t="str">
        <f>IF(OR(B14=B$26,B14=""),"",IF(中間処理シート!O16="",SUM(D$3:D14),中間処理シート!Q16))</f>
        <v/>
      </c>
      <c r="F15" s="38" t="str">
        <f>IF(OR(F14="計",F14=""),"",IF(中間処理シート!W14="","計",中間処理シート!W14))</f>
        <v/>
      </c>
      <c r="G15" s="41" t="str">
        <f>IF(OR(F14="計",F14=""),"",IF(中間処理シート!#REF!="",SUM(G$3:G14),中間処理シート!#REF!))</f>
        <v/>
      </c>
    </row>
    <row r="16" spans="1:11">
      <c r="B16" s="38" t="str">
        <f>IF(OR(B15=B$26,B15=""),"",IF(中間処理シート!O17="",B$26,中間処理シート!O17))</f>
        <v/>
      </c>
      <c r="C16" s="39" t="str">
        <f>IF(OR(B15=B$26,B15=""),"",IF(中間処理シート!O17="",SUM(C$3:C15),中間処理シート!P17))</f>
        <v/>
      </c>
      <c r="D16" s="41" t="str">
        <f>IF(OR(B15=B$26,B15=""),"",IF(中間処理シート!O17="",SUM(D$3:D15),中間処理シート!Q17))</f>
        <v/>
      </c>
      <c r="F16" s="38" t="str">
        <f>IF(OR(F15="計",F15=""),"",IF(中間処理シート!W15="","計",中間処理シート!W15))</f>
        <v/>
      </c>
      <c r="G16" s="41" t="str">
        <f>IF(OR(F15="計",F15=""),"",IF(中間処理シート!X15="",SUM(G$3:G15),中間処理シート!X15))</f>
        <v/>
      </c>
    </row>
    <row r="17" spans="2:7">
      <c r="B17" s="38" t="str">
        <f>IF(OR(B16=B$26,B16=""),"",IF(中間処理シート!O18="",B$26,中間処理シート!O18))</f>
        <v/>
      </c>
      <c r="C17" s="39" t="str">
        <f>IF(OR(B16=B$26,B16=""),"",IF(中間処理シート!O18="",SUM(C$3:C16),中間処理シート!P18))</f>
        <v/>
      </c>
      <c r="D17" s="41" t="str">
        <f>IF(OR(B16=B$26,B16=""),"",IF(中間処理シート!O18="",SUM(D$3:D16),中間処理シート!Q18))</f>
        <v/>
      </c>
      <c r="F17" s="38" t="str">
        <f>IF(OR(F16="計",F16=""),"",IF(中間処理シート!W16="","計",中間処理シート!W16))</f>
        <v/>
      </c>
      <c r="G17" s="41" t="str">
        <f>IF(OR(F16="計",F16=""),"",IF(中間処理シート!X16="",SUM(G$3:G16),中間処理シート!X16))</f>
        <v/>
      </c>
    </row>
    <row r="18" spans="2:7">
      <c r="B18" s="38" t="str">
        <f>IF(OR(B17=B$26,B17=""),"",IF(中間処理シート!O19="",B$26,中間処理シート!O19))</f>
        <v/>
      </c>
      <c r="C18" s="39" t="str">
        <f>IF(OR(B17=B$26,B17=""),"",IF(中間処理シート!O19="",SUM(C$3:C17),中間処理シート!P19))</f>
        <v/>
      </c>
      <c r="D18" s="41" t="str">
        <f>IF(OR(B17=B$26,B17=""),"",IF(中間処理シート!O19="",SUM(D$3:D17),中間処理シート!Q19))</f>
        <v/>
      </c>
      <c r="F18" s="38" t="str">
        <f>IF(OR(F17="計",F17=""),"",IF(中間処理シート!W17="","計",中間処理シート!W17))</f>
        <v/>
      </c>
      <c r="G18" s="41" t="str">
        <f>IF(OR(F17="計",F17=""),"",IF(中間処理シート!X17="",SUM(G$3:G17),中間処理シート!X17))</f>
        <v/>
      </c>
    </row>
    <row r="19" spans="2:7">
      <c r="B19" s="38" t="str">
        <f>IF(OR(B18=B$26,B18=""),"",IF(中間処理シート!O20="",B$26,中間処理シート!O20))</f>
        <v/>
      </c>
      <c r="C19" s="39" t="str">
        <f>IF(OR(B18=B$26,B18=""),"",IF(中間処理シート!O20="",SUM(C$3:C18),中間処理シート!P20))</f>
        <v/>
      </c>
      <c r="D19" s="41" t="str">
        <f>IF(OR(B18=B$26,B18=""),"",IF(中間処理シート!O20="",SUM(D$3:D18),中間処理シート!Q20))</f>
        <v/>
      </c>
      <c r="F19" s="38" t="str">
        <f>IF(OR(F18="計",F18=""),"",IF(中間処理シート!W18="","計",中間処理シート!W18))</f>
        <v/>
      </c>
      <c r="G19" s="41" t="str">
        <f>IF(OR(F18="計",F18=""),"",IF(中間処理シート!X18="",SUM(G$3:G18),中間処理シート!X18))</f>
        <v/>
      </c>
    </row>
    <row r="20" spans="2:7">
      <c r="B20" s="38" t="str">
        <f>IF(OR(B19=B$26,B19=""),"",IF(中間処理シート!O21="",B$26,中間処理シート!O21))</f>
        <v/>
      </c>
      <c r="C20" s="39" t="str">
        <f>IF(OR(B19=B$26,B19=""),"",IF(中間処理シート!O21="",SUM(C$3:C19),中間処理シート!P21))</f>
        <v/>
      </c>
      <c r="D20" s="41" t="str">
        <f>IF(OR(B19=B$26,B19=""),"",IF(中間処理シート!O21="",SUM(D$3:D19),中間処理シート!Q21))</f>
        <v/>
      </c>
      <c r="F20" s="38" t="str">
        <f>IF(OR(F19="計",F19=""),"",IF(中間処理シート!W19="","計",中間処理シート!W19))</f>
        <v/>
      </c>
      <c r="G20" s="41" t="str">
        <f>IF(OR(F19="計",F19=""),"",IF(中間処理シート!X19="",SUM(G$3:G19),中間処理シート!X19))</f>
        <v/>
      </c>
    </row>
    <row r="21" spans="2:7">
      <c r="B21" s="38" t="str">
        <f>IF(OR(B20=B$26,B20=""),"",IF(中間処理シート!O22="",B$26,中間処理シート!O22))</f>
        <v/>
      </c>
      <c r="C21" s="39" t="str">
        <f>IF(OR(B20=B$26,B20=""),"",IF(中間処理シート!O22="",SUM(C$3:C20),中間処理シート!P22))</f>
        <v/>
      </c>
      <c r="D21" s="41" t="str">
        <f>IF(OR(B20=B$26,B20=""),"",IF(中間処理シート!O22="",SUM(D$3:D20),中間処理シート!Q22))</f>
        <v/>
      </c>
      <c r="F21" s="38" t="str">
        <f>IF(OR(F20="計",F20=""),"",IF(中間処理シート!W20="","計",中間処理シート!W20))</f>
        <v/>
      </c>
      <c r="G21" s="41" t="str">
        <f>IF(OR(F20="計",F20=""),"",IF(中間処理シート!X20="",SUM(G$3:G20),中間処理シート!X20))</f>
        <v/>
      </c>
    </row>
    <row r="22" spans="2:7">
      <c r="B22" s="38" t="str">
        <f>IF(OR(B21=B$26,B21=""),"",IF(中間処理シート!O23="",B$26,中間処理シート!O23))</f>
        <v/>
      </c>
      <c r="C22" s="39" t="str">
        <f>IF(OR(B21=B$26,B21=""),"",IF(中間処理シート!O23="",SUM(C$3:C21),中間処理シート!P23))</f>
        <v/>
      </c>
      <c r="D22" s="41" t="str">
        <f>IF(OR(B21=B$26,B21=""),"",IF(中間処理シート!O23="",SUM(D$3:D21),中間処理シート!Q23))</f>
        <v/>
      </c>
      <c r="F22" s="38" t="str">
        <f>IF(OR(F21="計",F21=""),"",IF(中間処理シート!W21="","計",中間処理シート!W21))</f>
        <v/>
      </c>
      <c r="G22" s="41" t="str">
        <f>IF(OR(F21="計",F21=""),"",IF(中間処理シート!X21="",SUM(G$3:G21),中間処理シート!X21))</f>
        <v/>
      </c>
    </row>
    <row r="23" spans="2:7">
      <c r="B23" s="38" t="str">
        <f>IF(OR(B22=B$26,B22=""),"",IF(中間処理シート!O24="",B$26,中間処理シート!O24))</f>
        <v/>
      </c>
      <c r="C23" s="39" t="str">
        <f>IF(OR(B22=B$26,B22=""),"",IF(中間処理シート!O24="",SUM(C$3:C22),中間処理シート!P24))</f>
        <v/>
      </c>
      <c r="D23" s="41" t="str">
        <f>IF(OR(B22=B$26,B22=""),"",IF(中間処理シート!O24="",SUM(D$3:D22),中間処理シート!Q24))</f>
        <v/>
      </c>
      <c r="F23" s="38" t="str">
        <f>IF(OR(F22="計",F22=""),"",IF(中間処理シート!W22="","計",中間処理シート!W22))</f>
        <v/>
      </c>
      <c r="G23" s="41" t="str">
        <f>IF(OR(F22="計",F22=""),"",IF(中間処理シート!X22="",SUM(G$3:G22),中間処理シート!X22))</f>
        <v/>
      </c>
    </row>
    <row r="24" spans="2:7" ht="19.5" thickBot="1">
      <c r="B24" t="str">
        <f>中間処理シート!O25</f>
        <v/>
      </c>
      <c r="C24" t="str">
        <f>中間処理シート!P25</f>
        <v/>
      </c>
      <c r="D24" t="str">
        <f>中間処理シート!Q25</f>
        <v/>
      </c>
    </row>
    <row r="25" spans="2:7" ht="20.25" thickTop="1" thickBot="1">
      <c r="B25" s="58" t="s">
        <v>1206</v>
      </c>
      <c r="C25" s="59">
        <f>中間処理シート!P27</f>
        <v>105</v>
      </c>
      <c r="D25" s="60">
        <f>中間処理シート!Q27</f>
        <v>82</v>
      </c>
    </row>
    <row r="26" spans="2:7" ht="20.25" thickTop="1" thickBot="1">
      <c r="B26" s="58" t="s">
        <v>1206</v>
      </c>
      <c r="C26" s="59">
        <f>SUM(C3:C22)</f>
        <v>210</v>
      </c>
      <c r="D26" s="60">
        <f>SUM(D3:D22)</f>
        <v>164</v>
      </c>
      <c r="F26" s="58" t="s">
        <v>1206</v>
      </c>
      <c r="G26" s="61"/>
    </row>
    <row r="27" spans="2:7" ht="19.5" thickTop="1"/>
  </sheetData>
  <phoneticPr fontId="6"/>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J33"/>
  <sheetViews>
    <sheetView topLeftCell="A5" workbookViewId="0">
      <selection activeCell="B13" sqref="B13"/>
    </sheetView>
  </sheetViews>
  <sheetFormatPr defaultRowHeight="18.75"/>
  <cols>
    <col min="1" max="1" width="9" style="123"/>
    <col min="2" max="2" width="18.75" style="123" bestFit="1" customWidth="1"/>
    <col min="3" max="3" width="79.25" style="123" bestFit="1" customWidth="1"/>
    <col min="4" max="4" width="7.375" style="123" bestFit="1" customWidth="1"/>
    <col min="5" max="5" width="46.375" style="123" bestFit="1" customWidth="1"/>
    <col min="6" max="6" width="30.75" style="123" bestFit="1" customWidth="1"/>
    <col min="7" max="7" width="9" style="123"/>
    <col min="8" max="8" width="13.125" style="123" bestFit="1" customWidth="1"/>
    <col min="9" max="9" width="9" style="123"/>
    <col min="10" max="10" width="13.125" style="123" bestFit="1" customWidth="1"/>
    <col min="11" max="16384" width="9" style="123"/>
  </cols>
  <sheetData>
    <row r="1" spans="1:10">
      <c r="B1" s="124" t="s">
        <v>1439</v>
      </c>
      <c r="C1" s="124" t="s">
        <v>1440</v>
      </c>
      <c r="D1" s="125" t="s">
        <v>1441</v>
      </c>
      <c r="E1" s="125" t="s">
        <v>1442</v>
      </c>
      <c r="F1" s="125" t="s">
        <v>1443</v>
      </c>
      <c r="G1" s="5" t="s">
        <v>1065</v>
      </c>
      <c r="I1" s="126" t="s">
        <v>1444</v>
      </c>
      <c r="J1" s="125" t="s">
        <v>1445</v>
      </c>
    </row>
    <row r="2" spans="1:10" s="127" customFormat="1">
      <c r="B2" s="123" t="s">
        <v>1446</v>
      </c>
      <c r="C2" s="128"/>
      <c r="D2" s="129"/>
      <c r="E2" s="129"/>
      <c r="F2" s="129"/>
      <c r="G2" s="130"/>
      <c r="I2" s="131"/>
      <c r="J2" s="129"/>
    </row>
    <row r="3" spans="1:10">
      <c r="A3" s="123" t="s">
        <v>1446</v>
      </c>
      <c r="B3" s="132"/>
      <c r="C3" s="132" t="s">
        <v>1447</v>
      </c>
      <c r="D3" s="132" t="s">
        <v>1441</v>
      </c>
      <c r="E3" s="132" t="s">
        <v>1448</v>
      </c>
      <c r="F3" s="132" t="s">
        <v>1449</v>
      </c>
      <c r="G3" s="132" t="s">
        <v>1450</v>
      </c>
      <c r="H3" s="132" t="s">
        <v>1451</v>
      </c>
      <c r="I3" s="132" t="s">
        <v>1452</v>
      </c>
      <c r="J3" s="132" t="s">
        <v>1453</v>
      </c>
    </row>
    <row r="4" spans="1:10">
      <c r="B4" t="s">
        <v>689</v>
      </c>
      <c r="C4" s="133" t="str">
        <f t="shared" ref="C4:F16" ca="1" si="0">INDEX(INDIRECT(C$1),MATCH($B4,管理番号,0))</f>
        <v>［販売］GaN/InAlN　layers on 6 inch Si substrate</v>
      </c>
      <c r="D4" s="133" t="str">
        <f t="shared" ca="1" si="0"/>
        <v>中国</v>
      </c>
      <c r="E4" s="133" t="str">
        <f ca="1">INDEX(INDIRECT(E$1),MATCH($B4,管理番号,0))</f>
        <v>W&amp;H Semiconductor Ltd.</v>
      </c>
      <c r="F4" s="133" t="str">
        <f t="shared" ca="1" si="0"/>
        <v>顧客に同じ</v>
      </c>
      <c r="G4" s="8" t="str">
        <f ca="1">IF(I4="","",IFERROR(LOOKUP(1,0/(中間処理シート!AK:AK=包括・特例!I4),中間処理シート!AP:AP),""))</f>
        <v>ＧＢ本</v>
      </c>
      <c r="H4" s="134">
        <f ca="1">ROUND(J4/1000,0)</f>
        <v>1520</v>
      </c>
      <c r="I4" s="133" t="str">
        <f t="shared" ref="I4:J16" ca="1" si="1">INDEX(INDIRECT(I$1),MATCH($B4,管理番号,0))</f>
        <v>ＧＢ営</v>
      </c>
      <c r="J4" s="133">
        <f t="shared" ca="1" si="1"/>
        <v>1520000</v>
      </c>
    </row>
    <row r="5" spans="1:10">
      <c r="B5" t="s">
        <v>692</v>
      </c>
      <c r="C5" s="133" t="str">
        <f t="shared" ca="1" si="0"/>
        <v>［販売］窒化物エピウェハ（6インチ on Si)</v>
      </c>
      <c r="D5" s="133" t="str">
        <f t="shared" ca="1" si="0"/>
        <v>イギリス</v>
      </c>
      <c r="E5" s="133" t="str">
        <f ca="1">INDEX(INDIRECT(E$1),MATCH($B5,管理番号,0))</f>
        <v>University of Cambridge</v>
      </c>
      <c r="F5" s="133" t="str">
        <f t="shared" ca="1" si="0"/>
        <v>University of Sheffield</v>
      </c>
      <c r="G5" s="8" t="str">
        <f ca="1">IF(I5="","",IFERROR(LOOKUP(1,0/(中間処理シート!AK:AK=包括・特例!I5),中間処理シート!AP:AP),""))</f>
        <v>ＧＢ本</v>
      </c>
      <c r="H5" s="134">
        <f t="shared" ref="H5:H31" ca="1" si="2">ROUND(J5/1000,0)</f>
        <v>720</v>
      </c>
      <c r="I5" s="133" t="str">
        <f t="shared" ca="1" si="1"/>
        <v>ＧＢ営</v>
      </c>
      <c r="J5" s="133">
        <f t="shared" ca="1" si="1"/>
        <v>720000</v>
      </c>
    </row>
    <row r="6" spans="1:10">
      <c r="B6" t="s">
        <v>829</v>
      </c>
      <c r="C6" s="133" t="str">
        <f t="shared" ca="1" si="0"/>
        <v>［無償提供］窒化物エピウェハ(6inch AlGaN/GaN HEMT on Si)</v>
      </c>
      <c r="D6" s="133" t="str">
        <f t="shared" ca="1" si="0"/>
        <v>台湾</v>
      </c>
      <c r="E6" s="133" t="str">
        <f t="shared" ca="1" si="0"/>
        <v>TSEL Technology Inc.</v>
      </c>
      <c r="F6" s="133" t="str">
        <f t="shared" ca="1" si="0"/>
        <v>WaveTek Microelectronics Corp.</v>
      </c>
      <c r="G6" s="8" t="str">
        <f ca="1">IF(I6="","",IFERROR(LOOKUP(1,0/(中間処理シート!AK:AK=包括・特例!I6),中間処理シート!AP:AP),""))</f>
        <v>ＧＢ本</v>
      </c>
      <c r="H6" s="134">
        <f t="shared" ca="1" si="2"/>
        <v>648</v>
      </c>
      <c r="I6" s="133" t="str">
        <f t="shared" ca="1" si="1"/>
        <v>ＧＢ営</v>
      </c>
      <c r="J6" s="133">
        <f t="shared" ca="1" si="1"/>
        <v>648000</v>
      </c>
    </row>
    <row r="7" spans="1:10">
      <c r="B7" t="s">
        <v>876</v>
      </c>
      <c r="C7" s="133" t="str">
        <f t="shared" ca="1" si="0"/>
        <v>［販売］窒化物エピタキシャルウェハ(6inch on Si)</v>
      </c>
      <c r="D7" s="133" t="str">
        <f t="shared" ca="1" si="0"/>
        <v>台湾</v>
      </c>
      <c r="E7" s="133" t="str">
        <f t="shared" ca="1" si="0"/>
        <v>TSEL Technology Inc.</v>
      </c>
      <c r="F7" s="133" t="str">
        <f t="shared" ca="1" si="0"/>
        <v>GLC Semiconductor Group (TW) Co.</v>
      </c>
      <c r="G7" s="8" t="str">
        <f ca="1">IF(I7="","",IFERROR(LOOKUP(1,0/(中間処理シート!AK:AK=包括・特例!I7),中間処理シート!AP:AP),""))</f>
        <v>ＧＢ本</v>
      </c>
      <c r="H7" s="134">
        <f t="shared" ca="1" si="2"/>
        <v>1200</v>
      </c>
      <c r="I7" s="133" t="str">
        <f t="shared" ca="1" si="1"/>
        <v>ＧＢ営</v>
      </c>
      <c r="J7" s="133">
        <f t="shared" ca="1" si="1"/>
        <v>1200000</v>
      </c>
    </row>
    <row r="8" spans="1:10">
      <c r="B8" t="s">
        <v>907</v>
      </c>
      <c r="C8" s="133" t="str">
        <f t="shared" ca="1" si="0"/>
        <v>［返却］SiC基板（顧客試料</v>
      </c>
      <c r="D8" s="133" t="str">
        <f t="shared" ca="1" si="0"/>
        <v>中国</v>
      </c>
      <c r="E8" s="133" t="str">
        <f t="shared" ca="1" si="0"/>
        <v>TanKeBlue Semiconductor Co.Ltd.</v>
      </c>
      <c r="F8" s="133" t="str">
        <f t="shared" ca="1" si="0"/>
        <v>顧客に同じ</v>
      </c>
      <c r="G8" s="8" t="str">
        <f ca="1">IF(I8="","",IFERROR(LOOKUP(1,0/(中間処理シート!AK:AK=包括・特例!I8),中間処理シート!AP:AP),""))</f>
        <v>ＧＢ本</v>
      </c>
      <c r="H8" s="134">
        <f t="shared" ca="1" si="2"/>
        <v>0</v>
      </c>
      <c r="I8" s="133" t="str">
        <f t="shared" ca="1" si="1"/>
        <v>ＧＢ営</v>
      </c>
      <c r="J8" s="133">
        <f t="shared" ca="1" si="1"/>
        <v>400</v>
      </c>
    </row>
    <row r="9" spans="1:10">
      <c r="B9" t="s">
        <v>933</v>
      </c>
      <c r="C9" s="133" t="str">
        <f t="shared" ca="1" si="0"/>
        <v>［その他］窒化物エピタキシャルウェハ(6inch, 8inch)</v>
      </c>
      <c r="D9" s="133" t="str">
        <f t="shared" ca="1" si="0"/>
        <v>台湾</v>
      </c>
      <c r="E9" s="133" t="str">
        <f t="shared" ca="1" si="0"/>
        <v xml:space="preserve">GaN Power Technology Corporation </v>
      </c>
      <c r="F9" s="133" t="str">
        <f t="shared" ca="1" si="0"/>
        <v>顧客に同じ</v>
      </c>
      <c r="G9" s="8" t="str">
        <f ca="1">IF(I9="","",IFERROR(LOOKUP(1,0/(中間処理シート!AK:AK=包括・特例!I9),中間処理シート!AP:AP),""))</f>
        <v>ＧＢ本</v>
      </c>
      <c r="H9" s="134">
        <f t="shared" ca="1" si="2"/>
        <v>0</v>
      </c>
      <c r="I9" s="133" t="str">
        <f t="shared" ca="1" si="1"/>
        <v>ＧＢ営</v>
      </c>
      <c r="J9" s="133">
        <f t="shared" ca="1" si="1"/>
        <v>0</v>
      </c>
    </row>
    <row r="10" spans="1:10">
      <c r="B10" t="s">
        <v>953</v>
      </c>
      <c r="C10" s="133" t="str">
        <f t="shared" ca="1" si="0"/>
        <v>［無償提供］窒化物エピタキシャルウェハ（6インチ）</v>
      </c>
      <c r="D10" s="133" t="str">
        <f t="shared" ca="1" si="0"/>
        <v>台湾</v>
      </c>
      <c r="E10" s="133" t="str">
        <f t="shared" ca="1" si="0"/>
        <v>Lextar Electronics Corporation</v>
      </c>
      <c r="F10" s="133" t="str">
        <f t="shared" ca="1" si="0"/>
        <v>顧客に同じ</v>
      </c>
      <c r="G10" s="8" t="str">
        <f ca="1">IF(I10="","",IFERROR(LOOKUP(1,0/(中間処理シート!AK:AK=包括・特例!I10),中間処理シート!AP:AP),""))</f>
        <v>ＧＢ本</v>
      </c>
      <c r="H10" s="134">
        <f t="shared" ca="1" si="2"/>
        <v>0</v>
      </c>
      <c r="I10" s="133" t="str">
        <f t="shared" ca="1" si="1"/>
        <v>ＧＢ営</v>
      </c>
      <c r="J10" s="133">
        <f t="shared" ca="1" si="1"/>
        <v>0</v>
      </c>
    </row>
    <row r="11" spans="1:10">
      <c r="B11" t="s">
        <v>1001</v>
      </c>
      <c r="C11" s="133" t="str">
        <f t="shared" ca="1" si="0"/>
        <v>［無償提供］窒化物エピタキシャルウエハ</v>
      </c>
      <c r="D11" s="133" t="str">
        <f t="shared" ca="1" si="0"/>
        <v>台湾</v>
      </c>
      <c r="E11" s="133" t="str">
        <f t="shared" ca="1" si="0"/>
        <v>Wind semiconductor Ltd.</v>
      </c>
      <c r="F11" s="133" t="str">
        <f t="shared" ca="1" si="0"/>
        <v>National Taiwan University</v>
      </c>
      <c r="G11" s="8" t="str">
        <f ca="1">IF(I11="","",IFERROR(LOOKUP(1,0/(中間処理シート!AK:AK=包括・特例!I11),中間処理シート!AP:AP),""))</f>
        <v>ＧＢ本</v>
      </c>
      <c r="H11" s="134">
        <f t="shared" ca="1" si="2"/>
        <v>0</v>
      </c>
      <c r="I11" s="133" t="str">
        <f t="shared" ca="1" si="1"/>
        <v>ＧＢ営</v>
      </c>
      <c r="J11" s="133">
        <f t="shared" ca="1" si="1"/>
        <v>0</v>
      </c>
    </row>
    <row r="12" spans="1:10">
      <c r="B12" t="s">
        <v>1004</v>
      </c>
      <c r="C12" s="133" t="str">
        <f t="shared" ca="1" si="0"/>
        <v>［販売］窒化物エピタキシャルウェハ</v>
      </c>
      <c r="D12" s="133" t="str">
        <f t="shared" ca="1" si="0"/>
        <v>ロシア</v>
      </c>
      <c r="E12" s="133" t="str">
        <f t="shared" ca="1" si="0"/>
        <v>Progress Research &amp; Production Ltd</v>
      </c>
      <c r="F12" s="133" t="str">
        <f t="shared" ca="1" si="0"/>
        <v xml:space="preserve">National Research University of </v>
      </c>
      <c r="G12" s="8" t="str">
        <f ca="1">IF(I12="","",IFERROR(LOOKUP(1,0/(中間処理シート!AK:AK=包括・特例!I12),中間処理シート!AP:AP),""))</f>
        <v>ＧＢ本</v>
      </c>
      <c r="H12" s="134">
        <f t="shared" ca="1" si="2"/>
        <v>3130</v>
      </c>
      <c r="I12" s="133" t="str">
        <f t="shared" ca="1" si="1"/>
        <v>ＧＢ営</v>
      </c>
      <c r="J12" s="133">
        <f t="shared" ca="1" si="1"/>
        <v>3129750</v>
      </c>
    </row>
    <row r="13" spans="1:10">
      <c r="B13" t="s">
        <v>1006</v>
      </c>
      <c r="C13" s="133" t="str">
        <f t="shared" ca="1" si="0"/>
        <v>［販売］窒化物エピタキシャルウェハ（8インチ）</v>
      </c>
      <c r="D13" s="133" t="str">
        <f t="shared" ca="1" si="0"/>
        <v>ドイツ</v>
      </c>
      <c r="E13" s="133" t="str">
        <f t="shared" ca="1" si="0"/>
        <v>X-FAB Dresden GmbH &amp; Co., KG</v>
      </c>
      <c r="F13" s="133" t="str">
        <f t="shared" ca="1" si="0"/>
        <v>顧客に同じ</v>
      </c>
      <c r="G13" s="8" t="str">
        <f ca="1">IF(I13="","",IFERROR(LOOKUP(1,0/(中間処理シート!AK:AK=包括・特例!I13),中間処理シート!AP:AP),""))</f>
        <v>ＧＢ本</v>
      </c>
      <c r="H13" s="134">
        <f t="shared" ca="1" si="2"/>
        <v>1070</v>
      </c>
      <c r="I13" s="133" t="str">
        <f t="shared" ca="1" si="1"/>
        <v>ＧＢ営</v>
      </c>
      <c r="J13" s="133">
        <f t="shared" ca="1" si="1"/>
        <v>1070000</v>
      </c>
    </row>
    <row r="14" spans="1:10">
      <c r="B14"/>
      <c r="C14" s="133" t="e">
        <f t="shared" ca="1" si="0"/>
        <v>#N/A</v>
      </c>
      <c r="D14" s="133" t="e">
        <f t="shared" ca="1" si="0"/>
        <v>#N/A</v>
      </c>
      <c r="E14" s="133" t="e">
        <f t="shared" ca="1" si="0"/>
        <v>#N/A</v>
      </c>
      <c r="F14" s="133" t="e">
        <f t="shared" ca="1" si="0"/>
        <v>#N/A</v>
      </c>
      <c r="G14" s="8" t="e">
        <f ca="1">IF(I14="","",IFERROR(LOOKUP(1,0/(中間処理シート!AK:AK=包括・特例!I14),中間処理シート!AP:AP),""))</f>
        <v>#N/A</v>
      </c>
      <c r="H14" s="134" t="e">
        <f t="shared" ca="1" si="2"/>
        <v>#N/A</v>
      </c>
      <c r="I14" s="133" t="e">
        <f t="shared" ca="1" si="1"/>
        <v>#N/A</v>
      </c>
      <c r="J14" s="133" t="e">
        <f t="shared" ca="1" si="1"/>
        <v>#N/A</v>
      </c>
    </row>
    <row r="15" spans="1:10">
      <c r="B15"/>
      <c r="C15" s="133" t="e">
        <f t="shared" ca="1" si="0"/>
        <v>#N/A</v>
      </c>
      <c r="D15" s="133" t="e">
        <f t="shared" ca="1" si="0"/>
        <v>#N/A</v>
      </c>
      <c r="E15" s="133" t="e">
        <f t="shared" ca="1" si="0"/>
        <v>#N/A</v>
      </c>
      <c r="F15" s="133" t="e">
        <f t="shared" ca="1" si="0"/>
        <v>#N/A</v>
      </c>
      <c r="G15" s="8" t="e">
        <f ca="1">IF(I15="","",IFERROR(LOOKUP(1,0/(中間処理シート!AK:AK=包括・特例!I15),中間処理シート!AP:AP),""))</f>
        <v>#N/A</v>
      </c>
      <c r="H15" s="134" t="e">
        <f t="shared" ca="1" si="2"/>
        <v>#N/A</v>
      </c>
      <c r="I15" s="133" t="e">
        <f t="shared" ca="1" si="1"/>
        <v>#N/A</v>
      </c>
      <c r="J15" s="133" t="e">
        <f t="shared" ca="1" si="1"/>
        <v>#N/A</v>
      </c>
    </row>
    <row r="16" spans="1:10">
      <c r="B16"/>
      <c r="C16" s="133" t="e">
        <f t="shared" ca="1" si="0"/>
        <v>#N/A</v>
      </c>
      <c r="D16" s="133" t="e">
        <f t="shared" ca="1" si="0"/>
        <v>#N/A</v>
      </c>
      <c r="E16" s="133" t="e">
        <f t="shared" ca="1" si="0"/>
        <v>#N/A</v>
      </c>
      <c r="F16" s="133" t="e">
        <f t="shared" ca="1" si="0"/>
        <v>#N/A</v>
      </c>
      <c r="G16" s="8" t="e">
        <f ca="1">IF(I16="","",IFERROR(LOOKUP(1,0/(中間処理シート!AK:AK=包括・特例!I16),中間処理シート!AP:AP),""))</f>
        <v>#N/A</v>
      </c>
      <c r="H16" s="134" t="e">
        <f t="shared" ca="1" si="2"/>
        <v>#N/A</v>
      </c>
      <c r="I16" s="133" t="e">
        <f t="shared" ca="1" si="1"/>
        <v>#N/A</v>
      </c>
      <c r="J16" s="133" t="e">
        <f t="shared" ca="1" si="1"/>
        <v>#N/A</v>
      </c>
    </row>
    <row r="17" spans="1:10">
      <c r="A17" s="123" t="s">
        <v>1454</v>
      </c>
      <c r="B17" s="123" t="s">
        <v>1454</v>
      </c>
      <c r="G17" s="8" t="str">
        <f>IF(I17="","",IFERROR(LOOKUP(1,0/(中間処理シート!AK:AK=包括・特例!I17),中間処理シート!AP:AP),""))</f>
        <v/>
      </c>
      <c r="J17" s="127"/>
    </row>
    <row r="18" spans="1:10">
      <c r="B18" s="123" t="s">
        <v>700</v>
      </c>
      <c r="C18" s="133" t="str">
        <f t="shared" ref="C18:F31" ca="1" si="3">INDEX(INDIRECT(C$1),MATCH($B18,管理番号,0))</f>
        <v>［販売］GaN wafer on Si with In-situ SiN cap</v>
      </c>
      <c r="D18" s="133" t="str">
        <f t="shared" ca="1" si="3"/>
        <v>韓国</v>
      </c>
      <c r="E18" s="133" t="str">
        <f t="shared" ca="1" si="3"/>
        <v>RFHIC Corporation</v>
      </c>
      <c r="F18" s="133" t="str">
        <f t="shared" ca="1" si="3"/>
        <v>顧客に同じ</v>
      </c>
      <c r="G18" s="8" t="str">
        <f ca="1">IF(I18="","",IFERROR(LOOKUP(1,0/(中間処理シート!AK:AK=包括・特例!I18),中間処理シート!AP:AP),""))</f>
        <v>ＧＢ本</v>
      </c>
      <c r="H18" s="134">
        <f t="shared" ca="1" si="2"/>
        <v>754</v>
      </c>
      <c r="I18" s="133" t="str">
        <f t="shared" ref="I18:J31" ca="1" si="4">INDEX(INDIRECT(I$1),MATCH($B18,管理番号,0))</f>
        <v>ＧＢ営</v>
      </c>
      <c r="J18" s="133">
        <f t="shared" ca="1" si="4"/>
        <v>754180</v>
      </c>
    </row>
    <row r="19" spans="1:10">
      <c r="B19" s="123" t="s">
        <v>790</v>
      </c>
      <c r="C19" s="133" t="str">
        <f t="shared" ca="1" si="3"/>
        <v>［販売］窒化物エピタキシャルウェハ(6inc InAlN HEMT)</v>
      </c>
      <c r="D19" s="133" t="str">
        <f t="shared" ca="1" si="3"/>
        <v>中国</v>
      </c>
      <c r="E19" s="133" t="str">
        <f t="shared" ca="1" si="3"/>
        <v>Wuhan CC Power Technology Co., Ltd.</v>
      </c>
      <c r="F19" s="133" t="str">
        <f t="shared" ca="1" si="3"/>
        <v>Suzhou Nanowin Science and Techn</v>
      </c>
      <c r="G19" s="8" t="str">
        <f ca="1">IF(I19="","",IFERROR(LOOKUP(1,0/(中間処理シート!AK:AK=包括・特例!I19),中間処理シート!AP:AP),""))</f>
        <v>ＧＢ本</v>
      </c>
      <c r="H19" s="134">
        <f t="shared" ca="1" si="2"/>
        <v>780</v>
      </c>
      <c r="I19" s="133" t="str">
        <f t="shared" ca="1" si="4"/>
        <v>ＧＢ営</v>
      </c>
      <c r="J19" s="133">
        <f t="shared" ca="1" si="4"/>
        <v>780000</v>
      </c>
    </row>
    <row r="20" spans="1:10">
      <c r="B20" s="123" t="s">
        <v>835</v>
      </c>
      <c r="C20" s="133" t="str">
        <f t="shared" ca="1" si="3"/>
        <v>［その他］2inch GaN wafer on Sapphire,6 inch GaN</v>
      </c>
      <c r="D20" s="133" t="str">
        <f t="shared" ca="1" si="3"/>
        <v>米国</v>
      </c>
      <c r="E20" s="133" t="str">
        <f t="shared" ca="1" si="3"/>
        <v>University of California Riverside</v>
      </c>
      <c r="F20" s="133" t="str">
        <f t="shared" ca="1" si="3"/>
        <v>顧客に同じ</v>
      </c>
      <c r="G20" s="8" t="str">
        <f ca="1">IF(I20="","",IFERROR(LOOKUP(1,0/(中間処理シート!AK:AK=包括・特例!I20),中間処理シート!AP:AP),""))</f>
        <v>ＧＢ本</v>
      </c>
      <c r="H20" s="134">
        <f t="shared" ca="1" si="2"/>
        <v>106</v>
      </c>
      <c r="I20" s="133" t="str">
        <f t="shared" ca="1" si="4"/>
        <v>ＧＢ営</v>
      </c>
      <c r="J20" s="133">
        <f t="shared" ca="1" si="4"/>
        <v>106130</v>
      </c>
    </row>
    <row r="21" spans="1:10">
      <c r="B21" s="123" t="s">
        <v>840</v>
      </c>
      <c r="C21" s="133" t="str">
        <f t="shared" ca="1" si="3"/>
        <v>［販売］窒化物エピタキシャルウェハ</v>
      </c>
      <c r="D21" s="133" t="str">
        <f t="shared" ca="1" si="3"/>
        <v>オーストラリア</v>
      </c>
      <c r="E21" s="133" t="str">
        <f t="shared" ca="1" si="3"/>
        <v xml:space="preserve">Griffith University </v>
      </c>
      <c r="F21" s="133" t="str">
        <f t="shared" ca="1" si="3"/>
        <v>顧客に同じ</v>
      </c>
      <c r="G21" s="8" t="str">
        <f ca="1">IF(I21="","",IFERROR(LOOKUP(1,0/(中間処理シート!AK:AK=包括・特例!I21),中間処理シート!AP:AP),""))</f>
        <v>ＧＢ本</v>
      </c>
      <c r="H21" s="134">
        <f t="shared" ca="1" si="2"/>
        <v>302</v>
      </c>
      <c r="I21" s="133" t="str">
        <f t="shared" ca="1" si="4"/>
        <v>ＧＢ営</v>
      </c>
      <c r="J21" s="133">
        <f t="shared" ca="1" si="4"/>
        <v>302400</v>
      </c>
    </row>
    <row r="22" spans="1:10">
      <c r="B22" s="123" t="s">
        <v>862</v>
      </c>
      <c r="C22" s="133" t="str">
        <f t="shared" ca="1" si="3"/>
        <v>［販売］窒化物エピタキシャルウェハ(InAlN/GaN HEMT on Si)</v>
      </c>
      <c r="D22" s="133" t="str">
        <f t="shared" ca="1" si="3"/>
        <v>中国</v>
      </c>
      <c r="E22" s="133" t="str">
        <f t="shared" ca="1" si="3"/>
        <v>Wuhan CC Power Technology Co., Ltd.</v>
      </c>
      <c r="F22" s="133" t="str">
        <f t="shared" ca="1" si="3"/>
        <v>Southern University of Science a</v>
      </c>
      <c r="G22" s="8" t="str">
        <f ca="1">IF(I22="","",IFERROR(LOOKUP(1,0/(中間処理シート!AK:AK=包括・特例!I22),中間処理シート!AP:AP),""))</f>
        <v>ＧＢ本</v>
      </c>
      <c r="H22" s="134">
        <f t="shared" ca="1" si="2"/>
        <v>700</v>
      </c>
      <c r="I22" s="133" t="str">
        <f t="shared" ca="1" si="4"/>
        <v>ＧＢ営</v>
      </c>
      <c r="J22" s="133">
        <f t="shared" ca="1" si="4"/>
        <v>700000</v>
      </c>
    </row>
    <row r="23" spans="1:10">
      <c r="B23" s="123" t="s">
        <v>975</v>
      </c>
      <c r="C23" s="133" t="str">
        <f t="shared" ca="1" si="3"/>
        <v>［販売］窒化物エピタキシャルウェハ(4inch InAlN/GaN HEMT on Si</v>
      </c>
      <c r="D23" s="133" t="str">
        <f t="shared" ca="1" si="3"/>
        <v>シンガポール</v>
      </c>
      <c r="E23" s="133" t="str">
        <f t="shared" ca="1" si="3"/>
        <v>Nanyang Technological University</v>
      </c>
      <c r="F23" s="133" t="str">
        <f t="shared" ca="1" si="3"/>
        <v>顧客に同じ</v>
      </c>
      <c r="G23" s="8" t="str">
        <f ca="1">IF(I23="","",IFERROR(LOOKUP(1,0/(中間処理シート!AK:AK=包括・特例!I23),中間処理シート!AP:AP),""))</f>
        <v>ＧＢ本</v>
      </c>
      <c r="H23" s="134">
        <f t="shared" ca="1" si="2"/>
        <v>410</v>
      </c>
      <c r="I23" s="133" t="str">
        <f t="shared" ca="1" si="4"/>
        <v>ＧＢ営</v>
      </c>
      <c r="J23" s="133">
        <f t="shared" ca="1" si="4"/>
        <v>410000</v>
      </c>
    </row>
    <row r="24" spans="1:10">
      <c r="B24" s="123" t="s">
        <v>1048</v>
      </c>
      <c r="C24" s="133" t="str">
        <f t="shared" ca="1" si="3"/>
        <v>［販売］窒化物エピタキシャルウェハ(3inch InAlN/GaN on SiC)</v>
      </c>
      <c r="D24" s="133" t="str">
        <f t="shared" ca="1" si="3"/>
        <v>台湾</v>
      </c>
      <c r="E24" s="133" t="str">
        <f t="shared" ca="1" si="3"/>
        <v>TSEL Technology Inc.</v>
      </c>
      <c r="F24" s="133" t="str">
        <f t="shared" ca="1" si="3"/>
        <v>成功大学</v>
      </c>
      <c r="G24" s="8" t="str">
        <f ca="1">IF(I24="","",IFERROR(LOOKUP(1,0/(中間処理シート!AK:AK=包括・特例!I24),中間処理シート!AP:AP),""))</f>
        <v>ＧＢ本</v>
      </c>
      <c r="H24" s="134">
        <f t="shared" ca="1" si="2"/>
        <v>450</v>
      </c>
      <c r="I24" s="133" t="str">
        <f t="shared" ca="1" si="4"/>
        <v>ＧＢ営</v>
      </c>
      <c r="J24" s="133">
        <f t="shared" ca="1" si="4"/>
        <v>450000</v>
      </c>
    </row>
    <row r="25" spans="1:10">
      <c r="B25" s="123" t="s">
        <v>1455</v>
      </c>
      <c r="C25" s="133" t="e">
        <f t="shared" ca="1" si="3"/>
        <v>#N/A</v>
      </c>
      <c r="D25" s="133" t="e">
        <f t="shared" ca="1" si="3"/>
        <v>#N/A</v>
      </c>
      <c r="E25" s="133" t="e">
        <f t="shared" ca="1" si="3"/>
        <v>#N/A</v>
      </c>
      <c r="F25" s="133" t="e">
        <f t="shared" ca="1" si="3"/>
        <v>#N/A</v>
      </c>
      <c r="G25" s="8" t="e">
        <f ca="1">IF(I25="","",IFERROR(LOOKUP(1,0/(中間処理シート!AK:AK=包括・特例!I25),中間処理シート!AP:AP),""))</f>
        <v>#N/A</v>
      </c>
      <c r="H25" s="134" t="e">
        <f t="shared" ca="1" si="2"/>
        <v>#N/A</v>
      </c>
      <c r="I25" s="133" t="e">
        <f t="shared" ca="1" si="4"/>
        <v>#N/A</v>
      </c>
      <c r="J25" s="133" t="e">
        <f t="shared" ca="1" si="4"/>
        <v>#N/A</v>
      </c>
    </row>
    <row r="26" spans="1:10">
      <c r="B26" s="123" t="s">
        <v>713</v>
      </c>
      <c r="C26" s="133" t="str">
        <f t="shared" ref="C26:F28" ca="1" si="5">INDEX(INDIRECT(C$1),MATCH($B26,管理番号,0))</f>
        <v>［販売］特許調査報告書（検索式で抽出する公開特許一覧リスト）</v>
      </c>
      <c r="D26" s="133" t="str">
        <f t="shared" ca="1" si="5"/>
        <v>日本国内</v>
      </c>
      <c r="E26" s="133" t="str">
        <f t="shared" ca="1" si="5"/>
        <v>ファーウェイ技術日本株式会社</v>
      </c>
      <c r="F26" s="133" t="str">
        <f t="shared" ca="1" si="5"/>
        <v>ファーウェイ本社法人（中国）</v>
      </c>
      <c r="G26" s="8" t="str">
        <f ca="1">IF(I26="","",IFERROR(LOOKUP(1,0/(中間処理シート!AK:AK=包括・特例!I26),中間処理シート!AP:AP),""))</f>
        <v>ＩＰＣ</v>
      </c>
      <c r="H26" s="134">
        <f t="shared" ca="1" si="2"/>
        <v>200</v>
      </c>
      <c r="I26" s="133" t="str">
        <f t="shared" ref="I26:J28" ca="1" si="6">INDEX(INDIRECT(I$1),MATCH($B26,管理番号,0))</f>
        <v>ＩＰＲ</v>
      </c>
      <c r="J26" s="133">
        <f t="shared" ca="1" si="6"/>
        <v>200000</v>
      </c>
    </row>
    <row r="27" spans="1:10">
      <c r="B27" s="123" t="s">
        <v>922</v>
      </c>
      <c r="C27" s="133" t="str">
        <f t="shared" ca="1" si="5"/>
        <v>［その他］WinActor Cast on Call</v>
      </c>
      <c r="D27" s="133" t="str">
        <f t="shared" ca="1" si="5"/>
        <v>顧客審査票の通り</v>
      </c>
      <c r="E27" s="133" t="str">
        <f t="shared" ca="1" si="5"/>
        <v>顧客審査票の通り</v>
      </c>
      <c r="F27" s="133" t="str">
        <f t="shared" ca="1" si="5"/>
        <v>顧客審査票の通り</v>
      </c>
      <c r="G27" s="8" t="str">
        <f ca="1">IF(I27="","",IFERROR(LOOKUP(1,0/(中間処理シート!AK:AK=包括・特例!I27),中間処理シート!AP:AP),""))</f>
        <v>ＡＩ本</v>
      </c>
      <c r="H27" s="134">
        <f t="shared" ca="1" si="2"/>
        <v>0</v>
      </c>
      <c r="I27" s="133" t="str">
        <f t="shared" ca="1" si="6"/>
        <v>ＡＩＤ</v>
      </c>
      <c r="J27" s="133">
        <f t="shared" ca="1" si="6"/>
        <v>0</v>
      </c>
    </row>
    <row r="28" spans="1:10">
      <c r="B28" s="123" t="s">
        <v>1039</v>
      </c>
      <c r="C28" s="133" t="str">
        <f t="shared" ca="1" si="5"/>
        <v>［技術提供］WinActor Cast on Call シナリオ（市販）</v>
      </c>
      <c r="D28" s="133" t="str">
        <f t="shared" ca="1" si="5"/>
        <v>顧客審査票の通り</v>
      </c>
      <c r="E28" s="133" t="str">
        <f t="shared" ca="1" si="5"/>
        <v>顧客審査票の通り</v>
      </c>
      <c r="F28" s="133" t="str">
        <f t="shared" ca="1" si="5"/>
        <v>顧客審査票の通り</v>
      </c>
      <c r="G28" s="8" t="str">
        <f ca="1">IF(I28="","",IFERROR(LOOKUP(1,0/(中間処理シート!AK:AK=包括・特例!I28),中間処理シート!AP:AP),""))</f>
        <v>ＡＩ本</v>
      </c>
      <c r="H28" s="134">
        <f t="shared" ca="1" si="2"/>
        <v>0</v>
      </c>
      <c r="I28" s="133" t="str">
        <f t="shared" ca="1" si="6"/>
        <v>ＡＩＤ</v>
      </c>
      <c r="J28" s="133">
        <f t="shared" ca="1" si="6"/>
        <v>0</v>
      </c>
    </row>
    <row r="29" spans="1:10">
      <c r="C29" s="133" t="e">
        <f t="shared" ca="1" si="3"/>
        <v>#N/A</v>
      </c>
      <c r="D29" s="133" t="e">
        <f t="shared" ca="1" si="3"/>
        <v>#N/A</v>
      </c>
      <c r="E29" s="133" t="e">
        <f t="shared" ca="1" si="3"/>
        <v>#N/A</v>
      </c>
      <c r="F29" s="133" t="e">
        <f t="shared" ca="1" si="3"/>
        <v>#N/A</v>
      </c>
      <c r="G29" s="8" t="e">
        <f ca="1">IF(I29="","",IFERROR(LOOKUP(1,0/(中間処理シート!AK:AK=包括・特例!I29),中間処理シート!AP:AP),""))</f>
        <v>#N/A</v>
      </c>
      <c r="H29" s="134" t="e">
        <f t="shared" ca="1" si="2"/>
        <v>#N/A</v>
      </c>
      <c r="I29" s="133" t="e">
        <f t="shared" ca="1" si="4"/>
        <v>#N/A</v>
      </c>
      <c r="J29" s="133" t="e">
        <f t="shared" ca="1" si="4"/>
        <v>#N/A</v>
      </c>
    </row>
    <row r="30" spans="1:10">
      <c r="C30" s="133" t="e">
        <f t="shared" ca="1" si="3"/>
        <v>#N/A</v>
      </c>
      <c r="D30" s="133" t="e">
        <f t="shared" ca="1" si="3"/>
        <v>#N/A</v>
      </c>
      <c r="E30" s="133" t="e">
        <f t="shared" ca="1" si="3"/>
        <v>#N/A</v>
      </c>
      <c r="F30" s="133" t="e">
        <f t="shared" ca="1" si="3"/>
        <v>#N/A</v>
      </c>
      <c r="G30" s="8" t="e">
        <f ca="1">IF(I30="","",IFERROR(LOOKUP(1,0/(中間処理シート!AK:AK=包括・特例!I30),中間処理シート!AP:AP),""))</f>
        <v>#N/A</v>
      </c>
      <c r="H30" s="134" t="e">
        <f t="shared" ca="1" si="2"/>
        <v>#N/A</v>
      </c>
      <c r="I30" s="133" t="e">
        <f t="shared" ca="1" si="4"/>
        <v>#N/A</v>
      </c>
      <c r="J30" s="133" t="e">
        <f t="shared" ca="1" si="4"/>
        <v>#N/A</v>
      </c>
    </row>
    <row r="31" spans="1:10">
      <c r="C31" s="133" t="e">
        <f t="shared" ca="1" si="3"/>
        <v>#N/A</v>
      </c>
      <c r="D31" s="133" t="e">
        <f t="shared" ca="1" si="3"/>
        <v>#N/A</v>
      </c>
      <c r="E31" s="133" t="e">
        <f t="shared" ca="1" si="3"/>
        <v>#N/A</v>
      </c>
      <c r="F31" s="133" t="e">
        <f t="shared" ca="1" si="3"/>
        <v>#N/A</v>
      </c>
      <c r="G31" s="8" t="e">
        <f ca="1">IF(I31="","",IFERROR(LOOKUP(1,0/(中間処理シート!AK:AK=包括・特例!I31),中間処理シート!AP:AP),""))</f>
        <v>#N/A</v>
      </c>
      <c r="H31" s="134" t="e">
        <f t="shared" ca="1" si="2"/>
        <v>#N/A</v>
      </c>
      <c r="I31" s="133" t="e">
        <f t="shared" ca="1" si="4"/>
        <v>#N/A</v>
      </c>
      <c r="J31" s="133" t="e">
        <f t="shared" ca="1" si="4"/>
        <v>#N/A</v>
      </c>
    </row>
    <row r="32" spans="1:10">
      <c r="A32" s="123" t="s">
        <v>1456</v>
      </c>
      <c r="G32" s="8" t="str">
        <f>IF(I32="","",IFERROR(LOOKUP(1,0/(中間処理シート!AK:AK=包括・特例!I32),中間処理シート!AP:AP),""))</f>
        <v/>
      </c>
    </row>
    <row r="33" spans="3:10">
      <c r="C33" s="133" t="e">
        <f ca="1">INDEX(INDIRECT(C$1),MATCH($B33,管理番号,0))</f>
        <v>#N/A</v>
      </c>
      <c r="D33" s="133" t="e">
        <f ca="1">INDEX(INDIRECT(D$1),MATCH($B33,管理番号,0))</f>
        <v>#N/A</v>
      </c>
      <c r="E33" s="133" t="e">
        <f ca="1">INDEX(INDIRECT(E$1),MATCH($B33,管理番号,0))</f>
        <v>#N/A</v>
      </c>
      <c r="F33" s="135" t="e">
        <f ca="1">INDEX(INDIRECT(F$1),MATCH($B33,管理番号,0))</f>
        <v>#N/A</v>
      </c>
      <c r="G33" s="8" t="e">
        <f ca="1">IF(I33="","",IFERROR(LOOKUP(1,0/(中間処理シート!AK:AK=包括・特例!I33),中間処理シート!AP:AP),""))</f>
        <v>#N/A</v>
      </c>
      <c r="H33" s="134" t="e">
        <f t="shared" ref="H33" ca="1" si="7">J33/1000</f>
        <v>#N/A</v>
      </c>
      <c r="I33" s="133" t="e">
        <f ca="1">INDEX(INDIRECT(I$1),MATCH($B33,管理番号,0))</f>
        <v>#N/A</v>
      </c>
      <c r="J33" s="133" t="e">
        <f ca="1">INDEX(INDIRECT(J$1),MATCH($B33,管理番号,0))</f>
        <v>#N/A</v>
      </c>
    </row>
  </sheetData>
  <phoneticPr fontId="6"/>
  <pageMargins left="0.7" right="0.7" top="0.75" bottom="0.75" header="0.3" footer="0.3"/>
  <pageSetup paperSize="9" orientation="portrait" horizontalDpi="300" verticalDpi="3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9</vt:i4>
      </vt:variant>
      <vt:variant>
        <vt:lpstr>名前付き一覧</vt:lpstr>
      </vt:variant>
      <vt:variant>
        <vt:i4>33</vt:i4>
      </vt:variant>
    </vt:vector>
  </HeadingPairs>
  <TitlesOfParts>
    <vt:vector size="42" baseType="lpstr">
      <vt:lpstr>yushutsu_kobetsu</vt:lpstr>
      <vt:lpstr>中間処理シート</vt:lpstr>
      <vt:lpstr>ダッシュボード</vt:lpstr>
      <vt:lpstr>組織辞書</vt:lpstr>
      <vt:lpstr>仕向地</vt:lpstr>
      <vt:lpstr>組織名称・略称・英文呼称</vt:lpstr>
      <vt:lpstr>審査件数</vt:lpstr>
      <vt:lpstr>別表１～３</vt:lpstr>
      <vt:lpstr>包括・特例</vt:lpstr>
      <vt:lpstr>BU抽出</vt:lpstr>
      <vt:lpstr>組織名称・略称・英文呼称!Print_Area</vt:lpstr>
      <vt:lpstr>組織名称・略称・英文呼称!Print_Titles</vt:lpstr>
      <vt:lpstr>Range_組織辞書</vt:lpstr>
      <vt:lpstr>該当国内取引件数</vt:lpstr>
      <vt:lpstr>管理番号</vt:lpstr>
      <vt:lpstr>期間＿開始</vt:lpstr>
      <vt:lpstr>期間＿終了</vt:lpstr>
      <vt:lpstr>期間の審査件数</vt:lpstr>
      <vt:lpstr>期間の審査数</vt:lpstr>
      <vt:lpstr>金額_円</vt:lpstr>
      <vt:lpstr>区分抽出</vt:lpstr>
      <vt:lpstr>件名</vt:lpstr>
      <vt:lpstr>顧客・契約先</vt:lpstr>
      <vt:lpstr>公知特例適用件数</vt:lpstr>
      <vt:lpstr>最終需要者</vt:lpstr>
      <vt:lpstr>仕向地</vt:lpstr>
      <vt:lpstr>仕向地抽出</vt:lpstr>
      <vt:lpstr>取引集計</vt:lpstr>
      <vt:lpstr>取引集計＿非ゼロ</vt:lpstr>
      <vt:lpstr>集計期間</vt:lpstr>
      <vt:lpstr>集計状況</vt:lpstr>
      <vt:lpstr>集計名例外解決</vt:lpstr>
      <vt:lpstr>少額特例適用件数</vt:lpstr>
      <vt:lpstr>承認記録</vt:lpstr>
      <vt:lpstr>申請者所属</vt:lpstr>
      <vt:lpstr>組織</vt:lpstr>
      <vt:lpstr>組織集計</vt:lpstr>
      <vt:lpstr>組織集計＿非ゼロ</vt:lpstr>
      <vt:lpstr>特例抽出</vt:lpstr>
      <vt:lpstr>非許可特例抽出</vt:lpstr>
      <vt:lpstr>包括許可適用件数</vt:lpstr>
      <vt:lpstr>包括抽出</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Takashi Aoki</dc:creator>
  <cp:lastModifiedBy>lumia.630 aokit</cp:lastModifiedBy>
  <dcterms:created xsi:type="dcterms:W3CDTF">2020-10-19T15:06:48Z</dcterms:created>
  <dcterms:modified xsi:type="dcterms:W3CDTF">2020-11-01T08:13:59Z</dcterms:modified>
</cp:coreProperties>
</file>