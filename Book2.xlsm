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FBEF6E41-C35B-4793-B265-BCC48DA4C1F5}" xr6:coauthVersionLast="45" xr6:coauthVersionMax="45" xr10:uidLastSave="{00000000-0000-0000-0000-000000000000}"/>
  <bookViews>
    <workbookView xWindow="1005" yWindow="90" windowWidth="23400" windowHeight="11250" activeTab="2" xr2:uid="{00000000-000D-0000-FFFF-FFFF00000000}"/>
  </bookViews>
  <sheets>
    <sheet name="yushutsu_kobetsu" sheetId="2" r:id="rId1"/>
    <sheet name="中間処理シート" sheetId="3" r:id="rId2"/>
    <sheet name="ダッシュボード" sheetId="11" r:id="rId3"/>
    <sheet name="組織略称"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組織略称!$D$2:$R$22</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103" i="3"/>
  <c r="AL58" i="3"/>
  <c r="AL57" i="3"/>
  <c r="AL127" i="3"/>
  <c r="AL11" i="3"/>
  <c r="AL128" i="3"/>
  <c r="AL69" i="3"/>
  <c r="AL38" i="3"/>
  <c r="AL29" i="3"/>
  <c r="AL112" i="3"/>
  <c r="AL83" i="3"/>
  <c r="AL63" i="3"/>
  <c r="AL19" i="3"/>
  <c r="AL101" i="3"/>
  <c r="AL74" i="3"/>
  <c r="AL118" i="3"/>
  <c r="AL27" i="3"/>
  <c r="AL66" i="3"/>
  <c r="AL23" i="3"/>
  <c r="AL116" i="3"/>
  <c r="AL124" i="3"/>
  <c r="AL99" i="3"/>
  <c r="AL26" i="3"/>
  <c r="AL79" i="3"/>
  <c r="AL64" i="3"/>
  <c r="AL115" i="3"/>
  <c r="AL25" i="3"/>
  <c r="AL12" i="3"/>
  <c r="AL45" i="3"/>
  <c r="AL75" i="3"/>
  <c r="AL111" i="3"/>
  <c r="AL119" i="3"/>
  <c r="AL54" i="3"/>
  <c r="AL107" i="3"/>
  <c r="AL114" i="3"/>
  <c r="AL32" i="3"/>
  <c r="AL50" i="3"/>
  <c r="AL51" i="3"/>
  <c r="AL126" i="3"/>
  <c r="AL130" i="3"/>
  <c r="AL84" i="3"/>
  <c r="AL85" i="3"/>
  <c r="AL10" i="3"/>
  <c r="AL86" i="3"/>
  <c r="AL39" i="3"/>
  <c r="AL110" i="3"/>
  <c r="AL121" i="3"/>
  <c r="AL95" i="3"/>
  <c r="AL53" i="3"/>
  <c r="AL37" i="3"/>
  <c r="AL28" i="3"/>
  <c r="AL117" i="3"/>
  <c r="AL7" i="3"/>
  <c r="AL93" i="3"/>
  <c r="AL67" i="3"/>
  <c r="AL76" i="3"/>
  <c r="AL87" i="3"/>
  <c r="AL97" i="3"/>
  <c r="AL20" i="3"/>
  <c r="AL113" i="3"/>
  <c r="AL91" i="3"/>
  <c r="AL134" i="3"/>
  <c r="AL73" i="3"/>
  <c r="AL90" i="3"/>
  <c r="AL48" i="3"/>
  <c r="AL46" i="3"/>
  <c r="AL129" i="3"/>
  <c r="AL41" i="3"/>
  <c r="AL35" i="3"/>
  <c r="AL13" i="3"/>
  <c r="AL77" i="3"/>
  <c r="AL80" i="3"/>
  <c r="AL16" i="3"/>
  <c r="AL70" i="3"/>
  <c r="AL15" i="3"/>
  <c r="AL100" i="3"/>
  <c r="AL98" i="3"/>
  <c r="AL62" i="3"/>
  <c r="AL92" i="3"/>
  <c r="AL61" i="3"/>
  <c r="AL105" i="3"/>
  <c r="AL8" i="3"/>
  <c r="AL71" i="3"/>
  <c r="AL88" i="3"/>
  <c r="AL44" i="3"/>
  <c r="AL78" i="3"/>
  <c r="AL60" i="3"/>
  <c r="AL52" i="3"/>
  <c r="AL36" i="3"/>
  <c r="AL96" i="3"/>
  <c r="AL123" i="3"/>
  <c r="AL30" i="3"/>
  <c r="AL106" i="3"/>
  <c r="AL109" i="3"/>
  <c r="AL9" i="3"/>
  <c r="AL40" i="3"/>
  <c r="AL18" i="3"/>
  <c r="AL59" i="3"/>
  <c r="AL6" i="3"/>
  <c r="AL131" i="3"/>
  <c r="AL81" i="3"/>
  <c r="AL72" i="3"/>
  <c r="AL43" i="3"/>
  <c r="AL82" i="3"/>
  <c r="AL42" i="3"/>
  <c r="AL94" i="3"/>
  <c r="AL24" i="3"/>
  <c r="AL22" i="3"/>
  <c r="AL120" i="3"/>
  <c r="AL33" i="3"/>
  <c r="AL122" i="3"/>
  <c r="AL14" i="3"/>
  <c r="AL55" i="3"/>
  <c r="AL135" i="3"/>
  <c r="AL104" i="3"/>
  <c r="AL49" i="3"/>
  <c r="AL56" i="3"/>
  <c r="AL34" i="3"/>
  <c r="AL102" i="3"/>
  <c r="AL132" i="3"/>
  <c r="AL65" i="3"/>
  <c r="AL89" i="3"/>
  <c r="AL17" i="3"/>
  <c r="AL108" i="3"/>
  <c r="AL133" i="3"/>
  <c r="AL47" i="3"/>
  <c r="AL68" i="3"/>
  <c r="AL21" i="3"/>
  <c r="AL125" i="3"/>
  <c r="AL31"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C33" i="9"/>
  <c r="E14" i="9"/>
  <c r="I7" i="9"/>
  <c r="D25" i="9"/>
  <c r="F28" i="9"/>
  <c r="J26" i="9"/>
  <c r="J25" i="9"/>
  <c r="D24" i="9"/>
  <c r="J23" i="9"/>
  <c r="F10" i="9"/>
  <c r="A17" i="3"/>
  <c r="D6" i="9"/>
  <c r="D4" i="9"/>
  <c r="D18" i="9"/>
  <c r="I5" i="9"/>
  <c r="C16" i="9"/>
  <c r="C12" i="9"/>
  <c r="E9" i="9"/>
  <c r="J9" i="9"/>
  <c r="D13" i="9"/>
  <c r="C9" i="9"/>
  <c r="F27" i="9"/>
  <c r="I6" i="9"/>
  <c r="C15" i="9"/>
  <c r="I9" i="9"/>
  <c r="J24" i="9"/>
  <c r="D26" i="9"/>
  <c r="C4" i="9"/>
  <c r="I30" i="9"/>
  <c r="E30" i="9"/>
  <c r="F9" i="9"/>
  <c r="J7" i="9"/>
  <c r="D19" i="9"/>
  <c r="C22" i="9"/>
  <c r="E21" i="9"/>
  <c r="F13" i="9"/>
  <c r="E6" i="9"/>
  <c r="E5" i="9"/>
  <c r="C5" i="9"/>
  <c r="I22" i="9"/>
  <c r="F31" i="9"/>
  <c r="J5" i="9"/>
  <c r="E26" i="9"/>
  <c r="I18" i="9"/>
  <c r="J6" i="9"/>
  <c r="C28" i="9"/>
  <c r="J28" i="9"/>
  <c r="D7" i="9"/>
  <c r="J15" i="9"/>
  <c r="I8" i="9"/>
  <c r="D28" i="9"/>
  <c r="F12" i="9"/>
  <c r="I27" i="9"/>
  <c r="F11" i="9"/>
  <c r="E18" i="9"/>
  <c r="I25" i="9"/>
  <c r="I28" i="9"/>
  <c r="A20" i="3"/>
  <c r="E27" i="9"/>
  <c r="I21" i="9"/>
  <c r="I15" i="9"/>
  <c r="C8" i="9"/>
  <c r="C14" i="9"/>
  <c r="F15" i="9"/>
  <c r="D23" i="9"/>
  <c r="I33" i="9"/>
  <c r="E22" i="9"/>
  <c r="J22" i="9"/>
  <c r="E33" i="9"/>
  <c r="F25" i="9"/>
  <c r="F8" i="9"/>
  <c r="E13" i="9"/>
  <c r="C27" i="9"/>
  <c r="F33" i="9"/>
  <c r="I24" i="9"/>
  <c r="J27" i="9"/>
  <c r="E12" i="9"/>
  <c r="F24" i="9"/>
  <c r="E25" i="9"/>
  <c r="F18" i="9"/>
  <c r="I16" i="9"/>
  <c r="C18" i="9"/>
  <c r="E8" i="9"/>
  <c r="I11" i="9"/>
  <c r="I10" i="9"/>
  <c r="I31" i="9"/>
  <c r="J31" i="9"/>
  <c r="D21" i="9"/>
  <c r="C19" i="9"/>
  <c r="F7" i="9"/>
  <c r="J29" i="9"/>
  <c r="D12" i="9"/>
  <c r="F19" i="9"/>
  <c r="D11" i="9"/>
  <c r="C20" i="9"/>
  <c r="E19" i="9"/>
  <c r="J11" i="9"/>
  <c r="J13" i="9"/>
  <c r="D30" i="9"/>
  <c r="C31" i="9"/>
  <c r="C21" i="9"/>
  <c r="E23" i="9"/>
  <c r="J19" i="9"/>
  <c r="I13" i="9"/>
  <c r="J30" i="9"/>
  <c r="I20" i="9"/>
  <c r="E24" i="9"/>
  <c r="F23" i="9"/>
  <c r="I23" i="9"/>
  <c r="I19" i="9"/>
  <c r="E16" i="9"/>
  <c r="F29" i="9"/>
  <c r="E15" i="9"/>
  <c r="C24" i="9"/>
  <c r="F6" i="9"/>
  <c r="F5" i="9"/>
  <c r="F30" i="9"/>
  <c r="E29" i="9"/>
  <c r="J21" i="9"/>
  <c r="I26" i="9"/>
  <c r="D29" i="9"/>
  <c r="E28" i="9"/>
  <c r="C7" i="9"/>
  <c r="D15" i="9"/>
  <c r="D20" i="9"/>
  <c r="C26" i="9"/>
  <c r="E4" i="9"/>
  <c r="E20" i="9"/>
  <c r="I29" i="9"/>
  <c r="A14" i="3"/>
  <c r="J33" i="9"/>
  <c r="J8" i="9"/>
  <c r="C10" i="9"/>
  <c r="F14" i="9"/>
  <c r="J10" i="9"/>
  <c r="C30" i="9"/>
  <c r="F21" i="9"/>
  <c r="I14" i="9"/>
  <c r="D9" i="9"/>
  <c r="C25" i="9"/>
  <c r="J20" i="9"/>
  <c r="E31" i="9"/>
  <c r="J16" i="9"/>
  <c r="C6" i="9"/>
  <c r="J12" i="9"/>
  <c r="D22" i="9"/>
  <c r="D33" i="9"/>
  <c r="D16" i="9"/>
  <c r="J18" i="9"/>
  <c r="I4" i="9"/>
  <c r="D10" i="9"/>
  <c r="C11" i="9"/>
  <c r="E7" i="9"/>
  <c r="I12" i="9"/>
  <c r="E11" i="9"/>
  <c r="F16" i="9"/>
  <c r="F4" i="9"/>
  <c r="D31" i="9"/>
  <c r="C23" i="9"/>
  <c r="D8" i="9"/>
  <c r="C13" i="9"/>
  <c r="F20" i="9"/>
  <c r="D5" i="9"/>
  <c r="D27" i="9"/>
  <c r="J4" i="9"/>
  <c r="F26" i="9"/>
  <c r="J14" i="9"/>
  <c r="F22" i="9"/>
  <c r="E10" i="9"/>
  <c r="D14" i="9"/>
  <c r="C29"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Q17" i="3" s="1"/>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P19" i="3"/>
  <c r="Q7" i="3"/>
  <c r="P7" i="3"/>
  <c r="Q26" i="3"/>
  <c r="P17" i="3"/>
  <c r="Q24" i="3"/>
  <c r="G15" i="6"/>
  <c r="B3" i="6" l="1"/>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10" i="6" l="1"/>
  <c r="D10" i="6"/>
  <c r="C3" i="6"/>
  <c r="C26" i="6"/>
  <c r="D3" i="6"/>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12D51E88-885D-4298-8FD1-84D9F98B59C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組織集計の表の値の領域（集計名と、年間登録の件数と、個別審査の件数：初期化で設定される）</t>
        </r>
      </text>
    </comment>
    <comment ref="A12"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 ref="A16" authorId="0" shapeId="0" xr:uid="{5D0D6EFA-4B96-4426-88B4-FA26722EC90B}">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<sst xmlns="http://schemas.openxmlformats.org/spreadsheetml/2006/main" count="5483" uniqueCount="1573">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</sst>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80">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28576</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4C21D126-C5C8-4169-83F7-546C54EC451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topLeftCell="A4" workbookViewId="0">
      <selection activeCell="T1" sqref="T1: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旧 ＧＢ光</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旧 ＧＢＥ</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旧 ＧＢ営</v>
      </c>
      <c r="G4" s="8" t="str">
        <f>IF(ISBLANK(E4),"",IF(COUNTIF(AK:AK,"="&amp;E4)&gt;0,"",MAX(G$1:G3)+1))</f>
        <v/>
      </c>
      <c r="H4" s="8">
        <f t="shared" ref="H4:H67" si="8">IF(E4="","",COUNTIF(B:B,E4))</f>
        <v>44</v>
      </c>
      <c r="J4" s="19" t="str">
        <f t="shared" ref="J4:J42" si="9">AN6</f>
        <v/>
      </c>
      <c r="K4" s="19" t="str">
        <f>IF(J4="","",SUMIF(F:F,"="&amp;J4,H:H))</f>
        <v/>
      </c>
      <c r="L4">
        <v>3</v>
      </c>
      <c r="M4" s="8" t="str">
        <f>IF(J4="","",(SUM(K4:L4)&gt;0))</f>
        <v/>
      </c>
      <c r="N4" s="8" t="str">
        <f>IF(J4="","",IF(M4,COUNTIF(M$4:M4,TRUE),0))</f>
        <v/>
      </c>
      <c r="O4" s="8" t="str">
        <f>IFERROR(LOOKUP(1,0/(N$4:N$40=ROW()-ROW(O$3)),J$4:J$40),"")</f>
        <v/>
      </c>
      <c r="P4" s="8" t="str">
        <f>IF(O4="","",IFERROR(LOOKUP(1,0/(J$4:J$40=O4),K$4:K$40),""))</f>
        <v/>
      </c>
      <c r="Q4" s="8" t="str">
        <f>IF(O4="","",IFERROR(LOOKUP(1,0/(J$4:J$40=O4),L$4:L$40),""))</f>
        <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旧 ＧＢＳ</v>
      </c>
      <c r="G5" s="8" t="str">
        <f>IF(ISBLANK(E5),"",IF(COUNTIF(AK:AK,"="&amp;E5)&gt;0,"",MAX(G$1:G4)+1))</f>
        <v/>
      </c>
      <c r="H5" s="8">
        <f t="shared" si="8"/>
        <v>5</v>
      </c>
      <c r="J5" s="19" t="str">
        <f t="shared" si="9"/>
        <v/>
      </c>
      <c r="K5" s="19" t="str">
        <f t="shared" ref="K5:K40" si="12">IF(J5="","",SUMIF(F:F,"="&amp;J5,H:H))</f>
        <v/>
      </c>
      <c r="M5" s="8" t="str">
        <f t="shared" ref="M5:M40" si="13">IF(J5="","",(SUM(K5:L5)&gt;0))</f>
        <v/>
      </c>
      <c r="N5" s="8" t="str">
        <f>IF(J5="","",IF(M5,COUNTIF(M$4:M5,TRUE),0))</f>
        <v/>
      </c>
      <c r="O5" s="8" t="str">
        <f t="shared" ref="O5:O26" si="14">IFERROR(LOOKUP(1,0/(N$4:N$40=ROW()-ROW(O$3)),J$4:J$40),"")</f>
        <v/>
      </c>
      <c r="P5" s="8" t="str">
        <f t="shared" ref="P5:P26" si="15">IF(O5="","",IFERROR(LOOKUP(1,0/(J$4:J$40=O5),K$4:K$40),""))</f>
        <v/>
      </c>
      <c r="Q5" s="8" t="str">
        <f t="shared" ref="Q5:Q26" si="16">IF(O5="","",IFERROR(LOOKUP(1,0/(J$4:J$40=O5),L$4:L$40),""))</f>
        <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旧 ＩＰＲ</v>
      </c>
      <c r="G6" s="8" t="str">
        <f>IF(ISBLANK(E6),"",IF(COUNTIF(AK:AK,"="&amp;E6)&gt;0,"",MAX(G$1:G5)+1))</f>
        <v/>
      </c>
      <c r="H6" s="8">
        <f t="shared" si="8"/>
        <v>1</v>
      </c>
      <c r="J6" s="19" t="str">
        <f t="shared" si="9"/>
        <v/>
      </c>
      <c r="K6" s="19" t="str">
        <f t="shared" si="12"/>
        <v/>
      </c>
      <c r="L6">
        <v>74</v>
      </c>
      <c r="M6" s="8" t="str">
        <f t="shared" si="13"/>
        <v/>
      </c>
      <c r="N6" s="8" t="str">
        <f>IF(J6="","",IF(M6,COUNTIF(M$4:M6,TRUE),0))</f>
        <v/>
      </c>
      <c r="O6" s="8" t="str">
        <f t="shared" si="14"/>
        <v/>
      </c>
      <c r="P6" s="8" t="str">
        <f t="shared" si="15"/>
        <v/>
      </c>
      <c r="Q6" s="8" t="str">
        <f t="shared" si="16"/>
        <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t="e">
        <f>IF(セルの固定色(AK6)=セルの固定色(AK$6),1,"")</f>
        <v>#VALUE!</v>
      </c>
      <c r="AM6" s="14" t="e">
        <f>IF(OR(ISBLANK(AL6),AL6=""),"",COUNTIF(AL$6:AL6,"&gt;0"))</f>
        <v>#VALUE!</v>
      </c>
      <c r="AN6" s="14" t="str">
        <f t="shared" ref="AN6:AN44" si="17">IFERROR(LOOKUP(1,0/(AM:AM=ROW()-ROW(AN$5)),AK:AK),IFERROR(LOOKUP(1,0/(G:G=AO6),F:F),""))</f>
        <v/>
      </c>
      <c r="AO6" s="14" t="e">
        <f t="shared" ref="AO6:AO44" si="18">-(MAX(AM:AM)-ROW()+ROW(AO$6)-1)</f>
        <v>#VALUE!</v>
      </c>
      <c r="AP6" s="14" t="e">
        <f>IF(ISBLANK(AK6),"",LOOKUP(1,0/(AM$6:AM6=MAX(AM$6:AM6)),AK$6:AK6))</f>
        <v>#VALUE!</v>
      </c>
      <c r="AR6" t="s">
        <v>907</v>
      </c>
      <c r="AS6" t="s">
        <v>840</v>
      </c>
    </row>
    <row r="7" spans="1:47">
      <c r="A7" s="11">
        <f>COLUMN(B1)</f>
        <v>2</v>
      </c>
      <c r="B7" t="s">
        <v>47</v>
      </c>
      <c r="C7" s="8" t="b">
        <f>IF(B7="","",COUNTIF(B$1:B6,B7)=0)</f>
        <v>0</v>
      </c>
      <c r="D7" s="8" t="str">
        <f>IF(B7="","",IF(C7,COUNTIF(C$2:C7,TRUE),""))</f>
        <v/>
      </c>
      <c r="E7" s="8" t="str">
        <f t="shared" si="0"/>
        <v>Ｇ推進</v>
      </c>
      <c r="F7" s="8" t="str">
        <f t="shared" si="1"/>
        <v>旧 Ｇ推進</v>
      </c>
      <c r="G7" s="8" t="str">
        <f>IF(ISBLANK(E7),"",IF(COUNTIF(AK:AK,"="&amp;E7)&gt;0,"",MAX(G$1:G6)+1))</f>
        <v/>
      </c>
      <c r="H7" s="8">
        <f t="shared" si="8"/>
        <v>5</v>
      </c>
      <c r="J7" s="19" t="str">
        <f t="shared" si="9"/>
        <v/>
      </c>
      <c r="K7" s="19" t="str">
        <f t="shared" si="12"/>
        <v/>
      </c>
      <c r="L7">
        <v>4</v>
      </c>
      <c r="M7" s="8" t="str">
        <f t="shared" si="13"/>
        <v/>
      </c>
      <c r="N7" s="8" t="str">
        <f>IF(J7="","",IF(M7,COUNTIF(M$4:M7,TRUE),0))</f>
        <v/>
      </c>
      <c r="O7" s="8" t="str">
        <f t="shared" si="14"/>
        <v/>
      </c>
      <c r="P7" s="8" t="str">
        <f t="shared" si="15"/>
        <v/>
      </c>
      <c r="Q7" s="8" t="str">
        <f t="shared" si="16"/>
        <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e">
        <f>IF(セルの固定色(AK7)=セルの固定色(AK$6),1,"")</f>
        <v>#VALUE!</v>
      </c>
      <c r="AM7" s="14" t="e">
        <f>IF(OR(ISBLANK(AL7),AL7=""),"",COUNTIF(AL$6:AL7,"&gt;0"))</f>
        <v>#VALUE!</v>
      </c>
      <c r="AN7" s="14" t="str">
        <f t="shared" si="17"/>
        <v/>
      </c>
      <c r="AO7" s="14" t="e">
        <f t="shared" si="18"/>
        <v>#VALUE!</v>
      </c>
      <c r="AP7" s="14" t="e">
        <f>IF(ISBLANK(AK7),"",LOOKUP(1,0/(AM$6:AM7=MAX(AM$6:AM7)),AK$6:AK7))</f>
        <v>#N/A</v>
      </c>
      <c r="AR7" t="s">
        <v>933</v>
      </c>
      <c r="AS7" t="s">
        <v>862</v>
      </c>
    </row>
    <row r="8" spans="1:47">
      <c r="A8" s="20" t="s">
        <v>1080</v>
      </c>
      <c r="B8" t="s">
        <v>47</v>
      </c>
      <c r="C8" s="8" t="b">
        <f>IF(B8="","",COUNTIF(B$1:B7,B8)=0)</f>
        <v>0</v>
      </c>
      <c r="D8" s="8" t="str">
        <f>IF(B8="","",IF(C8,COUNTIF(C$2:C8,TRUE),""))</f>
        <v/>
      </c>
      <c r="E8" s="8" t="str">
        <f t="shared" si="0"/>
        <v>セ事Ｉ</v>
      </c>
      <c r="F8" s="8" t="str">
        <f t="shared" si="1"/>
        <v>旧 セ事Ｉ</v>
      </c>
      <c r="G8" s="8" t="str">
        <f>IF(ISBLANK(E8),"",IF(COUNTIF(AK:AK,"="&amp;E8)&gt;0,"",MAX(G$1:G7)+1))</f>
        <v/>
      </c>
      <c r="H8" s="8">
        <f t="shared" si="8"/>
        <v>3</v>
      </c>
      <c r="J8" s="19" t="str">
        <f t="shared" si="9"/>
        <v/>
      </c>
      <c r="K8" s="19" t="str">
        <f t="shared" si="12"/>
        <v/>
      </c>
      <c r="L8">
        <v>1</v>
      </c>
      <c r="M8" s="8" t="str">
        <f t="shared" si="13"/>
        <v/>
      </c>
      <c r="N8" s="8" t="str">
        <f>IF(J8="","",IF(M8,COUNTIF(M$4:M8,TRUE),0))</f>
        <v/>
      </c>
      <c r="O8" s="8" t="str">
        <f t="shared" si="14"/>
        <v/>
      </c>
      <c r="P8" s="8" t="str">
        <f t="shared" si="15"/>
        <v/>
      </c>
      <c r="Q8" s="8" t="str">
        <f t="shared" si="16"/>
        <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e">
        <f>IF(セルの固定色(AK8)=セルの固定色(AK$6),1,"")</f>
        <v>#VALUE!</v>
      </c>
      <c r="AM8" s="14" t="e">
        <f>IF(OR(ISBLANK(AL8),AL8=""),"",COUNTIF(AL$6:AL8,"&gt;0"))</f>
        <v>#VALUE!</v>
      </c>
      <c r="AN8" s="14" t="str">
        <f t="shared" si="17"/>
        <v/>
      </c>
      <c r="AO8" s="14" t="e">
        <f t="shared" si="18"/>
        <v>#VALUE!</v>
      </c>
      <c r="AP8" s="14" t="e">
        <f>IF(ISBLANK(AK8),"",LOOKUP(1,0/(AM$6:AM8=MAX(AM$6:AM8)),AK$6:AK8))</f>
        <v>#N/A</v>
      </c>
      <c r="AR8" t="s">
        <v>953</v>
      </c>
      <c r="AS8" t="s">
        <v>922</v>
      </c>
    </row>
    <row r="9" spans="1:47">
      <c r="A9" s="11">
        <f>COLUMN(S1)</f>
        <v>19</v>
      </c>
      <c r="B9" t="s">
        <v>101</v>
      </c>
      <c r="C9" s="8" t="b">
        <f>IF(B9="","",COUNTIF(B$1:B8,B9)=0)</f>
        <v>1</v>
      </c>
      <c r="D9" s="8">
        <f>IF(B9="","",IF(C9,COUNTIF(C$2:C9,TRUE),""))</f>
        <v>4</v>
      </c>
      <c r="E9" s="8" t="str">
        <f t="shared" si="0"/>
        <v>ＧＢ環</v>
      </c>
      <c r="F9" s="8" t="str">
        <f t="shared" si="1"/>
        <v>旧 ＧＢ環</v>
      </c>
      <c r="G9" s="8" t="str">
        <f>IF(ISBLANK(E9),"",IF(COUNTIF(AK:AK,"="&amp;E9)&gt;0,"",MAX(G$1:G8)+1))</f>
        <v/>
      </c>
      <c r="H9" s="8">
        <f t="shared" si="8"/>
        <v>8</v>
      </c>
      <c r="J9" s="19" t="str">
        <f t="shared" si="9"/>
        <v/>
      </c>
      <c r="K9" s="19" t="str">
        <f t="shared" si="12"/>
        <v/>
      </c>
      <c r="M9" s="8" t="str">
        <f t="shared" si="13"/>
        <v/>
      </c>
      <c r="N9" s="8" t="str">
        <f>IF(J9="","",IF(M9,COUNTIF(M$4:M9,TRUE),0))</f>
        <v/>
      </c>
      <c r="O9" s="8" t="str">
        <f t="shared" si="14"/>
        <v/>
      </c>
      <c r="P9" s="8" t="str">
        <f t="shared" si="15"/>
        <v/>
      </c>
      <c r="Q9" s="8" t="str">
        <f t="shared" si="16"/>
        <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e">
        <f>IF(セルの固定色(AK9)=セルの固定色(AK$6),1,"")</f>
        <v>#VALUE!</v>
      </c>
      <c r="AM9" s="14" t="e">
        <f>IF(OR(ISBLANK(AL9),AL9=""),"",COUNTIF(AL$6:AL9,"&gt;0"))</f>
        <v>#VALUE!</v>
      </c>
      <c r="AN9" s="14" t="str">
        <f t="shared" si="17"/>
        <v/>
      </c>
      <c r="AO9" s="14" t="e">
        <f t="shared" si="18"/>
        <v>#VALUE!</v>
      </c>
      <c r="AP9" s="14" t="e">
        <f>IF(ISBLANK(AK9),"",LOOKUP(1,0/(AM$6:AM9=MAX(AM$6:AM9)),AK$6:AK9))</f>
        <v>#N/A</v>
      </c>
      <c r="AR9" t="s">
        <v>1001</v>
      </c>
      <c r="AS9" t="s">
        <v>975</v>
      </c>
    </row>
    <row r="10" spans="1:47">
      <c r="A10" s="20" t="s">
        <v>1083</v>
      </c>
      <c r="B10" t="s">
        <v>1461</v>
      </c>
      <c r="C10" s="8" t="b">
        <f>IF(B10="","",COUNTIF(B$1:B9,B10)=0)</f>
        <v>1</v>
      </c>
      <c r="D10" s="8">
        <f>IF(B10="","",IF(C10,COUNTIF(C$2:C10,TRUE),""))</f>
        <v>5</v>
      </c>
      <c r="E10" s="8" t="str">
        <f t="shared" si="0"/>
        <v>ＡＩＲ</v>
      </c>
      <c r="F10" s="8" t="str">
        <f t="shared" si="1"/>
        <v>旧 ＡＩＲ</v>
      </c>
      <c r="G10" s="8" t="str">
        <f>IF(ISBLANK(E10),"",IF(COUNTIF(AK:AK,"="&amp;E10)&gt;0,"",MAX(G$1:G9)+1))</f>
        <v/>
      </c>
      <c r="H10" s="8">
        <f t="shared" si="8"/>
        <v>1</v>
      </c>
      <c r="J10" s="19" t="str">
        <f t="shared" si="9"/>
        <v/>
      </c>
      <c r="K10" s="19" t="str">
        <f t="shared" si="12"/>
        <v/>
      </c>
      <c r="M10" s="8" t="str">
        <f t="shared" si="13"/>
        <v/>
      </c>
      <c r="N10" s="8" t="str">
        <f>IF(J10="","",IF(M10,COUNTIF(M$4:M10,TRUE),0))</f>
        <v/>
      </c>
      <c r="O10" s="8" t="str">
        <f t="shared" si="14"/>
        <v/>
      </c>
      <c r="P10" s="8" t="str">
        <f t="shared" si="15"/>
        <v/>
      </c>
      <c r="Q10" s="8" t="str">
        <f t="shared" si="16"/>
        <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e">
        <f>IF(セルの固定色(AK10)=セルの固定色(AK$6),1,"")</f>
        <v>#VALUE!</v>
      </c>
      <c r="AM10" s="14" t="e">
        <f>IF(OR(ISBLANK(AL10),AL10=""),"",COUNTIF(AL$6:AL10,"&gt;0"))</f>
        <v>#VALUE!</v>
      </c>
      <c r="AN10" s="14" t="str">
        <f t="shared" si="17"/>
        <v/>
      </c>
      <c r="AO10" s="14" t="e">
        <f t="shared" si="18"/>
        <v>#VALUE!</v>
      </c>
      <c r="AP10" s="14" t="e">
        <f>IF(ISBLANK(AK10),"",LOOKUP(1,0/(AM$6:AM10=MAX(AM$6:AM10)),AK$6:AK10))</f>
        <v>#N/A</v>
      </c>
      <c r="AR10" t="s">
        <v>1004</v>
      </c>
      <c r="AS10" t="s">
        <v>1039</v>
      </c>
    </row>
    <row r="11" spans="1:47">
      <c r="A11" s="11">
        <f>COLUMN(Z1)</f>
        <v>26</v>
      </c>
      <c r="B11" t="s">
        <v>139</v>
      </c>
      <c r="C11" s="8" t="b">
        <f>IF(B11="","",COUNTIF(B$1:B10,B11)=0)</f>
        <v>1</v>
      </c>
      <c r="D11" s="8">
        <f>IF(B11="","",IF(C11,COUNTIF(C$2:C11,TRUE),""))</f>
        <v>6</v>
      </c>
      <c r="E11" s="8" t="str">
        <f t="shared" si="0"/>
        <v>ＡＩＤ</v>
      </c>
      <c r="F11" s="8" t="str">
        <f t="shared" si="1"/>
        <v>旧 ＡＩＤ</v>
      </c>
      <c r="G11" s="8" t="str">
        <f>IF(ISBLANK(E11),"",IF(COUNTIF(AK:AK,"="&amp;E11)&gt;0,"",MAX(G$1:G10)+1))</f>
        <v/>
      </c>
      <c r="H11" s="8">
        <f t="shared" si="8"/>
        <v>5</v>
      </c>
      <c r="J11" s="19" t="str">
        <f t="shared" si="9"/>
        <v/>
      </c>
      <c r="K11" s="19" t="str">
        <f t="shared" si="12"/>
        <v/>
      </c>
      <c r="M11" s="8" t="str">
        <f t="shared" si="13"/>
        <v/>
      </c>
      <c r="N11" s="8" t="str">
        <f>IF(J11="","",IF(M11,COUNTIF(M$4:M11,TRUE),0))</f>
        <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e">
        <f>IF(セルの固定色(AK11)=セルの固定色(AK$6),1,"")</f>
        <v>#VALUE!</v>
      </c>
      <c r="AM11" s="14" t="e">
        <f>IF(OR(ISBLANK(AL11),AL11=""),"",COUNTIF(AL$6:AL11,"&gt;0"))</f>
        <v>#VALUE!</v>
      </c>
      <c r="AN11" s="14" t="str">
        <f t="shared" si="17"/>
        <v/>
      </c>
      <c r="AO11" s="14" t="e">
        <f t="shared" si="18"/>
        <v>#VALUE!</v>
      </c>
      <c r="AP11" s="14" t="e">
        <f>IF(ISBLANK(AK11),"",LOOKUP(1,0/(AM$6:AM11=MAX(AM$6:AM11)),AK$6:AK11))</f>
        <v>#N/A</v>
      </c>
      <c r="AR11" t="s">
        <v>1006</v>
      </c>
      <c r="AS11" t="s">
        <v>1048</v>
      </c>
    </row>
    <row r="12" spans="1:47">
      <c r="A12" s="7" t="s">
        <v>1084</v>
      </c>
      <c r="B12" t="s">
        <v>32</v>
      </c>
      <c r="C12" s="8" t="b">
        <f>IF(B12="","",COUNTIF(B$1:B11,B12)=0)</f>
        <v>0</v>
      </c>
      <c r="D12" s="8" t="str">
        <f>IF(B12="","",IF(C12,COUNTIF(C$2:C12,TRUE),""))</f>
        <v/>
      </c>
      <c r="E12" s="8" t="str">
        <f t="shared" si="0"/>
        <v>Ｖまち</v>
      </c>
      <c r="F12" s="8" t="str">
        <f t="shared" si="1"/>
        <v>旧 Ｖまち</v>
      </c>
      <c r="G12" s="8" t="str">
        <f>IF(ISBLANK(E12),"",IF(COUNTIF(AK:AK,"="&amp;E12)&gt;0,"",MAX(G$1:G11)+1))</f>
        <v/>
      </c>
      <c r="H12" s="8">
        <f t="shared" si="8"/>
        <v>1</v>
      </c>
      <c r="J12" s="19" t="str">
        <f t="shared" si="9"/>
        <v/>
      </c>
      <c r="K12" s="19" t="str">
        <f t="shared" si="12"/>
        <v/>
      </c>
      <c r="M12" s="8" t="str">
        <f t="shared" si="13"/>
        <v/>
      </c>
      <c r="N12" s="8" t="str">
        <f>IF(J12="","",IF(M12,COUNTIF(M$4:M12,TRUE),0))</f>
        <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e">
        <f>IF(セルの固定色(AK12)=セルの固定色(AK$6),1,"")</f>
        <v>#VALUE!</v>
      </c>
      <c r="AM12" s="14" t="e">
        <f>IF(OR(ISBLANK(AL12),AL12=""),"",COUNTIF(AL$6:AL12,"&gt;0"))</f>
        <v>#VALUE!</v>
      </c>
      <c r="AN12" s="14" t="str">
        <f t="shared" si="17"/>
        <v/>
      </c>
      <c r="AO12" s="14" t="e">
        <f t="shared" si="18"/>
        <v>#VALUE!</v>
      </c>
      <c r="AP12" s="14" t="e">
        <f>IF(ISBLANK(AK12),"",LOOKUP(1,0/(AM$6:AM12=MAX(AM$6:AM12)),AK$6:AK12))</f>
        <v>#N/A</v>
      </c>
    </row>
    <row r="13" spans="1:47" ht="19.5" thickBot="1">
      <c r="A13" s="11">
        <f>COLUMN(AR1)</f>
        <v>44</v>
      </c>
      <c r="B13" t="s">
        <v>32</v>
      </c>
      <c r="C13" s="8" t="b">
        <f>IF(B13="","",COUNTIF(B$1:B12,B13)=0)</f>
        <v>0</v>
      </c>
      <c r="D13" s="8" t="str">
        <f>IF(B13="","",IF(C13,COUNTIF(C$2:C13,TRUE),""))</f>
        <v/>
      </c>
      <c r="E13" s="8" t="str">
        <f t="shared" si="0"/>
        <v>人事部</v>
      </c>
      <c r="F13" s="8" t="str">
        <f t="shared" si="1"/>
        <v>旧 人事部</v>
      </c>
      <c r="G13" s="8" t="str">
        <f>IF(ISBLANK(E13),"",IF(COUNTIF(AK:AK,"="&amp;E13)&gt;0,"",MAX(G$1:G12)+1))</f>
        <v/>
      </c>
      <c r="H13" s="8">
        <f t="shared" si="8"/>
        <v>1</v>
      </c>
      <c r="J13" s="19" t="str">
        <f t="shared" si="9"/>
        <v/>
      </c>
      <c r="K13" s="19" t="str">
        <f t="shared" si="12"/>
        <v/>
      </c>
      <c r="M13" s="8" t="str">
        <f t="shared" si="13"/>
        <v/>
      </c>
      <c r="N13" s="8" t="str">
        <f>IF(J13="","",IF(M13,COUNTIF(M$4:M13,TRUE),0))</f>
        <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e">
        <f>IF(セルの固定色(AK13)=セルの固定色(AK$6),1,"")</f>
        <v>#VALUE!</v>
      </c>
      <c r="AM13" s="14" t="e">
        <f>IF(OR(ISBLANK(AL13),AL13=""),"",COUNTIF(AL$6:AL13,"&gt;0"))</f>
        <v>#VALUE!</v>
      </c>
      <c r="AN13" s="14" t="str">
        <f t="shared" si="17"/>
        <v/>
      </c>
      <c r="AO13" s="14" t="e">
        <f t="shared" si="18"/>
        <v>#VALUE!</v>
      </c>
      <c r="AP13" s="14" t="e">
        <f>IF(ISBLANK(AK13),"",LOOKUP(1,0/(AM$6:AM13=MAX(AM$6:AM13)),AK$6:AK13))</f>
        <v>#N/A</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旧 ＧＩＯ</v>
      </c>
      <c r="G14" s="8" t="str">
        <f>IF(ISBLANK(E14),"",IF(COUNTIF(AK:AK,"="&amp;E14)&gt;0,"",MAX(G$1:G13)+1))</f>
        <v/>
      </c>
      <c r="H14" s="8">
        <f t="shared" si="8"/>
        <v>2</v>
      </c>
      <c r="J14" s="19" t="str">
        <f t="shared" si="9"/>
        <v/>
      </c>
      <c r="K14" s="19" t="str">
        <f t="shared" si="12"/>
        <v/>
      </c>
      <c r="M14" s="8" t="str">
        <f t="shared" si="13"/>
        <v/>
      </c>
      <c r="N14" s="8" t="str">
        <f>IF(J14="","",IF(M14,COUNTIF(M$4:M14,TRUE),0))</f>
        <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e">
        <f>IF(セルの固定色(AK14)=セルの固定色(AK$6),1,"")</f>
        <v>#VALUE!</v>
      </c>
      <c r="AM14" s="14" t="e">
        <f>IF(OR(ISBLANK(AL14),AL14=""),"",COUNTIF(AL$6:AL14,"&gt;0"))</f>
        <v>#VALUE!</v>
      </c>
      <c r="AN14" s="14" t="str">
        <f t="shared" si="17"/>
        <v/>
      </c>
      <c r="AO14" s="14" t="e">
        <f t="shared" si="18"/>
        <v>#VALUE!</v>
      </c>
      <c r="AP14" s="14" t="e">
        <f>IF(ISBLANK(AK14),"",LOOKUP(1,0/(AM$6:AM14=MAX(AM$6:AM14)),AK$6:AK14))</f>
        <v>#N/A</v>
      </c>
    </row>
    <row r="15" spans="1:47">
      <c r="A15" s="7" t="s">
        <v>1088</v>
      </c>
      <c r="B15" t="s">
        <v>101</v>
      </c>
      <c r="C15" s="8" t="b">
        <f>IF(B15="","",COUNTIF(B$1:B14,B15)=0)</f>
        <v>0</v>
      </c>
      <c r="D15" s="8" t="str">
        <f>IF(B15="","",IF(C15,COUNTIF(C$2:C15,TRUE),""))</f>
        <v/>
      </c>
      <c r="E15" s="8" t="str">
        <f t="shared" si="0"/>
        <v>ＶＴＳ</v>
      </c>
      <c r="F15" s="8" t="str">
        <f t="shared" si="1"/>
        <v>旧 ＶＴＳ</v>
      </c>
      <c r="G15" s="8" t="str">
        <f>IF(ISBLANK(E15),"",IF(COUNTIF(AK:AK,"="&amp;E15)&gt;0,"",MAX(G$1:G14)+1))</f>
        <v/>
      </c>
      <c r="H15" s="8">
        <f t="shared" si="8"/>
        <v>2</v>
      </c>
      <c r="J15" s="19" t="str">
        <f t="shared" si="9"/>
        <v/>
      </c>
      <c r="K15" s="19" t="str">
        <f t="shared" si="12"/>
        <v/>
      </c>
      <c r="M15" s="8" t="str">
        <f t="shared" si="13"/>
        <v/>
      </c>
      <c r="N15" s="8" t="str">
        <f>IF(J15="","",IF(M15,COUNTIF(M$4:M15,TRUE),0))</f>
        <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e">
        <f>IF(セルの固定色(AK15)=セルの固定色(AK$6),1,"")</f>
        <v>#VALUE!</v>
      </c>
      <c r="AM15" s="14" t="e">
        <f>IF(OR(ISBLANK(AL15),AL15=""),"",COUNTIF(AL$6:AL15,"&gt;0"))</f>
        <v>#VALUE!</v>
      </c>
      <c r="AN15" s="14" t="str">
        <f t="shared" si="17"/>
        <v/>
      </c>
      <c r="AO15" s="14" t="e">
        <f t="shared" si="18"/>
        <v>#VALUE!</v>
      </c>
      <c r="AP15" s="14" t="e">
        <f>IF(ISBLANK(AK15),"",LOOKUP(1,0/(AM$6:AM15=MAX(AM$6:AM15)),AK$6:AK15))</f>
        <v>#N/A</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
      </c>
      <c r="K16" s="19" t="str">
        <f t="shared" si="12"/>
        <v/>
      </c>
      <c r="M16" s="8" t="str">
        <f t="shared" si="13"/>
        <v/>
      </c>
      <c r="N16" s="8" t="str">
        <f>IF(J16="","",IF(M16,COUNTIF(M$4:M16,TRUE),0))</f>
        <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e">
        <f>IF(セルの固定色(AK16)=セルの固定色(AK$6),1,"")</f>
        <v>#VALUE!</v>
      </c>
      <c r="AM16" s="14" t="e">
        <f>IF(OR(ISBLANK(AL16),AL16=""),"",COUNTIF(AL$6:AL16,"&gt;0"))</f>
        <v>#VALUE!</v>
      </c>
      <c r="AN16" s="14" t="str">
        <f t="shared" si="17"/>
        <v/>
      </c>
      <c r="AO16" s="14" t="e">
        <f t="shared" si="18"/>
        <v>#VALUE!</v>
      </c>
      <c r="AP16" s="14" t="e">
        <f>IF(ISBLANK(AK16),"",LOOKUP(1,0/(AM$6:AM16=MAX(AM$6:AM16)),AK$6:AK16))</f>
        <v>#N/A</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
      </c>
      <c r="K17" s="19" t="str">
        <f t="shared" si="12"/>
        <v/>
      </c>
      <c r="M17" s="8" t="str">
        <f t="shared" si="13"/>
        <v/>
      </c>
      <c r="N17" s="8" t="str">
        <f>IF(J17="","",IF(M17,COUNTIF(M$4:M17,TRUE),0))</f>
        <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e">
        <f>IF(セルの固定色(AK17)=セルの固定色(AK$6),1,"")</f>
        <v>#VALUE!</v>
      </c>
      <c r="AM17" s="14" t="e">
        <f>IF(OR(ISBLANK(AL17),AL17=""),"",COUNTIF(AL$6:AL17,"&gt;0"))</f>
        <v>#VALUE!</v>
      </c>
      <c r="AN17" s="14" t="str">
        <f t="shared" si="17"/>
        <v/>
      </c>
      <c r="AO17" s="14" t="e">
        <f t="shared" si="18"/>
        <v>#VALUE!</v>
      </c>
      <c r="AP17" s="14" t="e">
        <f>IF(ISBLANK(AK17),"",LOOKUP(1,0/(AM$6:AM17=MAX(AM$6:AM17)),AK$6:AK17))</f>
        <v>#N/A</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
      </c>
      <c r="K18" s="19" t="str">
        <f t="shared" si="12"/>
        <v/>
      </c>
      <c r="M18" s="8" t="str">
        <f t="shared" si="13"/>
        <v/>
      </c>
      <c r="N18" s="8" t="str">
        <f>IF(J18="","",IF(M18,COUNTIF(M$4:M18,TRUE),0))</f>
        <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e">
        <f>IF(セルの固定色(AK18)=セルの固定色(AK$6),1,"")</f>
        <v>#VALUE!</v>
      </c>
      <c r="AM18" s="14" t="e">
        <f>IF(OR(ISBLANK(AL18),AL18=""),"",COUNTIF(AL$6:AL18,"&gt;0"))</f>
        <v>#VALUE!</v>
      </c>
      <c r="AN18" s="14" t="str">
        <f t="shared" si="17"/>
        <v/>
      </c>
      <c r="AO18" s="14" t="e">
        <f t="shared" si="18"/>
        <v>#VALUE!</v>
      </c>
      <c r="AP18" s="14" t="e">
        <f>IF(ISBLANK(AK18),"",LOOKUP(1,0/(AM$6:AM18=MAX(AM$6:AM18)),AK$6:AK18))</f>
        <v>#N/A</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
      </c>
      <c r="K19" s="19" t="str">
        <f t="shared" si="12"/>
        <v/>
      </c>
      <c r="M19" s="8" t="str">
        <f t="shared" si="13"/>
        <v/>
      </c>
      <c r="N19" s="8" t="str">
        <f>IF(J19="","",IF(M19,COUNTIF(M$4:M19,TRUE),0))</f>
        <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e">
        <f>IF(セルの固定色(AK19)=セルの固定色(AK$6),1,"")</f>
        <v>#VALUE!</v>
      </c>
      <c r="AM19" s="14" t="e">
        <f>IF(OR(ISBLANK(AL19),AL19=""),"",COUNTIF(AL$6:AL19,"&gt;0"))</f>
        <v>#VALUE!</v>
      </c>
      <c r="AN19" s="14" t="str">
        <f t="shared" si="17"/>
        <v/>
      </c>
      <c r="AO19" s="14" t="e">
        <f t="shared" si="18"/>
        <v>#VALUE!</v>
      </c>
      <c r="AP19" s="14" t="e">
        <f>IF(ISBLANK(AK19),"",LOOKUP(1,0/(AM$6:AM19=MAX(AM$6:AM19)),AK$6:AK19))</f>
        <v>#N/A</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
      </c>
      <c r="K20" s="19" t="str">
        <f t="shared" si="12"/>
        <v/>
      </c>
      <c r="M20" s="8" t="str">
        <f t="shared" si="13"/>
        <v/>
      </c>
      <c r="N20" s="8" t="str">
        <f>IF(J20="","",IF(M20,COUNTIF(M$4:M20,TRUE),0))</f>
        <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t="e">
        <f>IF(セルの固定色(AK20)=セルの固定色(AK$6),1,"")</f>
        <v>#VALUE!</v>
      </c>
      <c r="AM20" s="14" t="e">
        <f>IF(OR(ISBLANK(AL20),AL20=""),"",COUNTIF(AL$6:AL20,"&gt;0"))</f>
        <v>#VALUE!</v>
      </c>
      <c r="AN20" s="14" t="str">
        <f t="shared" si="17"/>
        <v/>
      </c>
      <c r="AO20" s="14" t="e">
        <f t="shared" si="18"/>
        <v>#VALUE!</v>
      </c>
      <c r="AP20" s="14" t="e">
        <f>IF(ISBLANK(AK20),"",LOOKUP(1,0/(AM$6:AM20=MAX(AM$6:AM20)),AK$6:AK20))</f>
        <v>#N/A</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
      </c>
      <c r="K21" s="19" t="str">
        <f t="shared" si="12"/>
        <v/>
      </c>
      <c r="M21" s="8" t="str">
        <f t="shared" si="13"/>
        <v/>
      </c>
      <c r="N21" s="8" t="str">
        <f>IF(J21="","",IF(M21,COUNTIF(M$4:M21,TRUE),0))</f>
        <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e">
        <f>IF(セルの固定色(AK21)=セルの固定色(AK$6),1,"")</f>
        <v>#VALUE!</v>
      </c>
      <c r="AM21" s="14" t="e">
        <f>IF(OR(ISBLANK(AL21),AL21=""),"",COUNTIF(AL$6:AL21,"&gt;0"))</f>
        <v>#VALUE!</v>
      </c>
      <c r="AN21" s="14" t="str">
        <f t="shared" si="17"/>
        <v/>
      </c>
      <c r="AO21" s="14" t="e">
        <f t="shared" si="18"/>
        <v>#VALUE!</v>
      </c>
      <c r="AP21" s="14" t="e">
        <f>IF(ISBLANK(AK21),"",LOOKUP(1,0/(AM$6:AM21=MAX(AM$6:AM21)),AK$6:AK21))</f>
        <v>#N/A</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
      </c>
      <c r="K22" s="19" t="str">
        <f t="shared" si="12"/>
        <v/>
      </c>
      <c r="M22" s="8" t="str">
        <f t="shared" si="13"/>
        <v/>
      </c>
      <c r="N22" s="8" t="str">
        <f>IF(J22="","",IF(M22,COUNTIF(M$4:M22,TRUE),0))</f>
        <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e">
        <f>IF(セルの固定色(AK22)=セルの固定色(AK$6),1,"")</f>
        <v>#VALUE!</v>
      </c>
      <c r="AM22" s="14" t="e">
        <f>IF(OR(ISBLANK(AL22),AL22=""),"",COUNTIF(AL$6:AL22,"&gt;0"))</f>
        <v>#VALUE!</v>
      </c>
      <c r="AN22" s="14" t="str">
        <f t="shared" si="17"/>
        <v/>
      </c>
      <c r="AO22" s="14" t="e">
        <f t="shared" si="18"/>
        <v>#VALUE!</v>
      </c>
      <c r="AP22" s="14" t="e">
        <f>IF(ISBLANK(AK22),"",LOOKUP(1,0/(AM$6:AM22=MAX(AM$6:AM22)),AK$6:AK22))</f>
        <v>#N/A</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
      </c>
      <c r="K23" s="19" t="str">
        <f t="shared" si="12"/>
        <v/>
      </c>
      <c r="M23" s="8" t="str">
        <f t="shared" si="13"/>
        <v/>
      </c>
      <c r="N23" s="8" t="str">
        <f>IF(J23="","",IF(M23,COUNTIF(M$4:M23,TRUE),0))</f>
        <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e">
        <f>IF(セルの固定色(AK23)=セルの固定色(AK$6),1,"")</f>
        <v>#VALUE!</v>
      </c>
      <c r="AM23" s="14" t="e">
        <f>IF(OR(ISBLANK(AL23),AL23=""),"",COUNTIF(AL$6:AL23,"&gt;0"))</f>
        <v>#VALUE!</v>
      </c>
      <c r="AN23" s="14" t="str">
        <f t="shared" si="17"/>
        <v/>
      </c>
      <c r="AO23" s="14" t="e">
        <f t="shared" si="18"/>
        <v>#VALUE!</v>
      </c>
      <c r="AP23" s="14" t="e">
        <f>IF(ISBLANK(AK23),"",LOOKUP(1,0/(AM$6:AM23=MAX(AM$6:AM23)),AK$6:AK23))</f>
        <v>#N/A</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
      </c>
      <c r="K24" s="19" t="str">
        <f t="shared" si="12"/>
        <v/>
      </c>
      <c r="M24" s="8" t="str">
        <f t="shared" si="13"/>
        <v/>
      </c>
      <c r="N24" s="8" t="str">
        <f>IF(J24="","",IF(M24,COUNTIF(M$4:M24,TRUE),0))</f>
        <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e">
        <f>IF(セルの固定色(AK24)=セルの固定色(AK$6),1,"")</f>
        <v>#VALUE!</v>
      </c>
      <c r="AM24" s="14" t="e">
        <f>IF(OR(ISBLANK(AL24),AL24=""),"",COUNTIF(AL$6:AL24,"&gt;0"))</f>
        <v>#VALUE!</v>
      </c>
      <c r="AN24" s="14" t="str">
        <f t="shared" si="17"/>
        <v/>
      </c>
      <c r="AO24" s="14" t="e">
        <f t="shared" si="18"/>
        <v>#VALUE!</v>
      </c>
      <c r="AP24" s="14" t="e">
        <f>IF(ISBLANK(AK24),"",LOOKUP(1,0/(AM$6:AM24=MAX(AM$6:AM24)),AK$6:AK24))</f>
        <v>#N/A</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e">
        <f>IF(セルの固定色(AK25)=セルの固定色(AK$6),1,"")</f>
        <v>#VALUE!</v>
      </c>
      <c r="AM25" s="14" t="e">
        <f>IF(OR(ISBLANK(AL25),AL25=""),"",COUNTIF(AL$6:AL25,"&gt;0"))</f>
        <v>#VALUE!</v>
      </c>
      <c r="AN25" s="14" t="str">
        <f t="shared" si="17"/>
        <v/>
      </c>
      <c r="AO25" s="14" t="e">
        <f t="shared" si="18"/>
        <v>#VALUE!</v>
      </c>
      <c r="AP25" s="14" t="e">
        <f>IF(ISBLANK(AK25),"",LOOKUP(1,0/(AM$6:AM25=MAX(AM$6:AM25)),AK$6:AK25))</f>
        <v>#N/A</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e">
        <f>IF(セルの固定色(AK26)=セルの固定色(AK$6),1,"")</f>
        <v>#VALUE!</v>
      </c>
      <c r="AM26" s="14" t="e">
        <f>IF(OR(ISBLANK(AL26),AL26=""),"",COUNTIF(AL$6:AL26,"&gt;0"))</f>
        <v>#VALUE!</v>
      </c>
      <c r="AN26" s="14" t="str">
        <f t="shared" si="17"/>
        <v/>
      </c>
      <c r="AO26" s="14" t="e">
        <f t="shared" si="18"/>
        <v>#VALUE!</v>
      </c>
      <c r="AP26" s="14" t="e">
        <f>IF(ISBLANK(AK26),"",LOOKUP(1,0/(AM$6:AM26=MAX(AM$6:AM26)),AK$6:AK26))</f>
        <v>#N/A</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0</v>
      </c>
      <c r="Q27" s="27">
        <f>SUM(Q4:Q26)</f>
        <v>0</v>
      </c>
      <c r="S27" t="s">
        <v>27</v>
      </c>
      <c r="Z27" t="s">
        <v>59</v>
      </c>
      <c r="AB27" s="11" t="s">
        <v>639</v>
      </c>
      <c r="AC27" s="10">
        <f t="shared" si="7"/>
        <v>1</v>
      </c>
      <c r="AD27" s="12">
        <f>SUM(AC27)</f>
        <v>1</v>
      </c>
      <c r="AE27" s="8">
        <f t="shared" si="4"/>
        <v>15</v>
      </c>
      <c r="AF27" s="8">
        <f>IF(AE27="","",AE27+COUNTIF(AE$2:AE27,AE27)-1)</f>
        <v>26</v>
      </c>
      <c r="AK27" s="25" t="s">
        <v>1098</v>
      </c>
      <c r="AL27" s="14" t="e">
        <f>IF(セルの固定色(AK27)=セルの固定色(AK$6),1,"")</f>
        <v>#VALUE!</v>
      </c>
      <c r="AM27" s="14" t="e">
        <f>IF(OR(ISBLANK(AL27),AL27=""),"",COUNTIF(AL$6:AL27,"&gt;0"))</f>
        <v>#VALUE!</v>
      </c>
      <c r="AN27" s="14" t="str">
        <f t="shared" si="17"/>
        <v/>
      </c>
      <c r="AO27" s="14" t="e">
        <f t="shared" si="18"/>
        <v>#VALUE!</v>
      </c>
      <c r="AP27" s="14" t="e">
        <f>IF(ISBLANK(AK27),"",LOOKUP(1,0/(AM$6:AM27=MAX(AM$6:AM27)),AK$6:AK27))</f>
        <v>#N/A</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e">
        <f>IF(セルの固定色(AK28)=セルの固定色(AK$6),1,"")</f>
        <v>#VALUE!</v>
      </c>
      <c r="AM28" s="14" t="e">
        <f>IF(OR(ISBLANK(AL28),AL28=""),"",COUNTIF(AL$6:AL28,"&gt;0"))</f>
        <v>#VALUE!</v>
      </c>
      <c r="AN28" s="14" t="str">
        <f t="shared" si="17"/>
        <v/>
      </c>
      <c r="AO28" s="14" t="e">
        <f t="shared" si="18"/>
        <v>#VALUE!</v>
      </c>
      <c r="AP28" s="14" t="e">
        <f>IF(ISBLANK(AK28),"",LOOKUP(1,0/(AM$6:AM28=MAX(AM$6:AM28)),AK$6:AK28))</f>
        <v>#N/A</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t="e">
        <f>IF(セルの固定色(AK29)=セルの固定色(AK$6),1,"")</f>
        <v>#VALUE!</v>
      </c>
      <c r="AM29" s="14" t="e">
        <f>IF(OR(ISBLANK(AL29),AL29=""),"",COUNTIF(AL$6:AL29,"&gt;0"))</f>
        <v>#VALUE!</v>
      </c>
      <c r="AN29" s="14" t="str">
        <f t="shared" si="17"/>
        <v/>
      </c>
      <c r="AO29" s="14" t="e">
        <f t="shared" si="18"/>
        <v>#VALUE!</v>
      </c>
      <c r="AP29" s="14" t="e">
        <f>IF(ISBLANK(AK29),"",LOOKUP(1,0/(AM$6:AM29=MAX(AM$6:AM29)),AK$6:AK29))</f>
        <v>#N/A</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e">
        <f>IF(セルの固定色(AK30)=セルの固定色(AK$6),1,"")</f>
        <v>#VALUE!</v>
      </c>
      <c r="AM30" s="14" t="e">
        <f>IF(OR(ISBLANK(AL30),AL30=""),"",COUNTIF(AL$6:AL30,"&gt;0"))</f>
        <v>#VALUE!</v>
      </c>
      <c r="AN30" s="14" t="str">
        <f t="shared" si="17"/>
        <v/>
      </c>
      <c r="AO30" s="14" t="e">
        <f t="shared" si="18"/>
        <v>#VALUE!</v>
      </c>
      <c r="AP30" s="14" t="e">
        <f>IF(ISBLANK(AK30),"",LOOKUP(1,0/(AM$6:AM30=MAX(AM$6:AM30)),AK$6:AK30))</f>
        <v>#N/A</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e">
        <f>IF(セルの固定色(AK31)=セルの固定色(AK$6),1,"")</f>
        <v>#VALUE!</v>
      </c>
      <c r="AM31" s="14" t="e">
        <f>IF(OR(ISBLANK(AL31),AL31=""),"",COUNTIF(AL$6:AL31,"&gt;0"))</f>
        <v>#VALUE!</v>
      </c>
      <c r="AN31" s="14" t="str">
        <f t="shared" si="17"/>
        <v/>
      </c>
      <c r="AO31" s="14" t="e">
        <f t="shared" si="18"/>
        <v>#VALUE!</v>
      </c>
      <c r="AP31" s="14" t="e">
        <f>IF(ISBLANK(AK31),"",LOOKUP(1,0/(AM$6:AM31=MAX(AM$6:AM31)),AK$6:AK31))</f>
        <v>#N/A</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e">
        <f>IF(セルの固定色(AK32)=セルの固定色(AK$6),1,"")</f>
        <v>#VALUE!</v>
      </c>
      <c r="AM32" s="14" t="e">
        <f>IF(OR(ISBLANK(AL32),AL32=""),"",COUNTIF(AL$6:AL32,"&gt;0"))</f>
        <v>#VALUE!</v>
      </c>
      <c r="AN32" s="14" t="str">
        <f t="shared" si="17"/>
        <v/>
      </c>
      <c r="AO32" s="14" t="e">
        <f t="shared" si="18"/>
        <v>#VALUE!</v>
      </c>
      <c r="AP32" s="14" t="e">
        <f>IF(ISBLANK(AK32),"",LOOKUP(1,0/(AM$6:AM32=MAX(AM$6:AM32)),AK$6:AK32))</f>
        <v>#N/A</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e">
        <f>IF(セルの固定色(AK33)=セルの固定色(AK$6),1,"")</f>
        <v>#VALUE!</v>
      </c>
      <c r="AM33" s="14" t="e">
        <f>IF(OR(ISBLANK(AL33),AL33=""),"",COUNTIF(AL$6:AL33,"&gt;0"))</f>
        <v>#VALUE!</v>
      </c>
      <c r="AN33" s="14" t="str">
        <f t="shared" si="17"/>
        <v/>
      </c>
      <c r="AO33" s="14" t="e">
        <f t="shared" si="18"/>
        <v>#VALUE!</v>
      </c>
      <c r="AP33" s="14" t="e">
        <f>IF(ISBLANK(AK33),"",LOOKUP(1,0/(AM$6:AM33=MAX(AM$6:AM33)),AK$6:AK33))</f>
        <v>#N/A</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e">
        <f>IF(セルの固定色(AK34)=セルの固定色(AK$6),1,"")</f>
        <v>#VALUE!</v>
      </c>
      <c r="AM34" s="14" t="e">
        <f>IF(OR(ISBLANK(AL34),AL34=""),"",COUNTIF(AL$6:AL34,"&gt;0"))</f>
        <v>#VALUE!</v>
      </c>
      <c r="AN34" s="14" t="str">
        <f t="shared" si="17"/>
        <v/>
      </c>
      <c r="AO34" s="14" t="e">
        <f t="shared" si="18"/>
        <v>#VALUE!</v>
      </c>
      <c r="AP34" s="14" t="e">
        <f>IF(ISBLANK(AK34),"",LOOKUP(1,0/(AM$6:AM34=MAX(AM$6:AM34)),AK$6:AK34))</f>
        <v>#N/A</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e">
        <f>IF(セルの固定色(AK35)=セルの固定色(AK$6),1,"")</f>
        <v>#VALUE!</v>
      </c>
      <c r="AM35" s="14" t="e">
        <f>IF(OR(ISBLANK(AL35),AL35=""),"",COUNTIF(AL$6:AL35,"&gt;0"))</f>
        <v>#VALUE!</v>
      </c>
      <c r="AN35" s="14" t="str">
        <f t="shared" si="17"/>
        <v/>
      </c>
      <c r="AO35" s="14" t="e">
        <f t="shared" si="18"/>
        <v>#VALUE!</v>
      </c>
      <c r="AP35" s="14" t="e">
        <f>IF(ISBLANK(AK35),"",LOOKUP(1,0/(AM$6:AM35=MAX(AM$6:AM35)),AK$6:AK35))</f>
        <v>#N/A</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e">
        <f>IF(セルの固定色(AK36)=セルの固定色(AK$6),1,"")</f>
        <v>#VALUE!</v>
      </c>
      <c r="AM36" s="14" t="e">
        <f>IF(OR(ISBLANK(AL36),AL36=""),"",COUNTIF(AL$6:AL36,"&gt;0"))</f>
        <v>#VALUE!</v>
      </c>
      <c r="AN36" s="14" t="str">
        <f t="shared" si="17"/>
        <v/>
      </c>
      <c r="AO36" s="14" t="e">
        <f t="shared" si="18"/>
        <v>#VALUE!</v>
      </c>
      <c r="AP36" s="14" t="e">
        <f>IF(ISBLANK(AK36),"",LOOKUP(1,0/(AM$6:AM36=MAX(AM$6:AM36)),AK$6:AK36))</f>
        <v>#N/A</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e">
        <f>IF(セルの固定色(AK37)=セルの固定色(AK$6),1,"")</f>
        <v>#VALUE!</v>
      </c>
      <c r="AM37" s="14" t="e">
        <f>IF(OR(ISBLANK(AL37),AL37=""),"",COUNTIF(AL$6:AL37,"&gt;0"))</f>
        <v>#VALUE!</v>
      </c>
      <c r="AN37" s="14" t="str">
        <f t="shared" si="17"/>
        <v/>
      </c>
      <c r="AO37" s="14" t="e">
        <f t="shared" si="18"/>
        <v>#VALUE!</v>
      </c>
      <c r="AP37" s="14" t="e">
        <f>IF(ISBLANK(AK37),"",LOOKUP(1,0/(AM$6:AM37=MAX(AM$6:AM37)),AK$6:AK37))</f>
        <v>#N/A</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e">
        <f>IF(セルの固定色(AK38)=セルの固定色(AK$6),1,"")</f>
        <v>#VALUE!</v>
      </c>
      <c r="AM38" s="14" t="e">
        <f>IF(OR(ISBLANK(AL38),AL38=""),"",COUNTIF(AL$6:AL38,"&gt;0"))</f>
        <v>#VALUE!</v>
      </c>
      <c r="AN38" s="14" t="str">
        <f t="shared" si="17"/>
        <v/>
      </c>
      <c r="AO38" s="14" t="e">
        <f t="shared" si="18"/>
        <v>#VALUE!</v>
      </c>
      <c r="AP38" s="14" t="e">
        <f>IF(ISBLANK(AK38),"",LOOKUP(1,0/(AM$6:AM38=MAX(AM$6:AM38)),AK$6:AK38))</f>
        <v>#N/A</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e">
        <f>IF(セルの固定色(AK39)=セルの固定色(AK$6),1,"")</f>
        <v>#VALUE!</v>
      </c>
      <c r="AM39" s="14" t="e">
        <f>IF(OR(ISBLANK(AL39),AL39=""),"",COUNTIF(AL$6:AL39,"&gt;0"))</f>
        <v>#VALUE!</v>
      </c>
      <c r="AN39" s="14" t="str">
        <f t="shared" si="17"/>
        <v/>
      </c>
      <c r="AO39" s="14" t="e">
        <f t="shared" si="18"/>
        <v>#VALUE!</v>
      </c>
      <c r="AP39" s="14" t="e">
        <f>IF(ISBLANK(AK39),"",LOOKUP(1,0/(AM$6:AM39=MAX(AM$6:AM39)),AK$6:AK39))</f>
        <v>#N/A</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e">
        <f>IF(セルの固定色(AK40)=セルの固定色(AK$6),1,"")</f>
        <v>#VALUE!</v>
      </c>
      <c r="AM40" s="14" t="e">
        <f>IF(OR(ISBLANK(AL40),AL40=""),"",COUNTIF(AL$6:AL40,"&gt;0"))</f>
        <v>#VALUE!</v>
      </c>
      <c r="AN40" s="14" t="str">
        <f t="shared" si="17"/>
        <v/>
      </c>
      <c r="AO40" s="14" t="e">
        <f t="shared" si="18"/>
        <v>#VALUE!</v>
      </c>
      <c r="AP40" s="14" t="e">
        <f>IF(ISBLANK(AK40),"",LOOKUP(1,0/(AM$6:AM40=MAX(AM$6:AM40)),AK$6:AK40))</f>
        <v>#N/A</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e">
        <f>IF(セルの固定色(AK41)=セルの固定色(AK$6),1,"")</f>
        <v>#VALUE!</v>
      </c>
      <c r="AM41" s="14" t="e">
        <f>IF(OR(ISBLANK(AL41),AL41=""),"",COUNTIF(AL$6:AL41,"&gt;0"))</f>
        <v>#VALUE!</v>
      </c>
      <c r="AN41" s="14" t="str">
        <f t="shared" si="17"/>
        <v/>
      </c>
      <c r="AO41" s="14" t="e">
        <f t="shared" si="18"/>
        <v>#VALUE!</v>
      </c>
      <c r="AP41" s="14" t="e">
        <f>IF(ISBLANK(AK41),"",LOOKUP(1,0/(AM$6:AM41=MAX(AM$6:AM41)),AK$6:AK41))</f>
        <v>#N/A</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e">
        <f>IF(セルの固定色(AK42)=セルの固定色(AK$6),1,"")</f>
        <v>#VALUE!</v>
      </c>
      <c r="AM42" s="14" t="e">
        <f>IF(OR(ISBLANK(AL42),AL42=""),"",COUNTIF(AL$6:AL42,"&gt;0"))</f>
        <v>#VALUE!</v>
      </c>
      <c r="AN42" s="14" t="str">
        <f t="shared" si="17"/>
        <v/>
      </c>
      <c r="AO42" s="14" t="e">
        <f t="shared" si="18"/>
        <v>#VALUE!</v>
      </c>
      <c r="AP42" s="14" t="e">
        <f>IF(ISBLANK(AK42),"",LOOKUP(1,0/(AM$6:AM42=MAX(AM$6:AM42)),AK$6:AK42))</f>
        <v>#N/A</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e">
        <f>IF(セルの固定色(AK43)=セルの固定色(AK$6),1,"")</f>
        <v>#VALUE!</v>
      </c>
      <c r="AM43" s="14" t="e">
        <f>IF(OR(ISBLANK(AL43),AL43=""),"",COUNTIF(AL$6:AL43,"&gt;0"))</f>
        <v>#VALUE!</v>
      </c>
      <c r="AN43" s="14" t="str">
        <f t="shared" si="17"/>
        <v/>
      </c>
      <c r="AO43" s="14" t="e">
        <f t="shared" si="18"/>
        <v>#VALUE!</v>
      </c>
      <c r="AP43" s="14" t="e">
        <f>IF(ISBLANK(AK43),"",LOOKUP(1,0/(AM$6:AM43=MAX(AM$6:AM43)),AK$6:AK43))</f>
        <v>#N/A</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t="e">
        <f>IF(セルの固定色(AK44)=セルの固定色(AK$6),1,"")</f>
        <v>#VALUE!</v>
      </c>
      <c r="AM44" s="14" t="e">
        <f>IF(OR(ISBLANK(AL44),AL44=""),"",COUNTIF(AL$6:AL44,"&gt;0"))</f>
        <v>#VALUE!</v>
      </c>
      <c r="AN44" s="14" t="str">
        <f t="shared" si="17"/>
        <v/>
      </c>
      <c r="AO44" s="14" t="e">
        <f t="shared" si="18"/>
        <v>#VALUE!</v>
      </c>
      <c r="AP44" s="14" t="e">
        <f>IF(ISBLANK(AK44),"",LOOKUP(1,0/(AM$6:AM44=MAX(AM$6:AM44)),AK$6:AK44))</f>
        <v>#N/A</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e">
        <f>IF(セルの固定色(AK45)=セルの固定色(AK$6),1,"")</f>
        <v>#VALUE!</v>
      </c>
      <c r="AM45" s="14" t="e">
        <f>IF(OR(ISBLANK(AL45),AL45=""),"",COUNTIF(AL$6:AL45,"&gt;0"))</f>
        <v>#VALUE!</v>
      </c>
      <c r="AP45" s="14" t="e">
        <f>IF(ISBLANK(AK45),"",LOOKUP(1,0/(AM$6:AM45=MAX(AM$6:AM45)),AK$6:AK45))</f>
        <v>#N/A</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e">
        <f>IF(セルの固定色(AK46)=セルの固定色(AK$6),1,"")</f>
        <v>#VALUE!</v>
      </c>
      <c r="AM46" s="14" t="e">
        <f>IF(OR(ISBLANK(AL46),AL46=""),"",COUNTIF(AL$6:AL46,"&gt;0"))</f>
        <v>#VALUE!</v>
      </c>
      <c r="AP46" s="14" t="e">
        <f>IF(ISBLANK(AK46),"",LOOKUP(1,0/(AM$6:AM46=MAX(AM$6:AM46)),AK$6:AK46))</f>
        <v>#N/A</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e">
        <f>IF(セルの固定色(AK47)=セルの固定色(AK$6),1,"")</f>
        <v>#VALUE!</v>
      </c>
      <c r="AM47" s="14" t="e">
        <f>IF(OR(ISBLANK(AL47),AL47=""),"",COUNTIF(AL$6:AL47,"&gt;0"))</f>
        <v>#VALUE!</v>
      </c>
      <c r="AP47" s="14" t="e">
        <f>IF(ISBLANK(AK47),"",LOOKUP(1,0/(AM$6:AM47=MAX(AM$6:AM47)),AK$6:AK47))</f>
        <v>#N/A</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e">
        <f>IF(セルの固定色(AK48)=セルの固定色(AK$6),1,"")</f>
        <v>#VALUE!</v>
      </c>
      <c r="AM48" s="14" t="e">
        <f>IF(OR(ISBLANK(AL48),AL48=""),"",COUNTIF(AL$6:AL48,"&gt;0"))</f>
        <v>#VALUE!</v>
      </c>
      <c r="AP48" s="14" t="e">
        <f>IF(ISBLANK(AK48),"",LOOKUP(1,0/(AM$6:AM48=MAX(AM$6:AM48)),AK$6:AK48))</f>
        <v>#N/A</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t="e">
        <f>IF(セルの固定色(AK49)=セルの固定色(AK$6),1,"")</f>
        <v>#VALUE!</v>
      </c>
      <c r="AM49" s="14" t="e">
        <f>IF(OR(ISBLANK(AL49),AL49=""),"",COUNTIF(AL$6:AL49,"&gt;0"))</f>
        <v>#VALUE!</v>
      </c>
      <c r="AP49" s="14" t="e">
        <f>IF(ISBLANK(AK49),"",LOOKUP(1,0/(AM$6:AM49=MAX(AM$6:AM49)),AK$6:AK49))</f>
        <v>#N/A</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e">
        <f>IF(セルの固定色(AK50)=セルの固定色(AK$6),1,"")</f>
        <v>#VALUE!</v>
      </c>
      <c r="AM50" s="14" t="e">
        <f>IF(OR(ISBLANK(AL50),AL50=""),"",COUNTIF(AL$6:AL50,"&gt;0"))</f>
        <v>#VALUE!</v>
      </c>
      <c r="AP50" s="14" t="e">
        <f>IF(ISBLANK(AK50),"",LOOKUP(1,0/(AM$6:AM50=MAX(AM$6:AM50)),AK$6:AK50))</f>
        <v>#N/A</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e">
        <f>IF(セルの固定色(AK51)=セルの固定色(AK$6),1,"")</f>
        <v>#VALUE!</v>
      </c>
      <c r="AM51" s="14" t="e">
        <f>IF(OR(ISBLANK(AL51),AL51=""),"",COUNTIF(AL$6:AL51,"&gt;0"))</f>
        <v>#VALUE!</v>
      </c>
      <c r="AP51" s="14" t="e">
        <f>IF(ISBLANK(AK51),"",LOOKUP(1,0/(AM$6:AM51=MAX(AM$6:AM51)),AK$6:AK51))</f>
        <v>#N/A</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e">
        <f>IF(セルの固定色(AK52)=セルの固定色(AK$6),1,"")</f>
        <v>#VALUE!</v>
      </c>
      <c r="AM52" s="14" t="e">
        <f>IF(OR(ISBLANK(AL52),AL52=""),"",COUNTIF(AL$6:AL52,"&gt;0"))</f>
        <v>#VALUE!</v>
      </c>
      <c r="AP52" s="14" t="e">
        <f>IF(ISBLANK(AK52),"",LOOKUP(1,0/(AM$6:AM52=MAX(AM$6:AM52)),AK$6:AK52))</f>
        <v>#N/A</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e">
        <f>IF(セルの固定色(AK53)=セルの固定色(AK$6),1,"")</f>
        <v>#VALUE!</v>
      </c>
      <c r="AM53" s="14" t="e">
        <f>IF(OR(ISBLANK(AL53),AL53=""),"",COUNTIF(AL$6:AL53,"&gt;0"))</f>
        <v>#VALUE!</v>
      </c>
      <c r="AP53" s="14" t="e">
        <f>IF(ISBLANK(AK53),"",LOOKUP(1,0/(AM$6:AM53=MAX(AM$6:AM53)),AK$6:AK53))</f>
        <v>#N/A</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t="e">
        <f>IF(セルの固定色(AK54)=セルの固定色(AK$6),1,"")</f>
        <v>#VALUE!</v>
      </c>
      <c r="AM54" s="14" t="e">
        <f>IF(OR(ISBLANK(AL54),AL54=""),"",COUNTIF(AL$6:AL54,"&gt;0"))</f>
        <v>#VALUE!</v>
      </c>
      <c r="AP54" s="14" t="e">
        <f>IF(ISBLANK(AK54),"",LOOKUP(1,0/(AM$6:AM54=MAX(AM$6:AM54)),AK$6:AK54))</f>
        <v>#N/A</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e">
        <f>IF(セルの固定色(AK55)=セルの固定色(AK$6),1,"")</f>
        <v>#VALUE!</v>
      </c>
      <c r="AM55" s="14" t="e">
        <f>IF(OR(ISBLANK(AL55),AL55=""),"",COUNTIF(AL$6:AL55,"&gt;0"))</f>
        <v>#VALUE!</v>
      </c>
      <c r="AP55" s="14" t="e">
        <f>IF(ISBLANK(AK55),"",LOOKUP(1,0/(AM$6:AM55=MAX(AM$6:AM55)),AK$6:AK55))</f>
        <v>#N/A</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e">
        <f>IF(セルの固定色(AK56)=セルの固定色(AK$6),1,"")</f>
        <v>#VALUE!</v>
      </c>
      <c r="AM56" s="14" t="e">
        <f>IF(OR(ISBLANK(AL56),AL56=""),"",COUNTIF(AL$6:AL56,"&gt;0"))</f>
        <v>#VALUE!</v>
      </c>
      <c r="AP56" s="14" t="e">
        <f>IF(ISBLANK(AK56),"",LOOKUP(1,0/(AM$6:AM56=MAX(AM$6:AM56)),AK$6:AK56))</f>
        <v>#N/A</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e">
        <f>IF(セルの固定色(AK57)=セルの固定色(AK$6),1,"")</f>
        <v>#VALUE!</v>
      </c>
      <c r="AM57" s="14" t="e">
        <f>IF(OR(ISBLANK(AL57),AL57=""),"",COUNTIF(AL$6:AL57,"&gt;0"))</f>
        <v>#VALUE!</v>
      </c>
      <c r="AP57" s="14" t="e">
        <f>IF(ISBLANK(AK57),"",LOOKUP(1,0/(AM$6:AM57=MAX(AM$6:AM57)),AK$6:AK57))</f>
        <v>#N/A</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e">
        <f>IF(セルの固定色(AK58)=セルの固定色(AK$6),1,"")</f>
        <v>#VALUE!</v>
      </c>
      <c r="AM58" s="14" t="e">
        <f>IF(OR(ISBLANK(AL58),AL58=""),"",COUNTIF(AL$6:AL58,"&gt;0"))</f>
        <v>#VALUE!</v>
      </c>
      <c r="AP58" s="14" t="e">
        <f>IF(ISBLANK(AK58),"",LOOKUP(1,0/(AM$6:AM58=MAX(AM$6:AM58)),AK$6:AK58))</f>
        <v>#N/A</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e">
        <f>IF(セルの固定色(AK59)=セルの固定色(AK$6),1,"")</f>
        <v>#VALUE!</v>
      </c>
      <c r="AM59" s="14" t="e">
        <f>IF(OR(ISBLANK(AL59),AL59=""),"",COUNTIF(AL$6:AL59,"&gt;0"))</f>
        <v>#VALUE!</v>
      </c>
      <c r="AP59" s="14" t="e">
        <f>IF(ISBLANK(AK59),"",LOOKUP(1,0/(AM$6:AM59=MAX(AM$6:AM59)),AK$6:AK59))</f>
        <v>#N/A</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e">
        <f>IF(セルの固定色(AK60)=セルの固定色(AK$6),1,"")</f>
        <v>#VALUE!</v>
      </c>
      <c r="AM60" s="14" t="e">
        <f>IF(OR(ISBLANK(AL60),AL60=""),"",COUNTIF(AL$6:AL60,"&gt;0"))</f>
        <v>#VALUE!</v>
      </c>
      <c r="AP60" s="14" t="e">
        <f>IF(ISBLANK(AK60),"",LOOKUP(1,0/(AM$6:AM60=MAX(AM$6:AM60)),AK$6:AK60))</f>
        <v>#N/A</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t="e">
        <f>IF(セルの固定色(AK61)=セルの固定色(AK$6),1,"")</f>
        <v>#VALUE!</v>
      </c>
      <c r="AM61" s="14" t="e">
        <f>IF(OR(ISBLANK(AL61),AL61=""),"",COUNTIF(AL$6:AL61,"&gt;0"))</f>
        <v>#VALUE!</v>
      </c>
      <c r="AP61" s="14" t="e">
        <f>IF(ISBLANK(AK61),"",LOOKUP(1,0/(AM$6:AM61=MAX(AM$6:AM61)),AK$6:AK61))</f>
        <v>#N/A</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e">
        <f>IF(セルの固定色(AK62)=セルの固定色(AK$6),1,"")</f>
        <v>#VALUE!</v>
      </c>
      <c r="AM62" s="14" t="e">
        <f>IF(OR(ISBLANK(AL62),AL62=""),"",COUNTIF(AL$6:AL62,"&gt;0"))</f>
        <v>#VALUE!</v>
      </c>
      <c r="AP62" s="14" t="e">
        <f>IF(ISBLANK(AK62),"",LOOKUP(1,0/(AM$6:AM62=MAX(AM$6:AM62)),AK$6:AK62))</f>
        <v>#N/A</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e">
        <f>IF(セルの固定色(AK63)=セルの固定色(AK$6),1,"")</f>
        <v>#VALUE!</v>
      </c>
      <c r="AM63" s="14" t="e">
        <f>IF(OR(ISBLANK(AL63),AL63=""),"",COUNTIF(AL$6:AL63,"&gt;0"))</f>
        <v>#VALUE!</v>
      </c>
      <c r="AP63" s="14" t="e">
        <f>IF(ISBLANK(AK63),"",LOOKUP(1,0/(AM$6:AM63=MAX(AM$6:AM63)),AK$6:AK63))</f>
        <v>#N/A</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e">
        <f>IF(セルの固定色(AK64)=セルの固定色(AK$6),1,"")</f>
        <v>#VALUE!</v>
      </c>
      <c r="AM64" s="14" t="e">
        <f>IF(OR(ISBLANK(AL64),AL64=""),"",COUNTIF(AL$6:AL64,"&gt;0"))</f>
        <v>#VALUE!</v>
      </c>
      <c r="AP64" s="14" t="e">
        <f>IF(ISBLANK(AK64),"",LOOKUP(1,0/(AM$6:AM64=MAX(AM$6:AM64)),AK$6:AK64))</f>
        <v>#N/A</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e">
        <f>IF(セルの固定色(AK65)=セルの固定色(AK$6),1,"")</f>
        <v>#VALUE!</v>
      </c>
      <c r="AM65" s="14" t="e">
        <f>IF(OR(ISBLANK(AL65),AL65=""),"",COUNTIF(AL$6:AL65,"&gt;0"))</f>
        <v>#VALUE!</v>
      </c>
      <c r="AP65" s="14" t="e">
        <f>IF(ISBLANK(AK65),"",LOOKUP(1,0/(AM$6:AM65=MAX(AM$6:AM65)),AK$6:AK65))</f>
        <v>#N/A</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e">
        <f>IF(セルの固定色(AK66)=セルの固定色(AK$6),1,"")</f>
        <v>#VALUE!</v>
      </c>
      <c r="AM66" s="14" t="e">
        <f>IF(OR(ISBLANK(AL66),AL66=""),"",COUNTIF(AL$6:AL66,"&gt;0"))</f>
        <v>#VALUE!</v>
      </c>
      <c r="AP66" s="14" t="e">
        <f>IF(ISBLANK(AK66),"",LOOKUP(1,0/(AM$6:AM66=MAX(AM$6:AM66)),AK$6:AK66))</f>
        <v>#N/A</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e">
        <f>IF(セルの固定色(AK67)=セルの固定色(AK$6),1,"")</f>
        <v>#VALUE!</v>
      </c>
      <c r="AM67" s="14" t="e">
        <f>IF(OR(ISBLANK(AL67),AL67=""),"",COUNTIF(AL$6:AL67,"&gt;0"))</f>
        <v>#VALUE!</v>
      </c>
      <c r="AP67" s="14" t="e">
        <f>IF(ISBLANK(AK67),"",LOOKUP(1,0/(AM$6:AM67=MAX(AM$6:AM67)),AK$6:AK67))</f>
        <v>#N/A</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t="e">
        <f>IF(セルの固定色(AK68)=セルの固定色(AK$6),1,"")</f>
        <v>#VALUE!</v>
      </c>
      <c r="AM68" s="14" t="e">
        <f>IF(OR(ISBLANK(AL68),AL68=""),"",COUNTIF(AL$6:AL68,"&gt;0"))</f>
        <v>#VALUE!</v>
      </c>
      <c r="AP68" s="14" t="e">
        <f>IF(ISBLANK(AK68),"",LOOKUP(1,0/(AM$6:AM68=MAX(AM$6:AM68)),AK$6:AK68))</f>
        <v>#N/A</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e">
        <f>IF(セルの固定色(AK69)=セルの固定色(AK$6),1,"")</f>
        <v>#VALUE!</v>
      </c>
      <c r="AM69" s="14" t="e">
        <f>IF(OR(ISBLANK(AL69),AL69=""),"",COUNTIF(AL$6:AL69,"&gt;0"))</f>
        <v>#VALUE!</v>
      </c>
      <c r="AP69" s="14" t="e">
        <f>IF(ISBLANK(AK69),"",LOOKUP(1,0/(AM$6:AM69=MAX(AM$6:AM69)),AK$6:AK69))</f>
        <v>#N/A</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e">
        <f>IF(セルの固定色(AK70)=セルの固定色(AK$6),1,"")</f>
        <v>#VALUE!</v>
      </c>
      <c r="AM70" s="14" t="e">
        <f>IF(OR(ISBLANK(AL70),AL70=""),"",COUNTIF(AL$6:AL70,"&gt;0"))</f>
        <v>#VALUE!</v>
      </c>
      <c r="AP70" s="14" t="e">
        <f>IF(ISBLANK(AK70),"",LOOKUP(1,0/(AM$6:AM70=MAX(AM$6:AM70)),AK$6:AK70))</f>
        <v>#N/A</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e">
        <f>IF(セルの固定色(AK71)=セルの固定色(AK$6),1,"")</f>
        <v>#VALUE!</v>
      </c>
      <c r="AM71" s="14" t="e">
        <f>IF(OR(ISBLANK(AL71),AL71=""),"",COUNTIF(AL$6:AL71,"&gt;0"))</f>
        <v>#VALUE!</v>
      </c>
      <c r="AP71" s="14" t="e">
        <f>IF(ISBLANK(AK71),"",LOOKUP(1,0/(AM$6:AM71=MAX(AM$6:AM71)),AK$6:AK71))</f>
        <v>#N/A</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e">
        <f>IF(セルの固定色(AK72)=セルの固定色(AK$6),1,"")</f>
        <v>#VALUE!</v>
      </c>
      <c r="AM72" s="14" t="e">
        <f>IF(OR(ISBLANK(AL72),AL72=""),"",COUNTIF(AL$6:AL72,"&gt;0"))</f>
        <v>#VALUE!</v>
      </c>
      <c r="AP72" s="14" t="e">
        <f>IF(ISBLANK(AK72),"",LOOKUP(1,0/(AM$6:AM72=MAX(AM$6:AM72)),AK$6:AK72))</f>
        <v>#N/A</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t="e">
        <f>IF(セルの固定色(AK73)=セルの固定色(AK$6),1,"")</f>
        <v>#VALUE!</v>
      </c>
      <c r="AM73" s="14" t="e">
        <f>IF(OR(ISBLANK(AL73),AL73=""),"",COUNTIF(AL$6:AL73,"&gt;0"))</f>
        <v>#VALUE!</v>
      </c>
      <c r="AP73" s="14" t="e">
        <f>IF(ISBLANK(AK73),"",LOOKUP(1,0/(AM$6:AM73=MAX(AM$6:AM73)),AK$6:AK73))</f>
        <v>#N/A</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e">
        <f>IF(セルの固定色(AK74)=セルの固定色(AK$6),1,"")</f>
        <v>#VALUE!</v>
      </c>
      <c r="AM74" s="14" t="e">
        <f>IF(OR(ISBLANK(AL74),AL74=""),"",COUNTIF(AL$6:AL74,"&gt;0"))</f>
        <v>#VALUE!</v>
      </c>
      <c r="AP74" s="14" t="e">
        <f>IF(ISBLANK(AK74),"",LOOKUP(1,0/(AM$6:AM74=MAX(AM$6:AM74)),AK$6:AK74))</f>
        <v>#N/A</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e">
        <f>IF(セルの固定色(AK75)=セルの固定色(AK$6),1,"")</f>
        <v>#VALUE!</v>
      </c>
      <c r="AM75" s="14" t="e">
        <f>IF(OR(ISBLANK(AL75),AL75=""),"",COUNTIF(AL$6:AL75,"&gt;0"))</f>
        <v>#VALUE!</v>
      </c>
      <c r="AP75" s="14" t="e">
        <f>IF(ISBLANK(AK75),"",LOOKUP(1,0/(AM$6:AM75=MAX(AM$6:AM75)),AK$6:AK75))</f>
        <v>#N/A</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e">
        <f>IF(セルの固定色(AK76)=セルの固定色(AK$6),1,"")</f>
        <v>#VALUE!</v>
      </c>
      <c r="AM76" s="14" t="e">
        <f>IF(OR(ISBLANK(AL76),AL76=""),"",COUNTIF(AL$6:AL76,"&gt;0"))</f>
        <v>#VALUE!</v>
      </c>
      <c r="AP76" s="14" t="e">
        <f>IF(ISBLANK(AK76),"",LOOKUP(1,0/(AM$6:AM76=MAX(AM$6:AM76)),AK$6:AK76))</f>
        <v>#N/A</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e">
        <f>IF(セルの固定色(AK77)=セルの固定色(AK$6),1,"")</f>
        <v>#VALUE!</v>
      </c>
      <c r="AM77" s="14" t="e">
        <f>IF(OR(ISBLANK(AL77),AL77=""),"",COUNTIF(AL$6:AL77,"&gt;0"))</f>
        <v>#VALUE!</v>
      </c>
      <c r="AP77" s="14" t="e">
        <f>IF(ISBLANK(AK77),"",LOOKUP(1,0/(AM$6:AM77=MAX(AM$6:AM77)),AK$6:AK77))</f>
        <v>#N/A</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t="e">
        <f>IF(セルの固定色(AK78)=セルの固定色(AK$6),1,"")</f>
        <v>#VALUE!</v>
      </c>
      <c r="AM78" s="14" t="e">
        <f>IF(OR(ISBLANK(AL78),AL78=""),"",COUNTIF(AL$6:AL78,"&gt;0"))</f>
        <v>#VALUE!</v>
      </c>
      <c r="AP78" s="14" t="e">
        <f>IF(ISBLANK(AK78),"",LOOKUP(1,0/(AM$6:AM78=MAX(AM$6:AM78)),AK$6:AK78))</f>
        <v>#N/A</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e">
        <f>IF(セルの固定色(AK79)=セルの固定色(AK$6),1,"")</f>
        <v>#VALUE!</v>
      </c>
      <c r="AM79" s="14" t="e">
        <f>IF(OR(ISBLANK(AL79),AL79=""),"",COUNTIF(AL$6:AL79,"&gt;0"))</f>
        <v>#VALUE!</v>
      </c>
      <c r="AP79" s="14" t="e">
        <f>IF(ISBLANK(AK79),"",LOOKUP(1,0/(AM$6:AM79=MAX(AM$6:AM79)),AK$6:AK79))</f>
        <v>#N/A</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e">
        <f>IF(セルの固定色(AK80)=セルの固定色(AK$6),1,"")</f>
        <v>#VALUE!</v>
      </c>
      <c r="AM80" s="14" t="e">
        <f>IF(OR(ISBLANK(AL80),AL80=""),"",COUNTIF(AL$6:AL80,"&gt;0"))</f>
        <v>#VALUE!</v>
      </c>
      <c r="AP80" s="14" t="e">
        <f>IF(ISBLANK(AK80),"",LOOKUP(1,0/(AM$6:AM80=MAX(AM$6:AM80)),AK$6:AK80))</f>
        <v>#N/A</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t="e">
        <f>IF(セルの固定色(AK81)=セルの固定色(AK$6),1,"")</f>
        <v>#VALUE!</v>
      </c>
      <c r="AM81" s="14" t="e">
        <f>IF(OR(ISBLANK(AL81),AL81=""),"",COUNTIF(AL$6:AL81,"&gt;0"))</f>
        <v>#VALUE!</v>
      </c>
      <c r="AP81" s="14" t="e">
        <f>IF(ISBLANK(AK81),"",LOOKUP(1,0/(AM$6:AM81=MAX(AM$6:AM81)),AK$6:AK81))</f>
        <v>#N/A</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e">
        <f>IF(セルの固定色(AK82)=セルの固定色(AK$6),1,"")</f>
        <v>#VALUE!</v>
      </c>
      <c r="AM82" s="14" t="e">
        <f>IF(OR(ISBLANK(AL82),AL82=""),"",COUNTIF(AL$6:AL82,"&gt;0"))</f>
        <v>#VALUE!</v>
      </c>
      <c r="AP82" s="14" t="e">
        <f>IF(ISBLANK(AK82),"",LOOKUP(1,0/(AM$6:AM82=MAX(AM$6:AM82)),AK$6:AK82))</f>
        <v>#N/A</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e">
        <f>IF(セルの固定色(AK83)=セルの固定色(AK$6),1,"")</f>
        <v>#VALUE!</v>
      </c>
      <c r="AM83" s="14" t="e">
        <f>IF(OR(ISBLANK(AL83),AL83=""),"",COUNTIF(AL$6:AL83,"&gt;0"))</f>
        <v>#VALUE!</v>
      </c>
      <c r="AP83" s="14" t="e">
        <f>IF(ISBLANK(AK83),"",LOOKUP(1,0/(AM$6:AM83=MAX(AM$6:AM83)),AK$6:AK83))</f>
        <v>#N/A</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e">
        <f>IF(セルの固定色(AK84)=セルの固定色(AK$6),1,"")</f>
        <v>#VALUE!</v>
      </c>
      <c r="AM84" s="14" t="e">
        <f>IF(OR(ISBLANK(AL84),AL84=""),"",COUNTIF(AL$6:AL84,"&gt;0"))</f>
        <v>#VALUE!</v>
      </c>
      <c r="AP84" s="14" t="e">
        <f>IF(ISBLANK(AK84),"",LOOKUP(1,0/(AM$6:AM84=MAX(AM$6:AM84)),AK$6:AK84))</f>
        <v>#N/A</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e">
        <f>IF(セルの固定色(AK85)=セルの固定色(AK$6),1,"")</f>
        <v>#VALUE!</v>
      </c>
      <c r="AM85" s="14" t="e">
        <f>IF(OR(ISBLANK(AL85),AL85=""),"",COUNTIF(AL$6:AL85,"&gt;0"))</f>
        <v>#VALUE!</v>
      </c>
      <c r="AP85" s="14" t="e">
        <f>IF(ISBLANK(AK85),"",LOOKUP(1,0/(AM$6:AM85=MAX(AM$6:AM85)),AK$6:AK85))</f>
        <v>#N/A</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e">
        <f>IF(セルの固定色(AK86)=セルの固定色(AK$6),1,"")</f>
        <v>#VALUE!</v>
      </c>
      <c r="AM86" s="14" t="e">
        <f>IF(OR(ISBLANK(AL86),AL86=""),"",COUNTIF(AL$6:AL86,"&gt;0"))</f>
        <v>#VALUE!</v>
      </c>
      <c r="AP86" s="14" t="e">
        <f>IF(ISBLANK(AK86),"",LOOKUP(1,0/(AM$6:AM86=MAX(AM$6:AM86)),AK$6:AK86))</f>
        <v>#N/A</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t="e">
        <f>IF(セルの固定色(AK87)=セルの固定色(AK$6),1,"")</f>
        <v>#VALUE!</v>
      </c>
      <c r="AM87" s="14" t="e">
        <f>IF(OR(ISBLANK(AL87),AL87=""),"",COUNTIF(AL$6:AL87,"&gt;0"))</f>
        <v>#VALUE!</v>
      </c>
      <c r="AP87" s="14" t="e">
        <f>IF(ISBLANK(AK87),"",LOOKUP(1,0/(AM$6:AM87=MAX(AM$6:AM87)),AK$6:AK87))</f>
        <v>#N/A</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t="e">
        <f>IF(セルの固定色(AK88)=セルの固定色(AK$6),1,"")</f>
        <v>#VALUE!</v>
      </c>
      <c r="AM88" s="14" t="e">
        <f>IF(OR(ISBLANK(AL88),AL88=""),"",COUNTIF(AL$6:AL88,"&gt;0"))</f>
        <v>#VALUE!</v>
      </c>
      <c r="AP88" s="14" t="e">
        <f>IF(ISBLANK(AK88),"",LOOKUP(1,0/(AM$6:AM88=MAX(AM$6:AM88)),AK$6:AK88))</f>
        <v>#N/A</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e">
        <f>IF(セルの固定色(AK89)=セルの固定色(AK$6),1,"")</f>
        <v>#VALUE!</v>
      </c>
      <c r="AM89" s="14" t="e">
        <f>IF(OR(ISBLANK(AL89),AL89=""),"",COUNTIF(AL$6:AL89,"&gt;0"))</f>
        <v>#VALUE!</v>
      </c>
      <c r="AP89" s="14" t="e">
        <f>IF(ISBLANK(AK89),"",LOOKUP(1,0/(AM$6:AM89=MAX(AM$6:AM89)),AK$6:AK89))</f>
        <v>#N/A</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e">
        <f>IF(セルの固定色(AK90)=セルの固定色(AK$6),1,"")</f>
        <v>#VALUE!</v>
      </c>
      <c r="AM90" s="14" t="e">
        <f>IF(OR(ISBLANK(AL90),AL90=""),"",COUNTIF(AL$6:AL90,"&gt;0"))</f>
        <v>#VALUE!</v>
      </c>
      <c r="AP90" s="14" t="e">
        <f>IF(ISBLANK(AK90),"",LOOKUP(1,0/(AM$6:AM90=MAX(AM$6:AM90)),AK$6:AK90))</f>
        <v>#N/A</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e">
        <f>IF(セルの固定色(AK91)=セルの固定色(AK$6),1,"")</f>
        <v>#VALUE!</v>
      </c>
      <c r="AM91" s="14" t="e">
        <f>IF(OR(ISBLANK(AL91),AL91=""),"",COUNTIF(AL$6:AL91,"&gt;0"))</f>
        <v>#VALUE!</v>
      </c>
      <c r="AP91" s="14" t="e">
        <f>IF(ISBLANK(AK91),"",LOOKUP(1,0/(AM$6:AM91=MAX(AM$6:AM91)),AK$6:AK91))</f>
        <v>#N/A</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t="e">
        <f>IF(セルの固定色(AK92)=セルの固定色(AK$6),1,"")</f>
        <v>#VALUE!</v>
      </c>
      <c r="AM92" s="14" t="e">
        <f>IF(OR(ISBLANK(AL92),AL92=""),"",COUNTIF(AL$6:AL92,"&gt;0"))</f>
        <v>#VALUE!</v>
      </c>
      <c r="AP92" s="14" t="e">
        <f>IF(ISBLANK(AK92),"",LOOKUP(1,0/(AM$6:AM92=MAX(AM$6:AM92)),AK$6:AK92))</f>
        <v>#N/A</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e">
        <f>IF(セルの固定色(AK93)=セルの固定色(AK$6),1,"")</f>
        <v>#VALUE!</v>
      </c>
      <c r="AM93" s="14" t="e">
        <f>IF(OR(ISBLANK(AL93),AL93=""),"",COUNTIF(AL$6:AL93,"&gt;0"))</f>
        <v>#VALUE!</v>
      </c>
      <c r="AP93" s="14" t="e">
        <f>IF(ISBLANK(AK93),"",LOOKUP(1,0/(AM$6:AM93=MAX(AM$6:AM93)),AK$6:AK93))</f>
        <v>#N/A</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e">
        <f>IF(セルの固定色(AK94)=セルの固定色(AK$6),1,"")</f>
        <v>#VALUE!</v>
      </c>
      <c r="AM94" s="14" t="e">
        <f>IF(OR(ISBLANK(AL94),AL94=""),"",COUNTIF(AL$6:AL94,"&gt;0"))</f>
        <v>#VALUE!</v>
      </c>
      <c r="AP94" s="14" t="e">
        <f>IF(ISBLANK(AK94),"",LOOKUP(1,0/(AM$6:AM94=MAX(AM$6:AM94)),AK$6:AK94))</f>
        <v>#N/A</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e">
        <f>IF(セルの固定色(AK95)=セルの固定色(AK$6),1,"")</f>
        <v>#VALUE!</v>
      </c>
      <c r="AM95" s="14" t="e">
        <f>IF(OR(ISBLANK(AL95),AL95=""),"",COUNTIF(AL$6:AL95,"&gt;0"))</f>
        <v>#VALUE!</v>
      </c>
      <c r="AP95" s="14" t="e">
        <f>IF(ISBLANK(AK95),"",LOOKUP(1,0/(AM$6:AM95=MAX(AM$6:AM95)),AK$6:AK95))</f>
        <v>#N/A</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e">
        <f>IF(セルの固定色(AK96)=セルの固定色(AK$6),1,"")</f>
        <v>#VALUE!</v>
      </c>
      <c r="AM96" s="14" t="e">
        <f>IF(OR(ISBLANK(AL96),AL96=""),"",COUNTIF(AL$6:AL96,"&gt;0"))</f>
        <v>#VALUE!</v>
      </c>
      <c r="AP96" s="14" t="e">
        <f>IF(ISBLANK(AK96),"",LOOKUP(1,0/(AM$6:AM96=MAX(AM$6:AM96)),AK$6:AK96))</f>
        <v>#N/A</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t="e">
        <f>IF(セルの固定色(AK97)=セルの固定色(AK$6),1,"")</f>
        <v>#VALUE!</v>
      </c>
      <c r="AM97" s="14" t="e">
        <f>IF(OR(ISBLANK(AL97),AL97=""),"",COUNTIF(AL$6:AL97,"&gt;0"))</f>
        <v>#VALUE!</v>
      </c>
      <c r="AP97" s="14" t="e">
        <f>IF(ISBLANK(AK97),"",LOOKUP(1,0/(AM$6:AM97=MAX(AM$6:AM97)),AK$6:AK97))</f>
        <v>#N/A</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t="e">
        <f>IF(セルの固定色(AK98)=セルの固定色(AK$6),1,"")</f>
        <v>#VALUE!</v>
      </c>
      <c r="AM98" s="14" t="e">
        <f>IF(OR(ISBLANK(AL98),AL98=""),"",COUNTIF(AL$6:AL98,"&gt;0"))</f>
        <v>#VALUE!</v>
      </c>
      <c r="AP98" s="14" t="e">
        <f>IF(ISBLANK(AK98),"",LOOKUP(1,0/(AM$6:AM98=MAX(AM$6:AM98)),AK$6:AK98))</f>
        <v>#N/A</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e">
        <f>IF(セルの固定色(AK99)=セルの固定色(AK$6),1,"")</f>
        <v>#VALUE!</v>
      </c>
      <c r="AM99" s="14" t="e">
        <f>IF(OR(ISBLANK(AL99),AL99=""),"",COUNTIF(AL$6:AL99,"&gt;0"))</f>
        <v>#VALUE!</v>
      </c>
      <c r="AP99" s="14" t="e">
        <f>IF(ISBLANK(AK99),"",LOOKUP(1,0/(AM$6:AM99=MAX(AM$6:AM99)),AK$6:AK99))</f>
        <v>#N/A</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e">
        <f>IF(セルの固定色(AK100)=セルの固定色(AK$6),1,"")</f>
        <v>#VALUE!</v>
      </c>
      <c r="AM100" s="14" t="e">
        <f>IF(OR(ISBLANK(AL100),AL100=""),"",COUNTIF(AL$6:AL100,"&gt;0"))</f>
        <v>#VALUE!</v>
      </c>
      <c r="AP100" s="14" t="e">
        <f>IF(ISBLANK(AK100),"",LOOKUP(1,0/(AM$6:AM100=MAX(AM$6:AM100)),AK$6:AK100))</f>
        <v>#N/A</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e">
        <f>IF(セルの固定色(AK101)=セルの固定色(AK$6),1,"")</f>
        <v>#VALUE!</v>
      </c>
      <c r="AM101" s="14" t="e">
        <f>IF(OR(ISBLANK(AL101),AL101=""),"",COUNTIF(AL$6:AL101,"&gt;0"))</f>
        <v>#VALUE!</v>
      </c>
      <c r="AP101" s="14" t="e">
        <f>IF(ISBLANK(AK101),"",LOOKUP(1,0/(AM$6:AM101=MAX(AM$6:AM101)),AK$6:AK101))</f>
        <v>#N/A</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e">
        <f>IF(セルの固定色(AK102)=セルの固定色(AK$6),1,"")</f>
        <v>#VALUE!</v>
      </c>
      <c r="AM102" s="14" t="e">
        <f>IF(OR(ISBLANK(AL102),AL102=""),"",COUNTIF(AL$6:AL102,"&gt;0"))</f>
        <v>#VALUE!</v>
      </c>
      <c r="AP102" s="14" t="e">
        <f>IF(ISBLANK(AK102),"",LOOKUP(1,0/(AM$6:AM102=MAX(AM$6:AM102)),AK$6:AK102))</f>
        <v>#N/A</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t="e">
        <f>IF(セルの固定色(AK103)=セルの固定色(AK$6),1,"")</f>
        <v>#VALUE!</v>
      </c>
      <c r="AM103" s="14" t="e">
        <f>IF(OR(ISBLANK(AL103),AL103=""),"",COUNTIF(AL$6:AL103,"&gt;0"))</f>
        <v>#VALUE!</v>
      </c>
      <c r="AP103" s="14" t="e">
        <f>IF(ISBLANK(AK103),"",LOOKUP(1,0/(AM$6:AM103=MAX(AM$6:AM103)),AK$6:AK103))</f>
        <v>#N/A</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e">
        <f>IF(セルの固定色(AK104)=セルの固定色(AK$6),1,"")</f>
        <v>#VALUE!</v>
      </c>
      <c r="AM104" s="14" t="e">
        <f>IF(OR(ISBLANK(AL104),AL104=""),"",COUNTIF(AL$6:AL104,"&gt;0"))</f>
        <v>#VALUE!</v>
      </c>
      <c r="AP104" s="14" t="e">
        <f>IF(ISBLANK(AK104),"",LOOKUP(1,0/(AM$6:AM104=MAX(AM$6:AM104)),AK$6:AK104))</f>
        <v>#N/A</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e">
        <f>IF(セルの固定色(AK105)=セルの固定色(AK$6),1,"")</f>
        <v>#VALUE!</v>
      </c>
      <c r="AM105" s="14" t="e">
        <f>IF(OR(ISBLANK(AL105),AL105=""),"",COUNTIF(AL$6:AL105,"&gt;0"))</f>
        <v>#VALUE!</v>
      </c>
      <c r="AP105" s="14" t="e">
        <f>IF(ISBLANK(AK105),"",LOOKUP(1,0/(AM$6:AM105=MAX(AM$6:AM105)),AK$6:AK105))</f>
        <v>#N/A</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e">
        <f>IF(セルの固定色(AK106)=セルの固定色(AK$6),1,"")</f>
        <v>#VALUE!</v>
      </c>
      <c r="AM106" s="14" t="e">
        <f>IF(OR(ISBLANK(AL106),AL106=""),"",COUNTIF(AL$6:AL106,"&gt;0"))</f>
        <v>#VALUE!</v>
      </c>
      <c r="AP106" s="14" t="e">
        <f>IF(ISBLANK(AK106),"",LOOKUP(1,0/(AM$6:AM106=MAX(AM$6:AM106)),AK$6:AK106))</f>
        <v>#N/A</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e">
        <f>IF(セルの固定色(AK107)=セルの固定色(AK$6),1,"")</f>
        <v>#VALUE!</v>
      </c>
      <c r="AM107" s="14" t="e">
        <f>IF(OR(ISBLANK(AL107),AL107=""),"",COUNTIF(AL$6:AL107,"&gt;0"))</f>
        <v>#VALUE!</v>
      </c>
      <c r="AP107" s="14" t="e">
        <f>IF(ISBLANK(AK107),"",LOOKUP(1,0/(AM$6:AM107=MAX(AM$6:AM107)),AK$6:AK107))</f>
        <v>#N/A</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e">
        <f>IF(セルの固定色(AK108)=セルの固定色(AK$6),1,"")</f>
        <v>#VALUE!</v>
      </c>
      <c r="AM108" s="14" t="e">
        <f>IF(OR(ISBLANK(AL108),AL108=""),"",COUNTIF(AL$6:AL108,"&gt;0"))</f>
        <v>#VALUE!</v>
      </c>
      <c r="AP108" s="14" t="e">
        <f>IF(ISBLANK(AK108),"",LOOKUP(1,0/(AM$6:AM108=MAX(AM$6:AM108)),AK$6:AK108))</f>
        <v>#N/A</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e">
        <f>IF(セルの固定色(AK109)=セルの固定色(AK$6),1,"")</f>
        <v>#VALUE!</v>
      </c>
      <c r="AM109" s="14" t="e">
        <f>IF(OR(ISBLANK(AL109),AL109=""),"",COUNTIF(AL$6:AL109,"&gt;0"))</f>
        <v>#VALUE!</v>
      </c>
      <c r="AP109" s="14" t="e">
        <f>IF(ISBLANK(AK109),"",LOOKUP(1,0/(AM$6:AM109=MAX(AM$6:AM109)),AK$6:AK109))</f>
        <v>#N/A</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e">
        <f>IF(セルの固定色(AK110)=セルの固定色(AK$6),1,"")</f>
        <v>#VALUE!</v>
      </c>
      <c r="AM110" s="14" t="e">
        <f>IF(OR(ISBLANK(AL110),AL110=""),"",COUNTIF(AL$6:AL110,"&gt;0"))</f>
        <v>#VALUE!</v>
      </c>
      <c r="AP110" s="14" t="e">
        <f>IF(ISBLANK(AK110),"",LOOKUP(1,0/(AM$6:AM110=MAX(AM$6:AM110)),AK$6:AK110))</f>
        <v>#N/A</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e">
        <f>IF(セルの固定色(AK111)=セルの固定色(AK$6),1,"")</f>
        <v>#VALUE!</v>
      </c>
      <c r="AM111" s="14" t="e">
        <f>IF(OR(ISBLANK(AL111),AL111=""),"",COUNTIF(AL$6:AL111,"&gt;0"))</f>
        <v>#VALUE!</v>
      </c>
      <c r="AP111" s="14" t="e">
        <f>IF(ISBLANK(AK111),"",LOOKUP(1,0/(AM$6:AM111=MAX(AM$6:AM111)),AK$6:AK111))</f>
        <v>#N/A</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e">
        <f>IF(セルの固定色(AK112)=セルの固定色(AK$6),1,"")</f>
        <v>#VALUE!</v>
      </c>
      <c r="AM112" s="14" t="e">
        <f>IF(OR(ISBLANK(AL112),AL112=""),"",COUNTIF(AL$6:AL112,"&gt;0"))</f>
        <v>#VALUE!</v>
      </c>
      <c r="AP112" s="14" t="e">
        <f>IF(ISBLANK(AK112),"",LOOKUP(1,0/(AM$6:AM112=MAX(AM$6:AM112)),AK$6:AK112))</f>
        <v>#N/A</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t="e">
        <f>IF(セルの固定色(AK113)=セルの固定色(AK$6),1,"")</f>
        <v>#VALUE!</v>
      </c>
      <c r="AM113" s="14" t="e">
        <f>IF(OR(ISBLANK(AL113),AL113=""),"",COUNTIF(AL$6:AL113,"&gt;0"))</f>
        <v>#VALUE!</v>
      </c>
      <c r="AP113" s="14" t="e">
        <f>IF(ISBLANK(AK113),"",LOOKUP(1,0/(AM$6:AM113=MAX(AM$6:AM113)),AK$6:AK113))</f>
        <v>#N/A</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e">
        <f>IF(セルの固定色(AK114)=セルの固定色(AK$6),1,"")</f>
        <v>#VALUE!</v>
      </c>
      <c r="AM114" s="14" t="e">
        <f>IF(OR(ISBLANK(AL114),AL114=""),"",COUNTIF(AL$6:AL114,"&gt;0"))</f>
        <v>#VALUE!</v>
      </c>
      <c r="AP114" s="14" t="e">
        <f>IF(ISBLANK(AK114),"",LOOKUP(1,0/(AM$6:AM114=MAX(AM$6:AM114)),AK$6:AK114))</f>
        <v>#N/A</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e">
        <f>IF(セルの固定色(AK115)=セルの固定色(AK$6),1,"")</f>
        <v>#VALUE!</v>
      </c>
      <c r="AM115" s="14" t="e">
        <f>IF(OR(ISBLANK(AL115),AL115=""),"",COUNTIF(AL$6:AL115,"&gt;0"))</f>
        <v>#VALUE!</v>
      </c>
      <c r="AP115" s="14" t="e">
        <f>IF(ISBLANK(AK115),"",LOOKUP(1,0/(AM$6:AM115=MAX(AM$6:AM115)),AK$6:AK115))</f>
        <v>#N/A</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e">
        <f>IF(セルの固定色(AK116)=セルの固定色(AK$6),1,"")</f>
        <v>#VALUE!</v>
      </c>
      <c r="AM116" s="14" t="e">
        <f>IF(OR(ISBLANK(AL116),AL116=""),"",COUNTIF(AL$6:AL116,"&gt;0"))</f>
        <v>#VALUE!</v>
      </c>
      <c r="AP116" s="14" t="e">
        <f>IF(ISBLANK(AK116),"",LOOKUP(1,0/(AM$6:AM116=MAX(AM$6:AM116)),AK$6:AK116))</f>
        <v>#N/A</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e">
        <f>IF(セルの固定色(AK117)=セルの固定色(AK$6),1,"")</f>
        <v>#VALUE!</v>
      </c>
      <c r="AM117" s="14" t="e">
        <f>IF(OR(ISBLANK(AL117),AL117=""),"",COUNTIF(AL$6:AL117,"&gt;0"))</f>
        <v>#VALUE!</v>
      </c>
      <c r="AP117" s="14" t="e">
        <f>IF(ISBLANK(AK117),"",LOOKUP(1,0/(AM$6:AM117=MAX(AM$6:AM117)),AK$6:AK117))</f>
        <v>#N/A</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t="e">
        <f>IF(セルの固定色(AK118)=セルの固定色(AK$6),1,"")</f>
        <v>#VALUE!</v>
      </c>
      <c r="AM118" s="14" t="e">
        <f>IF(OR(ISBLANK(AL118),AL118=""),"",COUNTIF(AL$6:AL118,"&gt;0"))</f>
        <v>#VALUE!</v>
      </c>
      <c r="AP118" s="14" t="e">
        <f>IF(ISBLANK(AK118),"",LOOKUP(1,0/(AM$6:AM118=MAX(AM$6:AM118)),AK$6:AK118))</f>
        <v>#N/A</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e">
        <f>IF(セルの固定色(AK119)=セルの固定色(AK$6),1,"")</f>
        <v>#VALUE!</v>
      </c>
      <c r="AM119" s="14" t="e">
        <f>IF(OR(ISBLANK(AL119),AL119=""),"",COUNTIF(AL$6:AL119,"&gt;0"))</f>
        <v>#VALUE!</v>
      </c>
      <c r="AP119" s="14" t="e">
        <f>IF(ISBLANK(AK119),"",LOOKUP(1,0/(AM$6:AM119=MAX(AM$6:AM119)),AK$6:AK119))</f>
        <v>#N/A</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t="e">
        <f>IF(セルの固定色(AK120)=セルの固定色(AK$6),1,"")</f>
        <v>#VALUE!</v>
      </c>
      <c r="AM120" s="14" t="e">
        <f>IF(OR(ISBLANK(AL120),AL120=""),"",COUNTIF(AL$6:AL120,"&gt;0"))</f>
        <v>#VALUE!</v>
      </c>
      <c r="AP120" s="14" t="e">
        <f>IF(ISBLANK(AK120),"",LOOKUP(1,0/(AM$6:AM120=MAX(AM$6:AM120)),AK$6:AK120))</f>
        <v>#N/A</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t="e">
        <f>IF(セルの固定色(AK121)=セルの固定色(AK$6),1,"")</f>
        <v>#VALUE!</v>
      </c>
      <c r="AM121" s="14" t="e">
        <f>IF(OR(ISBLANK(AL121),AL121=""),"",COUNTIF(AL$6:AL121,"&gt;0"))</f>
        <v>#VALUE!</v>
      </c>
      <c r="AP121" s="14" t="e">
        <f>IF(ISBLANK(AK121),"",LOOKUP(1,0/(AM$6:AM121=MAX(AM$6:AM121)),AK$6:AK121))</f>
        <v>#N/A</v>
      </c>
    </row>
    <row r="122" spans="3:42">
      <c r="C122" s="8" t="str">
        <f>IF(B122="","",COUNTIF(B$1:B121,B122)=0)</f>
        <v/>
      </c>
      <c r="D122" s="8" t="str">
        <f>IF(B122="","",IF(C122,COUNTIF(C$2:C122,TRUE),""))</f>
        <v/>
      </c>
      <c r="AC122" s="8" t="str">
        <f t="shared" si="29"/>
        <v/>
      </c>
      <c r="AE122" s="8" t="str">
        <f t="shared" si="24"/>
        <v/>
      </c>
      <c r="AF122" s="8" t="str">
        <f>IF(AE122="","",AE122+COUNTIF(AE$2:AE122,AE122)-1)</f>
        <v/>
      </c>
      <c r="AL122" s="14" t="e">
        <f>IF(セルの固定色(AK122)=セルの固定色(AK$6),1,"")</f>
        <v>#VALUE!</v>
      </c>
      <c r="AM122" s="14" t="e">
        <f>IF(OR(ISBLANK(AL122),AL122=""),"",COUNTIF(AL$6:AL122,"&gt;0"))</f>
        <v>#VALUE!</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e">
        <f>IF(セルの固定色(AK123)=セルの固定色(AK$6),1,"")</f>
        <v>#VALUE!</v>
      </c>
      <c r="AM123" s="14" t="e">
        <f>IF(OR(ISBLANK(AL123),AL123=""),"",COUNTIF(AL$6:AL123,"&gt;0"))</f>
        <v>#VALUE!</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e">
        <f>IF(セルの固定色(AK124)=セルの固定色(AK$6),1,"")</f>
        <v>#VALUE!</v>
      </c>
      <c r="AM124" s="14" t="e">
        <f>IF(OR(ISBLANK(AL124),AL124=""),"",COUNTIF(AL$6:AL124,"&gt;0"))</f>
        <v>#VALUE!</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e">
        <f>IF(セルの固定色(AK125)=セルの固定色(AK$6),1,"")</f>
        <v>#VALUE!</v>
      </c>
      <c r="AM125" s="14" t="e">
        <f>IF(OR(ISBLANK(AL125),AL125=""),"",COUNTIF(AL$6:AL125,"&gt;0"))</f>
        <v>#VALUE!</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e">
        <f>IF(セルの固定色(AK126)=セルの固定色(AK$6),1,"")</f>
        <v>#VALUE!</v>
      </c>
      <c r="AM126" s="14" t="e">
        <f>IF(OR(ISBLANK(AL126),AL126=""),"",COUNTIF(AL$6:AL126,"&gt;0"))</f>
        <v>#VALUE!</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e">
        <f>IF(セルの固定色(AK127)=セルの固定色(AK$6),1,"")</f>
        <v>#VALUE!</v>
      </c>
      <c r="AM127" s="14" t="e">
        <f>IF(OR(ISBLANK(AL127),AL127=""),"",COUNTIF(AL$6:AL127,"&gt;0"))</f>
        <v>#VALUE!</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e">
        <f>IF(セルの固定色(AK128)=セルの固定色(AK$6),1,"")</f>
        <v>#VALUE!</v>
      </c>
      <c r="AM128" s="14" t="e">
        <f>IF(OR(ISBLANK(AL128),AL128=""),"",COUNTIF(AL$6:AL128,"&gt;0"))</f>
        <v>#VALUE!</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e">
        <f>IF(セルの固定色(AK129)=セルの固定色(AK$6),1,"")</f>
        <v>#VALUE!</v>
      </c>
      <c r="AM129" s="14" t="e">
        <f>IF(OR(ISBLANK(AL129),AL129=""),"",COUNTIF(AL$6:AL129,"&gt;0"))</f>
        <v>#VALUE!</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e">
        <f>IF(セルの固定色(AK130)=セルの固定色(AK$6),1,"")</f>
        <v>#VALUE!</v>
      </c>
      <c r="AM130" s="14" t="e">
        <f>IF(OR(ISBLANK(AL130),AL130=""),"",COUNTIF(AL$6:AL130,"&gt;0"))</f>
        <v>#VALUE!</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e">
        <f>IF(セルの固定色(AK131)=セルの固定色(AK$6),1,"")</f>
        <v>#VALUE!</v>
      </c>
      <c r="AM131" s="14" t="e">
        <f>IF(OR(ISBLANK(AL131),AL131=""),"",COUNTIF(AL$6:AL131,"&gt;0"))</f>
        <v>#VALUE!</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e">
        <f>IF(セルの固定色(AK132)=セルの固定色(AK$6),1,"")</f>
        <v>#VALUE!</v>
      </c>
      <c r="AM132" s="14" t="e">
        <f>IF(OR(ISBLANK(AL132),AL132=""),"",COUNTIF(AL$6:AL132,"&gt;0"))</f>
        <v>#VALUE!</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e">
        <f>IF(セルの固定色(AK133)=セルの固定色(AK$6),1,"")</f>
        <v>#VALUE!</v>
      </c>
      <c r="AM133" s="14" t="e">
        <f>IF(OR(ISBLANK(AL133),AL133=""),"",COUNTIF(AL$6:AL133,"&gt;0"))</f>
        <v>#VALUE!</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e">
        <f>IF(セルの固定色(AK134)=セルの固定色(AK$6),1,"")</f>
        <v>#VALUE!</v>
      </c>
      <c r="AM134" s="14" t="e">
        <f>IF(OR(ISBLANK(AL134),AL134=""),"",COUNTIF(AL$6:AL134,"&gt;0"))</f>
        <v>#VALUE!</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e">
        <f>IF(セルの固定色(AK135)=セルの固定色(AK$6),1,"")</f>
        <v>#VALUE!</v>
      </c>
      <c r="AM135" s="14" t="e">
        <f>IF(OR(ISBLANK(AL135),AL135=""),"",COUNTIF(AL$6:AL135,"&gt;0"))</f>
        <v>#VALUE!</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AB26"/>
  <sheetViews>
    <sheetView tabSelected="1" zoomScaleNormal="100" workbookViewId="0">
      <selection activeCell="B16" sqref="B16"/>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59" t="s">
        <v>1498</v>
      </c>
      <c r="E1" s="160"/>
      <c r="F1" s="161"/>
      <c r="G1" s="159" t="s">
        <v>1517</v>
      </c>
      <c r="H1" s="160"/>
      <c r="I1" s="161"/>
      <c r="K1" s="159" t="s">
        <v>1507</v>
      </c>
      <c r="L1" s="160"/>
      <c r="M1" s="161"/>
      <c r="N1" s="159" t="s">
        <v>1517</v>
      </c>
      <c r="O1" s="160"/>
      <c r="P1" s="161"/>
      <c r="R1" s="159" t="s">
        <v>1508</v>
      </c>
      <c r="S1" s="160"/>
      <c r="T1" s="161"/>
      <c r="U1" s="159" t="s">
        <v>1510</v>
      </c>
      <c r="V1" s="160"/>
      <c r="W1" s="161"/>
      <c r="Y1" s="159" t="s">
        <v>1512</v>
      </c>
      <c r="Z1" s="160"/>
      <c r="AA1" s="160"/>
      <c r="AB1" s="161"/>
    </row>
    <row r="2" spans="1:28" ht="18.75" customHeight="1">
      <c r="A2" s="141">
        <v>43922</v>
      </c>
      <c r="C2" s="140" t="s">
        <v>1493</v>
      </c>
    </row>
    <row r="3" spans="1:28" ht="18.75" customHeight="1">
      <c r="A3" s="142">
        <v>44104</v>
      </c>
      <c r="D3" s="140" t="s">
        <v>1498</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D5" s="158"/>
      <c r="F5" s="153"/>
      <c r="G5" s="154"/>
      <c r="K5" s="148" t="s">
        <v>1066</v>
      </c>
      <c r="M5" s="153"/>
      <c r="N5" s="154"/>
      <c r="T5" s="155"/>
      <c r="U5" s="156"/>
      <c r="Y5" s="158"/>
      <c r="Z5" s="158"/>
      <c r="AA5" s="158"/>
      <c r="AB5" s="158"/>
    </row>
    <row r="6" spans="1:28" ht="18.75" customHeight="1">
      <c r="A6" s="140" t="s">
        <v>1490</v>
      </c>
      <c r="B6" s="140" t="b">
        <f>ISREF(集計期間)</f>
        <v>1</v>
      </c>
      <c r="D6" t="s">
        <v>1521</v>
      </c>
      <c r="E6" s="152"/>
      <c r="F6" s="152"/>
      <c r="G6" s="152"/>
      <c r="H6" s="152"/>
      <c r="I6" s="152"/>
      <c r="K6" s="149" t="s">
        <v>27</v>
      </c>
      <c r="L6" s="150"/>
      <c r="M6" s="150"/>
      <c r="N6" s="151"/>
      <c r="O6" s="152"/>
      <c r="P6" s="152"/>
      <c r="R6" s="152"/>
      <c r="S6" s="152"/>
      <c r="T6" s="152"/>
      <c r="U6" s="152"/>
      <c r="V6" s="152"/>
      <c r="W6" s="152"/>
    </row>
    <row r="7" spans="1:28" ht="18.75" customHeight="1">
      <c r="A7" s="140" t="s">
        <v>1492</v>
      </c>
      <c r="B7" s="140" t="b">
        <f>ISREF(組織)</f>
        <v>1</v>
      </c>
      <c r="D7" t="s">
        <v>1242</v>
      </c>
      <c r="K7" s="149" t="s">
        <v>54</v>
      </c>
      <c r="L7" s="150"/>
      <c r="M7" s="150"/>
    </row>
    <row r="8" spans="1:28" ht="18.75" customHeight="1">
      <c r="A8" s="140" t="s">
        <v>1495</v>
      </c>
      <c r="B8" s="140" t="b">
        <f>ISREF(承認記録)</f>
        <v>1</v>
      </c>
      <c r="D8" t="s">
        <v>1260</v>
      </c>
      <c r="K8" s="149" t="s">
        <v>779</v>
      </c>
      <c r="L8" s="150"/>
      <c r="M8" s="150"/>
    </row>
    <row r="9" spans="1:28" ht="18.75" customHeight="1">
      <c r="A9" s="140" t="s">
        <v>1496</v>
      </c>
      <c r="B9" s="140" t="b">
        <f>ISREF(取引区分)</f>
        <v>1</v>
      </c>
      <c r="D9" t="s">
        <v>1287</v>
      </c>
      <c r="K9" s="149" t="s">
        <v>166</v>
      </c>
      <c r="L9" s="150"/>
      <c r="M9" s="150"/>
    </row>
    <row r="10" spans="1:28" ht="18.75" customHeight="1">
      <c r="A10" s="140" t="s">
        <v>1516</v>
      </c>
      <c r="B10" s="140" t="b">
        <f ca="1">ISREF(取引区分(非ゼロ))</f>
        <v>0</v>
      </c>
      <c r="D10" t="s">
        <v>1296</v>
      </c>
      <c r="K10" s="149" t="s">
        <v>1077</v>
      </c>
      <c r="L10" s="150"/>
      <c r="M10" s="150"/>
    </row>
    <row r="11" spans="1:28" ht="18.75" customHeight="1">
      <c r="A11" s="140" t="s">
        <v>1498</v>
      </c>
      <c r="B11" s="140" t="b">
        <f>ISREF(組織集計)</f>
        <v>1</v>
      </c>
      <c r="D11" t="s">
        <v>1530</v>
      </c>
      <c r="K11" s="149" t="s">
        <v>87</v>
      </c>
      <c r="L11" s="150"/>
      <c r="M11" s="150"/>
    </row>
    <row r="12" spans="1:28" ht="18.75" customHeight="1">
      <c r="A12" s="140" t="s">
        <v>1517</v>
      </c>
      <c r="B12" s="140" t="b">
        <f ca="1">ISREF(組織集計(非ゼロ))</f>
        <v>0</v>
      </c>
      <c r="D12" t="s">
        <v>1536</v>
      </c>
      <c r="K12" s="149" t="s">
        <v>494</v>
      </c>
      <c r="L12" s="150"/>
      <c r="M12" s="150"/>
    </row>
    <row r="13" spans="1:28" ht="18.75" customHeight="1">
      <c r="A13" s="140" t="s">
        <v>1508</v>
      </c>
      <c r="B13" s="140" t="b">
        <f>ISREF(仕向地集計)</f>
        <v>0</v>
      </c>
      <c r="D13" t="s">
        <v>1541</v>
      </c>
      <c r="K13" s="149" t="s">
        <v>73</v>
      </c>
      <c r="L13" s="150"/>
      <c r="M13" s="150"/>
    </row>
    <row r="14" spans="1:28" ht="18.75" customHeight="1">
      <c r="A14" s="140" t="s">
        <v>1509</v>
      </c>
      <c r="B14" s="140" t="b">
        <f ca="1">ISREF(仕向地集計(トップ))</f>
        <v>0</v>
      </c>
      <c r="D14" t="s">
        <v>1544</v>
      </c>
      <c r="K14" s="149" t="s">
        <v>259</v>
      </c>
      <c r="L14" s="150"/>
      <c r="M14" s="150"/>
    </row>
    <row r="15" spans="1:28" ht="18.75" customHeight="1">
      <c r="A15" s="140" t="s">
        <v>1512</v>
      </c>
      <c r="B15" s="140" t="b">
        <f>ISREF(該当取引)</f>
        <v>0</v>
      </c>
      <c r="D15" t="s">
        <v>1548</v>
      </c>
      <c r="K15" s="149" t="s">
        <v>252</v>
      </c>
      <c r="L15" s="150"/>
      <c r="M15" s="150"/>
    </row>
    <row r="16" spans="1:28" ht="18.75" customHeight="1">
      <c r="A16" s="140" t="s">
        <v>1520</v>
      </c>
      <c r="B16" s="140" t="b">
        <f>ISREF(Range_組織辞書)</f>
        <v>1</v>
      </c>
      <c r="D16" t="s">
        <v>1551</v>
      </c>
      <c r="K16" s="149"/>
      <c r="L16" s="150"/>
      <c r="M16" s="150"/>
    </row>
    <row r="17" spans="1:13" ht="18.75" customHeight="1">
      <c r="D17" t="s">
        <v>1557</v>
      </c>
      <c r="K17" s="149"/>
      <c r="L17" s="150"/>
      <c r="M17" s="150"/>
    </row>
    <row r="18" spans="1:13" ht="18.75" customHeight="1">
      <c r="D18" t="s">
        <v>1558</v>
      </c>
    </row>
    <row r="19" spans="1:13" ht="18.75" customHeight="1">
      <c r="A19" s="143" t="s">
        <v>1499</v>
      </c>
      <c r="B19" s="157"/>
      <c r="D19" t="s">
        <v>1562</v>
      </c>
    </row>
    <row r="20" spans="1:13" ht="18.75" customHeight="1">
      <c r="A20" s="140" t="s">
        <v>1500</v>
      </c>
      <c r="B20" s="157"/>
      <c r="D20" t="s">
        <v>1385</v>
      </c>
    </row>
    <row r="21" spans="1:13" ht="18.75" customHeight="1">
      <c r="A21" s="140" t="s">
        <v>1502</v>
      </c>
      <c r="B21" s="157"/>
      <c r="D21" t="s">
        <v>1564</v>
      </c>
    </row>
    <row r="22" spans="1:13" ht="18.75" customHeight="1">
      <c r="A22" s="140" t="s">
        <v>1503</v>
      </c>
      <c r="B22" s="157"/>
      <c r="D22" t="s">
        <v>1398</v>
      </c>
    </row>
    <row r="23" spans="1:13" ht="18.75" customHeight="1">
      <c r="A23" s="140" t="s">
        <v>1504</v>
      </c>
      <c r="B23" s="157"/>
      <c r="D23" t="s">
        <v>1419</v>
      </c>
    </row>
    <row r="24" spans="1:13" ht="18.75" customHeight="1">
      <c r="A24" s="140" t="s">
        <v>1505</v>
      </c>
      <c r="B24" s="157"/>
      <c r="D24" t="s">
        <v>545</v>
      </c>
    </row>
    <row r="25" spans="1:13" ht="18.75" customHeight="1">
      <c r="A25" s="140" t="s">
        <v>1506</v>
      </c>
      <c r="B25" s="157"/>
      <c r="D25" t="s">
        <v>1434</v>
      </c>
    </row>
    <row r="26" spans="1:13" ht="18.75" customHeight="1">
      <c r="D26" t="s">
        <v>1437</v>
      </c>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7" name="Button 13">
              <controlPr defaultSize="0" print="0" autoFill="0" autoPict="0" macro="[0]!Sheet1.テスト">
                <anchor moveWithCells="1" sizeWithCells="1">
                  <from>
                    <xdr:col>5</xdr:col>
                    <xdr:colOff>28575</xdr:colOff>
                    <xdr:row>4</xdr:row>
                    <xdr:rowOff>28575</xdr:rowOff>
                  </from>
                  <to>
                    <xdr:col>5</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R22"/>
  <sheetViews>
    <sheetView workbookViewId="0">
      <selection activeCell="B8" sqref="B8"/>
    </sheetView>
  </sheetViews>
  <sheetFormatPr defaultRowHeight="13.5"/>
  <cols>
    <col min="1" max="16384" width="9" style="138"/>
  </cols>
  <sheetData>
    <row r="1" spans="1:18">
      <c r="A1" s="139" t="s">
        <v>1486</v>
      </c>
      <c r="B1" s="139" t="s">
        <v>1487</v>
      </c>
      <c r="D1" s="139" t="s">
        <v>1488</v>
      </c>
      <c r="E1" s="139" t="s">
        <v>1489</v>
      </c>
    </row>
    <row r="2" spans="1:18" ht="18.75">
      <c r="D2" t="s">
        <v>1521</v>
      </c>
      <c r="E2" t="s">
        <v>1072</v>
      </c>
      <c r="F2" t="s">
        <v>1074</v>
      </c>
      <c r="G2" t="s">
        <v>1522</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1523</v>
      </c>
      <c r="K3" t="s">
        <v>1524</v>
      </c>
      <c r="L3" t="s">
        <v>1099</v>
      </c>
      <c r="M3"/>
      <c r="N3"/>
      <c r="O3"/>
      <c r="P3"/>
      <c r="Q3"/>
      <c r="R3"/>
    </row>
    <row r="4" spans="1:18" ht="18.75">
      <c r="D4" t="s">
        <v>1260</v>
      </c>
      <c r="E4" t="s">
        <v>139</v>
      </c>
      <c r="F4" t="s">
        <v>47</v>
      </c>
      <c r="G4" t="s">
        <v>1102</v>
      </c>
      <c r="H4" t="s">
        <v>1525</v>
      </c>
      <c r="I4" t="s">
        <v>1104</v>
      </c>
      <c r="J4" t="s">
        <v>101</v>
      </c>
      <c r="K4" t="s">
        <v>1105</v>
      </c>
      <c r="L4" t="s">
        <v>32</v>
      </c>
      <c r="M4" t="s">
        <v>128</v>
      </c>
      <c r="N4" t="s">
        <v>1106</v>
      </c>
      <c r="O4" t="s">
        <v>90</v>
      </c>
      <c r="P4" t="s">
        <v>596</v>
      </c>
      <c r="Q4" t="s">
        <v>1109</v>
      </c>
      <c r="R4" t="s">
        <v>1110</v>
      </c>
    </row>
    <row r="5" spans="1:18" ht="18.75">
      <c r="D5" t="s">
        <v>1287</v>
      </c>
      <c r="E5" t="s">
        <v>1526</v>
      </c>
      <c r="F5" t="s">
        <v>191</v>
      </c>
      <c r="G5" t="s">
        <v>1527</v>
      </c>
      <c r="H5" t="s">
        <v>1528</v>
      </c>
      <c r="I5"/>
      <c r="J5"/>
      <c r="K5"/>
      <c r="L5"/>
      <c r="M5"/>
      <c r="N5"/>
      <c r="O5"/>
      <c r="P5"/>
      <c r="Q5"/>
      <c r="R5"/>
    </row>
    <row r="6" spans="1:18" ht="18.75">
      <c r="D6" t="s">
        <v>1296</v>
      </c>
      <c r="E6" t="s">
        <v>1529</v>
      </c>
      <c r="F6" t="s">
        <v>368</v>
      </c>
      <c r="G6" t="s">
        <v>1195</v>
      </c>
      <c r="H6" t="s">
        <v>1117</v>
      </c>
      <c r="I6"/>
      <c r="J6"/>
      <c r="K6"/>
      <c r="L6"/>
      <c r="M6"/>
      <c r="N6"/>
      <c r="O6"/>
      <c r="P6"/>
      <c r="Q6"/>
      <c r="R6"/>
    </row>
    <row r="7" spans="1:18" ht="18.75">
      <c r="D7" t="s">
        <v>1530</v>
      </c>
      <c r="E7" t="s">
        <v>1531</v>
      </c>
      <c r="F7" t="s">
        <v>1532</v>
      </c>
      <c r="G7" t="s">
        <v>635</v>
      </c>
      <c r="H7" t="s">
        <v>1533</v>
      </c>
      <c r="I7" t="s">
        <v>1534</v>
      </c>
      <c r="J7" t="s">
        <v>1535</v>
      </c>
      <c r="K7"/>
      <c r="L7"/>
      <c r="M7"/>
      <c r="N7"/>
      <c r="O7"/>
      <c r="P7"/>
      <c r="Q7"/>
      <c r="R7"/>
    </row>
    <row r="8" spans="1:18" ht="18.75">
      <c r="D8" t="s">
        <v>1536</v>
      </c>
      <c r="E8" t="s">
        <v>1537</v>
      </c>
      <c r="F8" t="s">
        <v>271</v>
      </c>
      <c r="G8" t="s">
        <v>1538</v>
      </c>
      <c r="H8" t="s">
        <v>1539</v>
      </c>
      <c r="I8" t="s">
        <v>264</v>
      </c>
      <c r="J8" t="s">
        <v>1540</v>
      </c>
      <c r="K8"/>
      <c r="L8"/>
      <c r="M8"/>
      <c r="N8"/>
      <c r="O8"/>
      <c r="P8"/>
      <c r="Q8"/>
      <c r="R8"/>
    </row>
    <row r="9" spans="1:18" ht="18.75">
      <c r="D9" t="s">
        <v>1541</v>
      </c>
      <c r="E9" t="s">
        <v>1542</v>
      </c>
      <c r="F9" t="s">
        <v>396</v>
      </c>
      <c r="G9" t="s">
        <v>236</v>
      </c>
      <c r="H9" t="s">
        <v>1543</v>
      </c>
      <c r="I9"/>
      <c r="J9"/>
      <c r="K9"/>
      <c r="L9"/>
      <c r="M9"/>
      <c r="N9"/>
      <c r="O9"/>
      <c r="P9"/>
      <c r="Q9"/>
      <c r="R9"/>
    </row>
    <row r="10" spans="1:18" ht="18.75">
      <c r="D10" t="s">
        <v>1544</v>
      </c>
      <c r="E10" t="s">
        <v>718</v>
      </c>
      <c r="F10" t="s">
        <v>1545</v>
      </c>
      <c r="G10" t="s">
        <v>1546</v>
      </c>
      <c r="H10" t="s">
        <v>1547</v>
      </c>
      <c r="I10"/>
      <c r="J10"/>
      <c r="K10"/>
      <c r="L10"/>
      <c r="M10"/>
      <c r="N10"/>
      <c r="O10"/>
      <c r="P10"/>
      <c r="Q10"/>
      <c r="R10"/>
    </row>
    <row r="11" spans="1:18" ht="18.75">
      <c r="D11" t="s">
        <v>1548</v>
      </c>
      <c r="E11" t="s">
        <v>1549</v>
      </c>
      <c r="F11" t="s">
        <v>1550</v>
      </c>
      <c r="G11"/>
      <c r="H11"/>
      <c r="I11"/>
      <c r="J11"/>
      <c r="K11"/>
      <c r="L11"/>
      <c r="M11"/>
      <c r="N11"/>
      <c r="O11"/>
      <c r="P11"/>
      <c r="Q11"/>
      <c r="R11"/>
    </row>
    <row r="12" spans="1:18" ht="18.75">
      <c r="D12" t="s">
        <v>1551</v>
      </c>
      <c r="E12" t="s">
        <v>1552</v>
      </c>
      <c r="F12" t="s">
        <v>1553</v>
      </c>
      <c r="G12" t="s">
        <v>1554</v>
      </c>
      <c r="H12" t="s">
        <v>1555</v>
      </c>
      <c r="I12" t="s">
        <v>1556</v>
      </c>
      <c r="J12"/>
      <c r="K12"/>
      <c r="L12"/>
      <c r="M12"/>
      <c r="N12"/>
      <c r="O12"/>
      <c r="P12"/>
      <c r="Q12"/>
      <c r="R12"/>
    </row>
    <row r="13" spans="1:18" ht="18.75">
      <c r="D13" t="s">
        <v>1557</v>
      </c>
      <c r="E13"/>
      <c r="F13"/>
      <c r="G13"/>
      <c r="H13"/>
      <c r="I13"/>
      <c r="J13"/>
      <c r="K13"/>
      <c r="L13"/>
      <c r="M13"/>
      <c r="N13"/>
      <c r="O13"/>
      <c r="P13"/>
      <c r="Q13"/>
      <c r="R13"/>
    </row>
    <row r="14" spans="1:18" ht="18.75">
      <c r="D14" t="s">
        <v>1558</v>
      </c>
      <c r="E14" t="s">
        <v>1559</v>
      </c>
      <c r="F14" t="s">
        <v>1560</v>
      </c>
      <c r="G14" t="s">
        <v>1561</v>
      </c>
      <c r="H14"/>
      <c r="I14"/>
      <c r="J14"/>
      <c r="K14"/>
      <c r="L14"/>
      <c r="M14"/>
      <c r="N14"/>
      <c r="O14"/>
      <c r="P14"/>
      <c r="Q14"/>
      <c r="R14"/>
    </row>
    <row r="15" spans="1:18" ht="18.75">
      <c r="D15" t="s">
        <v>1562</v>
      </c>
      <c r="E15" t="s">
        <v>1563</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1564</v>
      </c>
      <c r="E17" t="s">
        <v>1565</v>
      </c>
      <c r="F17" t="s">
        <v>1566</v>
      </c>
      <c r="G17" t="s">
        <v>1567</v>
      </c>
      <c r="H17" t="s">
        <v>1568</v>
      </c>
      <c r="I17"/>
      <c r="J17"/>
      <c r="K17"/>
      <c r="L17"/>
      <c r="M17"/>
      <c r="N17"/>
      <c r="O17"/>
      <c r="P17"/>
      <c r="Q17"/>
      <c r="R17"/>
    </row>
    <row r="18" spans="4:18" ht="18.75">
      <c r="D18" t="s">
        <v>1398</v>
      </c>
      <c r="E18" t="s">
        <v>1156</v>
      </c>
      <c r="F18" t="s">
        <v>1157</v>
      </c>
      <c r="G18" t="s">
        <v>1569</v>
      </c>
      <c r="H18" t="s">
        <v>1159</v>
      </c>
      <c r="I18" t="s">
        <v>1160</v>
      </c>
      <c r="J18" t="s">
        <v>1410</v>
      </c>
      <c r="K18" t="s">
        <v>1161</v>
      </c>
      <c r="L18" t="s">
        <v>1570</v>
      </c>
      <c r="M18" t="s">
        <v>1571</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1572</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E1"/>
  <sheetViews>
    <sheetView workbookViewId="0">
      <selection activeCell="D2" sqref="D2:G5"/>
    </sheetView>
  </sheetViews>
  <sheetFormatPr defaultRowHeight="13.5"/>
  <cols>
    <col min="1" max="16384" width="9" style="138"/>
  </cols>
  <sheetData>
    <row r="1" spans="1:5">
      <c r="A1" s="139" t="s">
        <v>1486</v>
      </c>
      <c r="B1" s="139" t="s">
        <v>1487</v>
      </c>
      <c r="D1" s="139" t="s">
        <v>1488</v>
      </c>
      <c r="E1" s="139" t="s">
        <v>1489</v>
      </c>
    </row>
  </sheetData>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2" t="s">
        <v>1210</v>
      </c>
      <c r="C4" s="163"/>
      <c r="D4" s="164"/>
      <c r="E4" s="168" t="s">
        <v>1211</v>
      </c>
      <c r="F4" s="168" t="s">
        <v>1212</v>
      </c>
    </row>
    <row r="5" spans="2:7" ht="14.25" thickBot="1">
      <c r="B5" s="165"/>
      <c r="C5" s="166"/>
      <c r="D5" s="167"/>
      <c r="E5" s="169"/>
      <c r="F5" s="169"/>
    </row>
    <row r="6" spans="2:7" s="72" customFormat="1" ht="14.25" customHeight="1" thickTop="1">
      <c r="B6" s="170" t="s">
        <v>1213</v>
      </c>
      <c r="C6" s="171"/>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2" t="s">
        <v>1250</v>
      </c>
      <c r="D24" s="173"/>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8" t="s">
        <v>1172</v>
      </c>
      <c r="D2" s="178"/>
      <c r="E2" s="37">
        <f>E8-E7</f>
        <v>18</v>
      </c>
      <c r="H2">
        <v>13</v>
      </c>
      <c r="M2" s="36"/>
      <c r="N2" s="178" t="s">
        <v>1172</v>
      </c>
      <c r="O2" s="178"/>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7" t="s">
        <v>1179</v>
      </c>
      <c r="D7" s="179"/>
      <c r="E7" s="40">
        <v>87</v>
      </c>
      <c r="F7" t="s">
        <v>1063</v>
      </c>
      <c r="G7">
        <f t="shared" si="0"/>
        <v>180</v>
      </c>
      <c r="M7" s="38"/>
      <c r="N7" s="177" t="s">
        <v>1179</v>
      </c>
      <c r="O7" s="179"/>
      <c r="P7" s="40">
        <v>93</v>
      </c>
    </row>
    <row r="8" spans="1:18">
      <c r="B8" s="176" t="s">
        <v>1180</v>
      </c>
      <c r="C8" s="177"/>
      <c r="D8" s="179"/>
      <c r="E8" s="40">
        <v>105</v>
      </c>
      <c r="F8" t="s">
        <v>1176</v>
      </c>
      <c r="G8">
        <f t="shared" si="0"/>
        <v>210</v>
      </c>
      <c r="M8" s="176" t="s">
        <v>1180</v>
      </c>
      <c r="N8" s="177"/>
      <c r="O8" s="179"/>
      <c r="P8" s="40">
        <v>105</v>
      </c>
    </row>
    <row r="9" spans="1:18">
      <c r="B9" s="38"/>
      <c r="C9" s="39"/>
      <c r="D9" s="39"/>
      <c r="E9" s="41"/>
      <c r="G9">
        <f t="shared" si="0"/>
        <v>0</v>
      </c>
      <c r="M9" s="38"/>
      <c r="N9" s="39"/>
      <c r="O9" s="39"/>
      <c r="P9" s="41"/>
    </row>
    <row r="10" spans="1:18">
      <c r="B10" s="176" t="s">
        <v>1181</v>
      </c>
      <c r="C10" s="177"/>
      <c r="D10" s="177"/>
      <c r="E10" s="40">
        <v>1</v>
      </c>
      <c r="G10">
        <f t="shared" si="0"/>
        <v>81</v>
      </c>
      <c r="M10" s="176" t="s">
        <v>1181</v>
      </c>
      <c r="N10" s="177"/>
      <c r="O10" s="177"/>
      <c r="P10" s="40">
        <v>80</v>
      </c>
    </row>
    <row r="11" spans="1:18" ht="19.5" thickBot="1">
      <c r="B11" s="174" t="s">
        <v>1182</v>
      </c>
      <c r="C11" s="175"/>
      <c r="D11" s="175"/>
      <c r="E11" s="42">
        <f>G17</f>
        <v>279</v>
      </c>
      <c r="G11">
        <f t="shared" si="0"/>
        <v>542</v>
      </c>
      <c r="M11" s="174" t="s">
        <v>1182</v>
      </c>
      <c r="N11" s="175"/>
      <c r="O11" s="175"/>
      <c r="P11" s="42">
        <v>263</v>
      </c>
    </row>
    <row r="12" spans="1:18" ht="19.5" thickTop="1"/>
    <row r="13" spans="1:18">
      <c r="B13" s="176" t="s">
        <v>1183</v>
      </c>
      <c r="C13" s="177"/>
      <c r="D13" s="177"/>
      <c r="E13" s="40">
        <f>185+E8+E10</f>
        <v>291</v>
      </c>
      <c r="M13" s="176" t="s">
        <v>1183</v>
      </c>
      <c r="N13" s="177"/>
      <c r="O13" s="177"/>
      <c r="P13" s="40">
        <f>P8+P10</f>
        <v>185</v>
      </c>
    </row>
    <row r="14" spans="1:18" ht="19.5" thickBot="1">
      <c r="B14" s="174" t="s">
        <v>1184</v>
      </c>
      <c r="C14" s="175"/>
      <c r="D14" s="175"/>
      <c r="E14" s="42">
        <f>368+E11+E8</f>
        <v>752</v>
      </c>
      <c r="M14" s="174" t="s">
        <v>1184</v>
      </c>
      <c r="N14" s="175"/>
      <c r="O14" s="175"/>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計</v>
      </c>
      <c r="C3" s="55">
        <f ca="1">IF(OR(B2=B$26,B2=""),"",IF(中間処理シート!O4="",SUM(C2:C$3),中間処理シート!P4))</f>
        <v>3</v>
      </c>
      <c r="D3" s="37">
        <f ca="1">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
      </c>
      <c r="C4" s="39" t="str">
        <f>IF(OR(B3=B$26,B3=""),"",IF(中間処理シート!O5="",SUM(C$3:C3),中間処理シート!P5))</f>
        <v/>
      </c>
      <c r="D4" s="41" t="str">
        <f>IF(OR(B3=B$26,B3=""),"",IF(中間処理シート!O5="",SUM(D$3:D3),中間処理シート!Q5))</f>
        <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
      </c>
      <c r="C5" s="39" t="str">
        <f>IF(OR(B4=B$26,B4=""),"",IF(中間処理シート!O6="",SUM(C$3:C4),中間処理シート!P6))</f>
        <v/>
      </c>
      <c r="D5" s="41" t="str">
        <f>IF(OR(B4=B$26,B4=""),"",IF(中間処理シート!O6="",SUM(D$3:D4),中間処理シート!Q6))</f>
        <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
      </c>
      <c r="C6" s="39" t="str">
        <f>IF(OR(B5=B$26,B5=""),"",IF(中間処理シート!O7="",SUM(C$3:C5),中間処理シート!P7))</f>
        <v/>
      </c>
      <c r="D6" s="41" t="str">
        <f>IF(OR(B5=B$26,B5=""),"",IF(中間処理シート!O7="",SUM(D$3:D5),中間処理シート!Q7))</f>
        <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
      </c>
      <c r="C7" s="39" t="str">
        <f>IF(OR(B6=B$26,B6=""),"",IF(中間処理シート!O8="",SUM(C$3:C6),中間処理シート!P8))</f>
        <v/>
      </c>
      <c r="D7" s="41" t="str">
        <f>IF(OR(B6=B$26,B6=""),"",IF(中間処理シート!O8="",SUM(D$3:D6),中間処理シート!Q8))</f>
        <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
      </c>
      <c r="C8" s="39" t="str">
        <f>IF(OR(B7=B$26,B7=""),"",IF(中間処理シート!O9="",SUM(C$3:C7),中間処理シート!P9))</f>
        <v/>
      </c>
      <c r="D8" s="41" t="str">
        <f>IF(OR(B7=B$26,B7=""),"",IF(中間処理シート!O9="",SUM(D$3:D7),中間処理シート!Q9))</f>
        <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
      </c>
      <c r="C9" s="39" t="str">
        <f>IF(OR(B8=B$26,B8=""),"",IF(中間処理シート!O10="",SUM(C$3:C8),中間処理シート!P10))</f>
        <v/>
      </c>
      <c r="D9" s="41" t="str">
        <f>IF(OR(B8=B$26,B8=""),"",IF(中間処理シート!O10="",SUM(D$3:D8),中間処理シート!Q10))</f>
        <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
      </c>
      <c r="C10" s="39" t="str">
        <f>IF(OR(B9=B$26,B9=""),"",IF(中間処理シート!O11="",SUM(C$3:C9),中間処理シート!P11))</f>
        <v/>
      </c>
      <c r="D10" s="41" t="str">
        <f>IF(OR(B9=B$26,B9=""),"",IF(中間処理シート!O11="",SUM(D$3:D9),中間処理シート!Q11))</f>
        <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0</v>
      </c>
      <c r="D25" s="60">
        <f>中間処理シート!Q27</f>
        <v>0</v>
      </c>
    </row>
    <row r="26" spans="2:7" ht="20.25" thickTop="1" thickBot="1">
      <c r="B26" s="58" t="s">
        <v>1206</v>
      </c>
      <c r="C26" s="59">
        <f ca="1">SUM(C3:C22)</f>
        <v>210</v>
      </c>
      <c r="D26" s="60">
        <f ca="1">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31</vt:i4>
      </vt:variant>
    </vt:vector>
  </HeadingPairs>
  <TitlesOfParts>
    <vt:vector size="40" baseType="lpstr">
      <vt:lpstr>yushutsu_kobetsu</vt:lpstr>
      <vt:lpstr>中間処理シート</vt:lpstr>
      <vt:lpstr>ダッシュボード</vt:lpstr>
      <vt:lpstr>組織略称</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集計状況</vt:lpstr>
      <vt:lpstr>集計名例外解決</vt:lpstr>
      <vt:lpstr>少額特例適用件数</vt:lpstr>
      <vt:lpstr>承認記録</vt:lpstr>
      <vt:lpstr>申請者所属</vt:lpstr>
      <vt:lpstr>組織</vt:lpstr>
      <vt:lpstr>組織集計</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2020-10-26T04:14:32Z</dcterms:modified>
</cp:coreProperties>
</file>