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2CD399E9-2949-4E2B-B0A5-B3DE4DA009BE}" xr6:coauthVersionLast="45" xr6:coauthVersionMax="45" xr10:uidLastSave="{00000000-0000-0000-0000-000000000000}"/>
  <bookViews>
    <workbookView xWindow="1455" yWindow="735" windowWidth="20730" windowHeight="11775" activeTab="1" xr2:uid="{00000000-000D-0000-FFFF-FFFF00000000}"/>
  </bookViews>
  <sheets>
    <sheet name="yushutsu_kobetsu" sheetId="2" r:id="rId1"/>
    <sheet name="中間処理シート" sheetId="3" r:id="rId2"/>
    <sheet name="組織名称・略称・英文呼称" sheetId="7" r:id="rId3"/>
    <sheet name="審査件数" sheetId="5" r:id="rId4"/>
    <sheet name="別表１～３" sheetId="6" r:id="rId5"/>
    <sheet name="包括・特例" sheetId="9" r:id="rId6"/>
  </sheets>
  <functionGroups builtInGroupCount="19"/>
  <definedNames>
    <definedName name="_xlnm._FilterDatabase" localSheetId="0" hidden="1">yushutsu_kobetsu!$A$1:$X$249</definedName>
    <definedName name="_xlnm._FilterDatabase" localSheetId="2" hidden="1">組織名称・略称・英文呼称!$A$4:$I$122</definedName>
    <definedName name="BU抽出">中間処理シート!$A$7</definedName>
    <definedName name="_xlnm.Print_Area" localSheetId="2">組織名称・略称・英文呼称!$B$1:$F$121</definedName>
    <definedName name="_xlnm.Print_Titles" localSheetId="2">組織名称・略称・英文呼称!$4:$5</definedName>
    <definedName name="Z_ABB5181E_BFEA_47AE_9492_1486C0A26110_.wvu.PrintArea" localSheetId="2" hidden="1">組織名称・略称・英文呼称!$B$1:$F$121</definedName>
    <definedName name="Z_ABB5181E_BFEA_47AE_9492_1486C0A26110_.wvu.PrintTitles" localSheetId="2" hidden="1">組織名称・略称・英文呼称!$4:$5</definedName>
    <definedName name="管理番号">yushutsu_kobetsu!$A:$A</definedName>
    <definedName name="期間＿開始">中間処理シート!$A$3</definedName>
    <definedName name="期間＿終了">中間処理シート!$A$5</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最終需要者">yushutsu_kobetsu!$N:$N</definedName>
    <definedName name="仕向地">yushutsu_kobetsu!$K:$K</definedName>
    <definedName name="仕向地抽出">中間処理シート!$A$11</definedName>
    <definedName name="申請者所属">yushutsu_kobetsu!$O:$O</definedName>
    <definedName name="特例抽出">中間処理シート!$A$16</definedName>
    <definedName name="非許可特例抽出">中間処理シート!$A$19</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6" l="1"/>
  <c r="C8" i="6"/>
  <c r="D7" i="6"/>
  <c r="C7" i="6"/>
  <c r="D6" i="6"/>
  <c r="C6" i="6"/>
  <c r="D5" i="6"/>
  <c r="C5" i="6"/>
  <c r="D4" i="6"/>
  <c r="C4" i="6"/>
  <c r="D3" i="6"/>
  <c r="C3" i="6"/>
  <c r="B12" i="6"/>
  <c r="B13" i="6" s="1"/>
  <c r="D11" i="6"/>
  <c r="C11" i="6"/>
  <c r="B11" i="6"/>
  <c r="D12" i="6" s="1"/>
  <c r="D9" i="6"/>
  <c r="C9" i="6"/>
  <c r="D10" i="6"/>
  <c r="C10" i="6"/>
  <c r="B3" i="6"/>
  <c r="B4" i="6" s="1"/>
  <c r="B5" i="6" s="1"/>
  <c r="B6" i="6" s="1"/>
  <c r="B7" i="6" s="1"/>
  <c r="B8" i="6" s="1"/>
  <c r="B9" i="6" s="1"/>
  <c r="F13" i="6"/>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C14" i="6" l="1"/>
  <c r="B14" i="6"/>
  <c r="D14" i="6"/>
  <c r="C12" i="6"/>
  <c r="D13" i="6"/>
  <c r="C13" i="6"/>
  <c r="AF19" i="3"/>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5" i="6" l="1"/>
  <c r="C15" i="6"/>
  <c r="B15" i="6"/>
  <c r="D11" i="3"/>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D16" i="6" l="1"/>
  <c r="B16" i="6"/>
  <c r="C16" i="6"/>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B17" i="6" l="1"/>
  <c r="D17" i="6"/>
  <c r="C17" i="6"/>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C18" i="6" l="1"/>
  <c r="B18" i="6"/>
  <c r="D18" i="6"/>
  <c r="G9" i="3"/>
  <c r="G6" i="3"/>
  <c r="G5" i="6"/>
  <c r="D19" i="6" l="1"/>
  <c r="C19" i="6"/>
  <c r="B19" i="6"/>
  <c r="G6" i="6"/>
  <c r="B20" i="6" l="1"/>
  <c r="D20" i="6"/>
  <c r="C20" i="6"/>
  <c r="B10" i="6"/>
  <c r="G7" i="6"/>
  <c r="B21" i="6" l="1"/>
  <c r="C21" i="6"/>
  <c r="D21" i="6"/>
  <c r="G8" i="6"/>
  <c r="C22" i="6" l="1"/>
  <c r="B22" i="6"/>
  <c r="D22" i="6"/>
  <c r="G9" i="6"/>
  <c r="AL25" i="3"/>
  <c r="AL22" i="3"/>
  <c r="AL69" i="3"/>
  <c r="AL58" i="3"/>
  <c r="AL126" i="3"/>
  <c r="AL73" i="3"/>
  <c r="AL53" i="3"/>
  <c r="AL125" i="3"/>
  <c r="AL131" i="3"/>
  <c r="AL14" i="3"/>
  <c r="AL83" i="3"/>
  <c r="AL75" i="3"/>
  <c r="AL17" i="3"/>
  <c r="AL31" i="3"/>
  <c r="AL134" i="3"/>
  <c r="AL91" i="3"/>
  <c r="AL101" i="3"/>
  <c r="AL46" i="3"/>
  <c r="AL38" i="3"/>
  <c r="AL40" i="3"/>
  <c r="AL88" i="3"/>
  <c r="AL104" i="3"/>
  <c r="AL112" i="3"/>
  <c r="AL84" i="3"/>
  <c r="AL98" i="3"/>
  <c r="AL6" i="3"/>
  <c r="AL15" i="3"/>
  <c r="AL119" i="3"/>
  <c r="AL45" i="3"/>
  <c r="AL11" i="3"/>
  <c r="AL115" i="3"/>
  <c r="AL50" i="3"/>
  <c r="AL32" i="3"/>
  <c r="AL60" i="3"/>
  <c r="AL48" i="3"/>
  <c r="AL97" i="3"/>
  <c r="AL27" i="3"/>
  <c r="AL13" i="3"/>
  <c r="AL23" i="3"/>
  <c r="AL37" i="3"/>
  <c r="AL20" i="3"/>
  <c r="AL108" i="3"/>
  <c r="AL71" i="3"/>
  <c r="AL29" i="3"/>
  <c r="AL106" i="3"/>
  <c r="AL89" i="3"/>
  <c r="AL33" i="3"/>
  <c r="AL59" i="3"/>
  <c r="AL80" i="3"/>
  <c r="AL113" i="3"/>
  <c r="AL12" i="3"/>
  <c r="AL87" i="3"/>
  <c r="AL110" i="3"/>
  <c r="AL124" i="3"/>
  <c r="AL63" i="3"/>
  <c r="AL79" i="3"/>
  <c r="AL8" i="3"/>
  <c r="AL34" i="3"/>
  <c r="AL76" i="3"/>
  <c r="AL42" i="3"/>
  <c r="AL81" i="3"/>
  <c r="AL129" i="3"/>
  <c r="AL132" i="3"/>
  <c r="AL121" i="3"/>
  <c r="AL36" i="3"/>
  <c r="AL49" i="3"/>
  <c r="AL74" i="3"/>
  <c r="AL51" i="3"/>
  <c r="AL61" i="3"/>
  <c r="AL135" i="3"/>
  <c r="AL26" i="3"/>
  <c r="AL28" i="3"/>
  <c r="AL43" i="3"/>
  <c r="AL57" i="3"/>
  <c r="AL47" i="3"/>
  <c r="AL30" i="3"/>
  <c r="AL82" i="3"/>
  <c r="AL93" i="3"/>
  <c r="AL99" i="3"/>
  <c r="AL100" i="3"/>
  <c r="AL68" i="3"/>
  <c r="AL7" i="3"/>
  <c r="AL54" i="3"/>
  <c r="AL90" i="3"/>
  <c r="AL56" i="3"/>
  <c r="AL122" i="3"/>
  <c r="AL128" i="3"/>
  <c r="AL24" i="3"/>
  <c r="AL107" i="3"/>
  <c r="AL35" i="3"/>
  <c r="AL65" i="3"/>
  <c r="AL52" i="3"/>
  <c r="AL123" i="3"/>
  <c r="AL62" i="3"/>
  <c r="AL19" i="3"/>
  <c r="AL130" i="3"/>
  <c r="AL66" i="3"/>
  <c r="AL9" i="3"/>
  <c r="AL16" i="3"/>
  <c r="AL10" i="3"/>
  <c r="AL64" i="3"/>
  <c r="AL120" i="3"/>
  <c r="AL114" i="3"/>
  <c r="AL77" i="3"/>
  <c r="AL39" i="3"/>
  <c r="AL44" i="3"/>
  <c r="AL94" i="3"/>
  <c r="AL133" i="3"/>
  <c r="AL105" i="3"/>
  <c r="AL72" i="3"/>
  <c r="AL103" i="3"/>
  <c r="AL41" i="3"/>
  <c r="AL102" i="3"/>
  <c r="AL116" i="3"/>
  <c r="AL96" i="3"/>
  <c r="AL111" i="3"/>
  <c r="AL117" i="3"/>
  <c r="AL109" i="3"/>
  <c r="AL21" i="3"/>
  <c r="AL78" i="3"/>
  <c r="AL127" i="3"/>
  <c r="AL95" i="3"/>
  <c r="AL118" i="3"/>
  <c r="AL55" i="3"/>
  <c r="AL85" i="3"/>
  <c r="AL86" i="3"/>
  <c r="AL92" i="3"/>
  <c r="AL67" i="3"/>
  <c r="AL18" i="3"/>
  <c r="AL70" i="3"/>
  <c r="D23" i="6" l="1"/>
  <c r="C23" i="6"/>
  <c r="B23" i="6"/>
  <c r="AM21" i="3"/>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P35" i="3" s="1"/>
  <c r="F5" i="3" s="1"/>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P109" i="3" s="1"/>
  <c r="AM128" i="3"/>
  <c r="AM106" i="3"/>
  <c r="G10" i="6"/>
  <c r="AO32" i="3" l="1"/>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I11" i="9"/>
  <c r="A14" i="3"/>
  <c r="C7" i="9"/>
  <c r="D21" i="9"/>
  <c r="D29" i="9"/>
  <c r="E18" i="9"/>
  <c r="E31" i="9"/>
  <c r="I26" i="9"/>
  <c r="F12" i="9"/>
  <c r="J19" i="9"/>
  <c r="I12" i="9"/>
  <c r="C27" i="9"/>
  <c r="C8" i="9"/>
  <c r="I14" i="9"/>
  <c r="I22" i="9"/>
  <c r="J21" i="9"/>
  <c r="A20" i="3"/>
  <c r="F8" i="9"/>
  <c r="A17" i="3"/>
  <c r="J28" i="9"/>
  <c r="E10" i="9"/>
  <c r="J11" i="9"/>
  <c r="I8" i="9"/>
  <c r="C20" i="9"/>
  <c r="E15" i="9"/>
  <c r="I7" i="9"/>
  <c r="E8" i="9"/>
  <c r="J31" i="9"/>
  <c r="C26" i="9"/>
  <c r="I4" i="9"/>
  <c r="E33" i="9"/>
  <c r="I25" i="9"/>
  <c r="J12" i="9"/>
  <c r="J9" i="9"/>
  <c r="D31" i="9"/>
  <c r="C29" i="9"/>
  <c r="C21" i="9"/>
  <c r="C9" i="9"/>
  <c r="I21" i="9"/>
  <c r="E19" i="9"/>
  <c r="I31" i="9"/>
  <c r="C23" i="9"/>
  <c r="F5" i="9"/>
  <c r="F13" i="9"/>
  <c r="F11" i="9"/>
  <c r="F28" i="9"/>
  <c r="F14" i="9"/>
  <c r="C12" i="9"/>
  <c r="E7" i="9"/>
  <c r="J20" i="9"/>
  <c r="C31" i="9"/>
  <c r="C5" i="9"/>
  <c r="C19" i="9"/>
  <c r="J16" i="9"/>
  <c r="F9" i="9"/>
  <c r="E9" i="9"/>
  <c r="D28" i="9"/>
  <c r="J27" i="9"/>
  <c r="J4" i="9"/>
  <c r="F22" i="9"/>
  <c r="J18" i="9"/>
  <c r="D5" i="9"/>
  <c r="E13" i="9"/>
  <c r="I6" i="9"/>
  <c r="I28" i="9"/>
  <c r="D33" i="9"/>
  <c r="D12" i="9"/>
  <c r="E24" i="9"/>
  <c r="D19" i="9"/>
  <c r="D18" i="9"/>
  <c r="C14" i="9"/>
  <c r="C11" i="9"/>
  <c r="I30" i="9"/>
  <c r="C28" i="9"/>
  <c r="D16" i="9"/>
  <c r="F20" i="9"/>
  <c r="J25" i="9"/>
  <c r="E11" i="9"/>
  <c r="D10" i="9"/>
  <c r="C24" i="9"/>
  <c r="I5" i="9"/>
  <c r="F25" i="9"/>
  <c r="I16" i="9"/>
  <c r="I15" i="9"/>
  <c r="D26" i="9"/>
  <c r="D27" i="9"/>
  <c r="F18" i="9"/>
  <c r="J30" i="9"/>
  <c r="F33" i="9"/>
  <c r="E27" i="9"/>
  <c r="D9" i="9"/>
  <c r="I27" i="9"/>
  <c r="D23" i="9"/>
  <c r="D24" i="9"/>
  <c r="D6" i="9"/>
  <c r="C15" i="9"/>
  <c r="D25" i="9"/>
  <c r="F4" i="9"/>
  <c r="I23" i="9"/>
  <c r="J10" i="9"/>
  <c r="I10" i="9"/>
  <c r="I9" i="9"/>
  <c r="E25" i="9"/>
  <c r="F27" i="9"/>
  <c r="J33" i="9"/>
  <c r="E6" i="9"/>
  <c r="D4" i="9"/>
  <c r="C22" i="9"/>
  <c r="J26" i="9"/>
  <c r="F6" i="9"/>
  <c r="I24" i="9"/>
  <c r="J7" i="9"/>
  <c r="I19" i="9"/>
  <c r="E26" i="9"/>
  <c r="E4" i="9"/>
  <c r="E12" i="9"/>
  <c r="C25" i="9"/>
  <c r="F23" i="9"/>
  <c r="F31" i="9"/>
  <c r="E29" i="9"/>
  <c r="F15" i="9"/>
  <c r="F19" i="9"/>
  <c r="E28" i="9"/>
  <c r="E30" i="9"/>
  <c r="E20" i="9"/>
  <c r="J14" i="9"/>
  <c r="J6" i="9"/>
  <c r="E22" i="9"/>
  <c r="I29" i="9"/>
  <c r="F21" i="9"/>
  <c r="J8" i="9"/>
  <c r="C6" i="9"/>
  <c r="F29" i="9"/>
  <c r="D8" i="9"/>
  <c r="D15" i="9"/>
  <c r="J13" i="9"/>
  <c r="E14" i="9"/>
  <c r="D22" i="9"/>
  <c r="E16" i="9"/>
  <c r="D30" i="9"/>
  <c r="J22" i="9"/>
  <c r="E23" i="9"/>
  <c r="J23" i="9"/>
  <c r="C16" i="9"/>
  <c r="E5" i="9"/>
  <c r="J29" i="9"/>
  <c r="J24" i="9"/>
  <c r="D20" i="9"/>
  <c r="C13" i="9"/>
  <c r="D14" i="9"/>
  <c r="D7" i="9"/>
  <c r="F16" i="9"/>
  <c r="C18" i="9"/>
  <c r="C33" i="9"/>
  <c r="F30" i="9"/>
  <c r="C30" i="9"/>
  <c r="C4" i="9"/>
  <c r="C10" i="9"/>
  <c r="I18" i="9"/>
  <c r="F10" i="9"/>
  <c r="J5" i="9"/>
  <c r="I13" i="9"/>
  <c r="J15" i="9"/>
  <c r="I33" i="9"/>
  <c r="E21" i="9"/>
  <c r="F26" i="9"/>
  <c r="I20" i="9"/>
  <c r="D11" i="9"/>
  <c r="D13" i="9"/>
  <c r="F24" i="9"/>
  <c r="F7"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Q15" i="3" l="1"/>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Q27" i="3" l="1"/>
  <c r="D25" i="6" s="1"/>
  <c r="P27" i="3"/>
  <c r="C25" i="6" s="1"/>
  <c r="G17" i="6"/>
  <c r="G18" i="6" l="1"/>
  <c r="D26" i="6" l="1"/>
  <c r="C26" i="6"/>
  <c r="G19" i="6"/>
  <c r="G20" i="6" l="1"/>
  <c r="G21" i="6" l="1"/>
  <c r="G22" i="6" l="1"/>
  <c r="G23"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<sst xmlns="http://schemas.openxmlformats.org/spreadsheetml/2006/main" count="5258" uniqueCount="1487">
  <si>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</si>
  <si>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</si>
  <si>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</si>
  <si>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</si>
  <si>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</si>
  <si>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</si>
  <si>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</si>
  <si>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</si>
  <si>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</si>
  <si>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</si>
  <si>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</si>
  <si>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</si>
  <si>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</si>
  <si>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</si>
  <si>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</si>
  <si>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</si>
  <si>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</si>
  <si>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</si>
  <si>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</si>
  <si>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</si>
  <si>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</si>
  <si>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</si>
  <si>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</si>
  <si>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</si>
  <si>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</si>
  <si>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</si>
  <si>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</si>
  <si>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</si>
  <si>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</si>
  <si>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</si>
  <si>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</si>
  <si>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</si>
  <si>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</si>
  <si>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</si>
  <si>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</si>
  <si>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</si>
  <si>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</si>
  <si>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</si>
  <si>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</si>
  <si>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</si>
  <si>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</si>
  <si>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</si>
  <si>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</si>
  <si>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</si>
  <si>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</si>
  <si>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</si>
  <si>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</si>
  <si>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</si>
  <si>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</si>
  <si>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</si>
  <si>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</si>
  <si>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</si>
  <si>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</si>
  <si>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</si>
  <si>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</si>
  <si>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</si>
  <si>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</si>
  <si>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</si>
  <si>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</si>
  <si>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</si>
  <si>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</si>
  <si>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</si>
  <si>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</si>
  <si>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</si>
  <si>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</si>
  <si>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</si>
  <si>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</si>
  <si>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</si>
  <si>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</si>
  <si>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</si>
  <si>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</si>
  <si>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</si>
  <si>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</si>
  <si>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</si>
  <si>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</si>
  <si>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</si>
  <si>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</si>
  <si>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</si>
  <si>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</si>
  <si>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</si>
  <si>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</si>
  <si>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</si>
  <si>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</si>
  <si>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</si>
  <si>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</si>
  <si>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</si>
  <si>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</si>
  <si>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</si>
  <si>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</si>
  <si>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</si>
  <si>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</si>
  <si>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</si>
  <si>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</si>
  <si>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</si>
  <si>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</si>
  <si>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</si>
  <si>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</si>
  <si>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</si>
  <si>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</si>
  <si>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</si>
  <si>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</si>
  <si>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</si>
  <si>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</si>
  <si>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</si>
  <si>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</si>
  <si>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</si>
  <si>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</si>
  <si>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</si>
  <si>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</si>
  <si>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</si>
  <si>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</si>
  <si>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</si>
  <si>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</si>
  <si>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</si>
  <si>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</si>
  <si>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</si>
  <si>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</si>
  <si>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</si>
  <si>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</si>
  <si>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</si>
  <si>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</si>
  <si>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</si>
  <si>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</si>
  <si>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</si>
  <si>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</si>
  <si>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</si>
  <si>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</si>
  <si>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</si>
  <si>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</si>
  <si>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</si>
  <si>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</si>
  <si>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</si>
  <si>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</si>
  <si>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</si>
  <si>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</si>
  <si>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</si>
  <si>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</si>
  <si>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</si>
  <si>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</si>
  <si>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</si>
  <si>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</si>
  <si>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</si>
  <si>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</si>
  <si>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</si>
  <si>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</si>
  <si>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</si>
  <si>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</si>
  <si>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</si>
  <si>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</si>
  <si>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</si>
  <si>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</si>
  <si>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</si>
  <si>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</si>
  <si>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</si>
  <si>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</si>
  <si>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</si>
  <si>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</si>
  <si>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</si>
  <si>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</si>
  <si>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</si>
  <si>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</si>
  <si>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</si>
  <si>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</si>
  <si>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</si>
  <si>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</si>
  <si>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</si>
  <si>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</si>
  <si>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</si>
  <si>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</si>
  <si>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</si>
  <si>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</si>
  <si>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</si>
  <si>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</si>
  <si>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</si>
  <si>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</si>
  <si>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</si>
  <si>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</si>
  <si>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</si>
  <si>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</si>
  <si>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</si>
  <si>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</si>
  <si>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</si>
  <si>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</si>
  <si>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</si>
  <si>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</si>
  <si>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</si>
  <si>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</si>
  <si>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</si>
  <si>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</si>
  <si>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</si>
  <si>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</si>
  <si>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</si>
  <si>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</si>
  <si>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</si>
  <si>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</si>
  <si>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</si>
  <si>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</si>
  <si>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</si>
  <si>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</si>
  <si>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</si>
  <si>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</si>
  <si>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</si>
  <si>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</si>
  <si>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</si>
  <si>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</si>
  <si>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</si>
  <si>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</si>
  <si>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</si>
  <si>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</si>
  <si>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</si>
  <si>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</si>
  <si>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</si>
  <si>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</si>
  <si>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</si>
  <si>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</si>
  <si>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</si>
  <si>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</si>
  <si>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</si>
  <si>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</si>
  <si>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</si>
  <si>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</si>
  <si>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</si>
  <si>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</si>
  <si>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</si>
  <si>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</si>
  <si>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</si>
  <si>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</si>
  <si>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</si>
  <si>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</si>
  <si>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</si>
  <si>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</si>
  <si>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</si>
  <si>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</si>
  <si>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</si>
  <si>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</si>
  <si>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</si>
  <si>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</si>
  <si>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</si>
  <si>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</si>
  <si>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</si>
  <si>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</si>
  <si>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</si>
  <si>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</si>
  <si>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</si>
  <si>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</si>
  <si>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</si>
  <si>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</si>
  <si>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</si>
  <si>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</si>
  <si>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</si>
  <si>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</si>
  <si>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</si>
  <si>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</si>
  <si>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</si>
  <si>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</si>
  <si>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</si>
  <si>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</si>
  <si>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</si>
  <si>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</si>
  <si>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</si>
  <si>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</si>
  <si>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</si>
  <si>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</si>
  <si>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</si>
  <si>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</si>
  <si>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</si>
  <si>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</si>
  <si>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</si>
  <si>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</si>
  <si>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</si>
  <si>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</si>
  <si>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</si>
  <si>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</si>
  <si>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</si>
  <si>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</si>
  <si>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</si>
  <si>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</si>
  <si>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</si>
  <si>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</si>
  <si>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</si>
  <si>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</si>
  <si>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</si>
  <si>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</si>
  <si>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</si>
  <si>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</si>
  <si>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</si>
  <si>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</si>
  <si>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</si>
  <si>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</si>
  <si>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</si>
  <si>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</si>
  <si>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</si>
  <si>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</si>
  <si>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</si>
  <si>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</si>
  <si>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</si>
  <si>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</si>
  <si>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</si>
  <si>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</si>
  <si>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</si>
  <si>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</si>
  <si>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</si>
  <si>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</si>
  <si>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</si>
  <si>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</si>
  <si>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</si>
  <si>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</si>
  <si>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</si>
  <si>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</si>
  <si>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</si>
  <si>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</si>
  <si>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</si>
  <si>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</si>
  <si>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</si>
  <si>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</si>
  <si>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</si>
  <si>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</si>
  <si>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</si>
  <si>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</si>
  <si>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</si>
  <si>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</si>
  <si>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</si>
  <si>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</si>
  <si>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</si>
  <si>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</si>
  <si>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</si>
  <si>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</si>
  <si>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</si>
  <si>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</si>
  <si>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</si>
  <si>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</si>
  <si>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</si>
  <si>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</si>
  <si>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</si>
  <si>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</si>
  <si>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</si>
  <si>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</si>
  <si>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</si>
  <si>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</si>
  <si>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</si>
  <si>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</si>
  <si>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</si>
  <si>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</si>
  <si>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</si>
  <si>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</si>
  <si>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</si>
  <si>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</si>
  <si>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</si>
  <si>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</si>
  <si>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</si>
  <si>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</si>
  <si>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</si>
  <si>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</si>
  <si>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</si>
  <si>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</si>
  <si>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</si>
  <si>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</si>
  <si>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</si>
  <si>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</si>
  <si>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</si>
  <si>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</si>
  <si>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</si>
  <si>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</si>
  <si>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</si>
  <si>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</si>
  <si>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</si>
  <si>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</si>
  <si>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</si>
  <si>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</si>
  <si>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</si>
  <si>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</si>
  <si>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</si>
  <si>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</si>
  <si>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</si>
  <si>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</si>
  <si>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</si>
  <si>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</si>
  <si>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</si>
  <si>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</si>
  <si>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</si>
  <si>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</si>
  <si>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</si>
  <si>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</si>
  <si>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</si>
  <si>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</si>
  <si>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</si>
  <si>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</si>
  <si>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</si>
  <si>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</si>
  <si>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</si>
  <si>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</si>
  <si>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</si>
  <si>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</si>
  <si>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</si>
  <si>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</si>
  <si>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</si>
  <si>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</si>
  <si>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</si>
  <si>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</si>
  <si>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</si>
  <si>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</si>
  <si>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</si>
  <si>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</si>
  <si>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</si>
  <si>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</si>
  <si>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</si>
  <si>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</si>
  <si>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</si>
  <si>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</si>
  <si>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</si>
  <si>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</si>
  <si>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</si>
  <si>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</si>
  <si>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</si>
  <si>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</si>
  <si>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</si>
  <si>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</si>
  <si>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</si>
  <si>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</si>
  <si>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</si>
  <si>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</si>
  <si>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</si>
  <si>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</si>
  <si>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</si>
  <si>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</si>
  <si>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</si>
  <si>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</si>
  <si>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</si>
  <si>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</si>
  <si>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</si>
  <si>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</si>
  <si>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</si>
  <si>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</si>
  <si>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</si>
  <si>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</si>
  <si>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</si>
  <si>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</si>
  <si>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</si>
  <si>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</si>
  <si>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</si>
  <si>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</si>
  <si>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</si>
  <si>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</si>
  <si>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</si>
  <si>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</si>
  <si>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</si>
  <si>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</si>
  <si>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</si>
  <si>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</si>
  <si>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</si>
  <si>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</si>
  <si>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</si>
  <si>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</si>
  <si>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</si>
  <si>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</si>
  <si>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</si>
  <si>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</si>
  <si>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</si>
  <si>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</si>
  <si>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</si>
  <si>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</si>
  <si>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</si>
  <si>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</si>
  <si>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</si>
  <si>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</si>
  <si>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</si>
  <si>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</si>
  <si>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</si>
  <si>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</si>
  <si>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</si>
  <si>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</si>
  <si>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</si>
  <si>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</si>
  <si>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</si>
  <si>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</si>
  <si>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</si>
  <si>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</si>
  <si>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</si>
  <si>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</si>
  <si>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</si>
  <si>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</si>
  <si>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</si>
  <si>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</si>
  <si>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</si>
  <si>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</si>
  <si>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</si>
  <si>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</si>
  <si>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</si>
  <si>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</si>
  <si>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</si>
  <si>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</si>
  <si>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</si>
  <si>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</si>
  <si>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</si>
  <si>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</si>
  <si>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</si>
  <si>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</si>
  <si>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</si>
  <si>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</si>
  <si>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</si>
  <si>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</si>
  <si>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</si>
  <si>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</si>
  <si>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</si>
  <si>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</si>
  <si>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</si>
  <si>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</si>
  <si>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</si>
  <si>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</si>
  <si>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</si>
  <si>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</si>
  <si>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</si>
  <si>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</si>
  <si>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</si>
  <si>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</si>
  <si>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</si>
  <si>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</si>
  <si>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</si>
  <si>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</si>
  <si>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</si>
  <si>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</si>
  <si>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</si>
  <si>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</si>
  <si>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</si>
  <si>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</si>
  <si>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</si>
  <si>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</si>
  <si>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</si>
  <si>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</si>
  <si>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</si>
  <si>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</si>
  <si>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</si>
  <si>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</si>
  <si>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</si>
  <si>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</si>
  <si>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</si>
  <si>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</si>
  <si>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</si>
  <si>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</si>
  <si>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</si>
  <si>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</si>
  <si>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</si>
  <si>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</si>
  <si>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</si>
  <si>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</si>
  <si>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</si>
  <si>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</si>
  <si>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</si>
  <si>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</si>
  <si>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</si>
  <si>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</si>
  <si>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</si>
  <si>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</si>
  <si>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</si>
  <si>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</si>
  <si>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</si>
  <si>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</si>
  <si>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</si>
  <si>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</si>
  <si>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</si>
  <si>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</si>
  <si>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</si>
  <si>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</si>
  <si>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</si>
  <si>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</si>
  <si>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</si>
  <si>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</si>
  <si>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</si>
  <si>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</si>
  <si>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</si>
  <si>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</si>
  <si>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</si>
  <si>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</si>
  <si>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</si>
  <si>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</si>
  <si>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</si>
  <si>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</si>
  <si>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</si>
  <si>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</si>
  <si>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</si>
  <si>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</si>
  <si>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</si>
  <si>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</si>
  <si>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</si>
  <si>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</si>
  <si>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</si>
  <si>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</si>
  <si>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</si>
  <si>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</si>
  <si>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</si>
  <si>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</si>
  <si>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</si>
  <si>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</si>
  <si>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</si>
  <si>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</si>
  <si>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</si>
  <si>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</si>
  <si>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</si>
  <si>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</si>
  <si>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</si>
  <si>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</si>
  <si>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</si>
  <si>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</si>
  <si>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</si>
  <si>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</si>
  <si>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</si>
  <si>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</si>
  <si>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</si>
  <si>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</si>
  <si>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</si>
  <si>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</si>
  <si>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</si>
  <si>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</si>
  <si>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</si>
  <si>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</si>
  <si>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</si>
  <si>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</si>
  <si>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</si>
  <si>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</si>
  <si>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</si>
  <si>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</si>
  <si>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</si>
  <si>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</si>
  <si>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</si>
  <si>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</si>
  <si>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</si>
  <si>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</si>
  <si>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</si>
  <si>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</si>
  <si>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</si>
  <si>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</si>
  <si>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</si>
  <si>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</si>
  <si>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</si>
  <si>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</si>
  <si>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</si>
  <si>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</si>
  <si>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</si>
  <si>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</si>
  <si>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</si>
  <si>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</si>
  <si>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</si>
  <si>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</si>
  <si>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</si>
  <si>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</si>
  <si>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</si>
  <si>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</si>
  <si>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</si>
  <si>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</si>
  <si>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</si>
  <si>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</si>
  <si>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</si>
  <si>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</si>
  <si>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</si>
  <si>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</si>
  <si>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</si>
  <si>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</si>
  <si>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</si>
  <si>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</si>
  <si>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</si>
  <si>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</si>
  <si>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</si>
  <si>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</si>
  <si>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</si>
  <si>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</si>
  <si>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</si>
  <si>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</si>
  <si>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</si>
  <si>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</si>
  <si>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</si>
  <si>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</si>
  <si>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</si>
  <si>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</si>
  <si>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</si>
  <si>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</si>
  <si>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</si>
  <si>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</si>
  <si>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</si>
  <si>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</si>
  <si>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</si>
  <si>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</si>
  <si>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</si>
  <si>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</si>
  <si>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</si>
  <si>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</si>
  <si>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</si>
  <si>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</si>
  <si>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</si>
  <si>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</si>
  <si>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</si>
  <si>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</si>
  <si>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</si>
  <si>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</si>
  <si>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</si>
  <si>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</si>
  <si>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</si>
  <si>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</si>
  <si>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</si>
  <si>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</si>
  <si>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</si>
  <si>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</si>
  <si>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</si>
  <si>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</si>
  <si>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</si>
  <si>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</si>
  <si>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</si>
  <si>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</si>
  <si>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</si>
  <si>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</si>
  <si>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</si>
  <si>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</si>
  <si>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</si>
  <si>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</si>
  <si>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</si>
  <si>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</si>
  <si>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</si>
  <si>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</si>
  <si>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</si>
  <si>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</si>
  <si>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</si>
  <si>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</si>
  <si>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</si>
  <si>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</si>
  <si>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</si>
  <si>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</si>
  <si>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</si>
  <si>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</si>
  <si>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</si>
  <si>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</si>
  <si>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</si>
  <si>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</si>
  <si>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</si>
  <si>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</si>
  <si>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</si>
  <si>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</si>
  <si>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</si>
  <si>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</si>
  <si>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</si>
  <si>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</si>
  <si>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</si>
  <si>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</si>
  <si>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</si>
  <si>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</si>
  <si>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</si>
  <si>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</si>
  <si>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</si>
  <si>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</si>
  <si>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</si>
  <si>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</si>
  <si>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</si>
  <si>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</si>
  <si>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</si>
  <si>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</si>
  <si>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</si>
  <si>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</si>
  <si>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</si>
  <si>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</si>
  <si>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</si>
  <si>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</si>
  <si>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</si>
  <si>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</si>
  <si>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</si>
  <si>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</si>
  <si>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</si>
  <si>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</si>
  <si>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</si>
  <si>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</si>
  <si>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</si>
  <si>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</si>
  <si>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</si>
  <si>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</si>
  <si>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</si>
  <si>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</si>
  <si>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</si>
  <si>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</si>
  <si>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</si>
  <si>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</si>
  <si>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</si>
  <si>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</si>
  <si>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</si>
  <si>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</si>
  <si>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</si>
  <si>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</si>
  <si>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</si>
  <si>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</si>
  <si>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</si>
  <si>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</si>
  <si>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</si>
  <si>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</si>
  <si>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</si>
  <si>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</si>
  <si>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</si>
  <si>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</si>
  <si>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</si>
  <si>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</si>
  <si>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</si>
  <si>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</si>
  <si>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</si>
  <si>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</si>
  <si>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</si>
  <si>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</si>
  <si>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</si>
  <si>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</si>
  <si>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</si>
  <si>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</si>
  <si>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</si>
  <si>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</si>
  <si>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</si>
  <si>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</si>
  <si>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</si>
  <si>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</si>
  <si>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</si>
  <si>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</si>
  <si>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</si>
  <si>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</si>
  <si>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</si>
  <si>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</si>
  <si>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</si>
  <si>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</si>
  <si>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</si>
  <si>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</si>
  <si>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</si>
  <si>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</si>
  <si>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</si>
  <si>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</si>
  <si>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</si>
  <si>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</si>
  <si>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</si>
  <si>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</si>
  <si>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</si>
  <si>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</si>
  <si>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</si>
  <si>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</si>
  <si>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</si>
  <si>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</si>
  <si>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</si>
  <si>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</si>
  <si>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</si>
  <si>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</si>
  <si>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</si>
  <si>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</si>
  <si>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</si>
  <si>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</si>
  <si>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</si>
  <si>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</si>
  <si>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</si>
  <si>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</si>
  <si>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</si>
  <si>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</si>
  <si>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</si>
  <si>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</si>
  <si>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</si>
  <si>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</si>
  <si>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</si>
  <si>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</si>
  <si>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</si>
  <si>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</si>
  <si>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</si>
  <si>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</si>
  <si>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</si>
  <si>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</si>
  <si>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</si>
  <si>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</si>
  <si>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</si>
  <si>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</si>
  <si>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</si>
  <si>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</si>
  <si>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</si>
  <si>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</si>
  <si>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</si>
  <si>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</si>
  <si>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</si>
  <si>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</si>
  <si>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</si>
  <si>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</si>
  <si>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</si>
  <si>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</si>
  <si>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</si>
  <si>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</si>
  <si>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</si>
  <si>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</si>
  <si>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</si>
  <si>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</si>
  <si>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</si>
  <si>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</si>
  <si>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</si>
  <si>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</si>
  <si>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</si>
  <si>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</si>
  <si>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</si>
  <si>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</si>
  <si>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</si>
  <si>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</si>
  <si>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</si>
  <si>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</si>
  <si>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</si>
  <si>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</si>
  <si>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</si>
  <si>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</si>
  <si>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</si>
  <si>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</si>
  <si>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</si>
  <si>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</si>
  <si>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</si>
  <si>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</si>
  <si>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</si>
  <si>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</si>
  <si>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</si>
  <si>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</si>
  <si>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</si>
  <si>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</si>
  <si>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</si>
  <si>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</si>
  <si>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</si>
  <si>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</si>
  <si>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</si>
  <si>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</si>
  <si>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</si>
  <si>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</si>
  <si>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</si>
  <si>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</si>
  <si>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</si>
  <si>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</si>
  <si>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</si>
  <si>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</si>
  <si>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</si>
  <si>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</si>
  <si>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</si>
  <si>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</si>
  <si>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</si>
  <si>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</si>
  <si>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</si>
  <si>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</si>
  <si>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</si>
  <si>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</si>
  <si>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</si>
  <si>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</si>
  <si>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</si>
  <si>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</si>
  <si>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</si>
  <si>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</si>
  <si>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</si>
  <si>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</si>
  <si>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</si>
  <si>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</si>
  <si>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</si>
  <si>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</si>
  <si>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</si>
  <si>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</si>
  <si>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</si>
  <si>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</si>
  <si>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</si>
  <si>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</si>
  <si>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</si>
  <si>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</si>
  <si>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</si>
  <si>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</si>
  <si>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</si>
  <si>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</si>
  <si>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</si>
  <si>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</si>
  <si>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</si>
  <si>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</si>
  <si>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</si>
  <si>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</si>
  <si>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</si>
  <si>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</si>
  <si>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</si>
  <si>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</si>
  <si>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</si>
  <si>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</si>
  <si>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</si>
  <si>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</si>
  <si>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</si>
  <si>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</si>
  <si>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</si>
  <si>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</si>
  <si>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</si>
  <si>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</si>
  <si>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</si>
  <si>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</si>
  <si>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</si>
  <si>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</si>
  <si>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</si>
  <si>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</si>
  <si>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</si>
  <si>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</si>
  <si>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</si>
  <si>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</si>
  <si>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</si>
  <si>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</si>
  <si>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</si>
  <si>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</si>
  <si>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</si>
  <si>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</si>
  <si>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</si>
  <si>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</si>
  <si>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</si>
  <si>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</si>
  <si>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</si>
  <si>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</si>
  <si>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</si>
  <si>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</si>
  <si>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</si>
  <si>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</si>
  <si>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</si>
  <si>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</si>
  <si>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</si>
  <si>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</si>
  <si>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</si>
  <si>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</si>
  <si>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</si>
  <si>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</si>
  <si>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</si>
  <si>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</si>
  <si>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</si>
  <si>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</si>
  <si>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</si>
  <si>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</si>
  <si>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</si>
  <si>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</si>
  <si>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</si>
  <si>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</si>
  <si>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</si>
  <si>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</si>
  <si>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</si>
  <si>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</si>
  <si>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</si>
  <si>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</si>
  <si>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</si>
  <si>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</si>
  <si>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</si>
  <si>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</si>
  <si>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</si>
  <si>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</si>
  <si>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</si>
  <si>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</si>
  <si>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</si>
  <si>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</si>
  <si>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</si>
  <si>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</si>
  <si>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</si>
  <si>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</si>
  <si>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</si>
  <si>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</si>
  <si>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</si>
  <si>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</si>
  <si>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</si>
  <si>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</si>
  <si>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</si>
  <si>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</si>
  <si>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</si>
  <si>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</si>
  <si>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</si>
  <si>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</si>
  <si>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</si>
  <si>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</si>
  <si>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</si>
  <si>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</si>
  <si>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</si>
  <si>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</si>
  <si>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</si>
  <si>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</si>
  <si>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</si>
  <si>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</si>
  <si>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</si>
  <si>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</si>
  <si>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</si>
  <si>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</si>
  <si>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</si>
  <si>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</si>
  <si>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</si>
  <si>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</si>
  <si>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</si>
  <si>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</si>
  <si>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</si>
  <si>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</si>
  <si>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</si>
  <si>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</si>
  <si>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</si>
  <si>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</si>
  <si>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</si>
  <si>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</si>
  <si>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</si>
  <si>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</si>
  <si>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</si>
  <si>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</si>
  <si>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</si>
  <si>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</si>
  <si>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</si>
  <si>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</si>
  <si>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</si>
  <si>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</si>
  <si>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</si>
  <si>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</si>
  <si>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</si>
  <si>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</si>
  <si>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</si>
  <si>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</si>
  <si>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</si>
  <si>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</si>
  <si>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</si>
  <si>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</si>
  <si>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</si>
  <si>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</si>
  <si>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</si>
  <si>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</si>
  <si>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</si>
  <si>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</si>
  <si>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</si>
  <si>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</si>
  <si>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</si>
  <si>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</si>
  <si>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</si>
  <si>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</si>
  <si>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</si>
  <si>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</si>
  <si>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</si>
  <si>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</si>
  <si>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</si>
  <si>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</si>
  <si>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</si>
  <si>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</si>
  <si>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</si>
  <si>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</si>
  <si>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</si>
  <si>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</si>
  <si>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</si>
  <si>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</si>
  <si>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</si>
  <si>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</si>
  <si>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</si>
  <si>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</si>
  <si>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</si>
  <si>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</si>
  <si>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</si>
  <si>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</si>
  <si>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</si>
  <si>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</si>
  <si>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</si>
  <si>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</si>
  <si>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</si>
  <si>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</si>
  <si>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</si>
  <si>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</si>
  <si>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</si>
  <si>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</si>
  <si>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</si>
  <si>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</si>
  <si>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</si>
  <si>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</si>
  <si>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</si>
  <si>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</si>
  <si>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</si>
  <si>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</si>
  <si>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</si>
  <si>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</si>
  <si>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</si>
  <si>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</si>
  <si>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</si>
  <si>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</si>
  <si>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</si>
  <si>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</si>
  <si>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</si>
  <si>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</si>
  <si>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</si>
  <si>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</si>
  <si>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</si>
  <si>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</si>
  <si>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</si>
  <si>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</si>
  <si>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</si>
  <si>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</si>
  <si>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</si>
  <si>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</si>
  <si>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</si>
  <si>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</si>
  <si>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</si>
  <si>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</si>
  <si>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</si>
  <si>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</si>
  <si>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</si>
  <si>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</si>
  <si>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</si>
  <si>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</si>
  <si>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</si>
  <si>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</si>
  <si>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</si>
  <si>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</si>
  <si>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</si>
  <si>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</si>
  <si>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</si>
  <si>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</si>
  <si>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</si>
  <si>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</si>
  <si>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</si>
  <si>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</si>
  <si>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</si>
  <si>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</si>
  <si>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</si>
  <si>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</si>
  <si>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</si>
  <si>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</si>
  <si>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</si>
  <si>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</si>
  <si>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</si>
  <si>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</si>
  <si>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</si>
  <si>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</si>
  <si>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</si>
  <si>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</si>
  <si>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</si>
  <si>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</si>
  <si>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</si>
  <si>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ＶＣ本</t>
  </si>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</sst>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0\ &quot;件&quot;"/>
    <numFmt numFmtId="177" formatCode="[$¥-411]#,##0;[$¥-411]#,##0"/>
  </numFmts>
  <fonts count="29">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s>
  <fills count="17">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s>
  <borders count="58">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56">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 xfId="0" applyBorder="1">
      <alignment vertical="center"/>
    </xf>
    <xf numFmtId="0" fontId="0" fillId="11" borderId="2" xfId="0" applyFill="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color rgb="FFFF0000"/>
      </font>
      <fill>
        <patternFill>
          <bgColor rgb="FFFFFF00"/>
        </patternFill>
      </fill>
    </dxf>
    <dxf>
      <font>
        <b/>
        <i val="0"/>
        <color rgb="FFFF0000"/>
      </font>
      <fill>
        <patternFill>
          <bgColor rgb="FFFFFF00"/>
        </patternFill>
      </fill>
    </dxf>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337D396F-5125-4334-9620-25DF15A01A98}"/>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9DE50DE8-2149-4681-ADDA-C0BA3C5747C8}"/>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F6B39A0A-D132-4DA4-8412-F94E0E4E3374}"/>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4" workbookViewId="0">
      <selection activeCell="T199" sqref="T199"/>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abSelected="1" topLeftCell="K1" workbookViewId="0">
      <selection activeCell="AK6" sqref="AK6"/>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IF(E2="","",IFERROR(LOOKUP(1,0/(AK:AK=E2),AP:AP),"旧 "&amp;E2))</f>
        <v>ＧＢ本</v>
      </c>
      <c r="G2" s="8" t="str">
        <f>IF(ISBLANK(E2),"",IF(COUNTIF(AK:AK,"="&amp;E2)&gt;0,"",MAX(G$1:G1)+1))</f>
        <v/>
      </c>
      <c r="H2" s="8">
        <f>IF(E2="","",COUNTIF(B:B,E2))</f>
        <v>25</v>
      </c>
      <c r="S2" t="s">
        <v>27</v>
      </c>
      <c r="T2" s="9" t="s">
        <v>27</v>
      </c>
      <c r="U2" s="10">
        <f t="shared" ref="U2:U25" si="1">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2">SUM(AC2)</f>
        <v>29</v>
      </c>
      <c r="AE2" s="8">
        <f t="shared" ref="AE2:AE65" si="3">IF(ISBLANK(AD2),"",RANK(AD2,AD$2:AD$256,0))</f>
        <v>1</v>
      </c>
      <c r="AF2" s="8">
        <f>IF(AE2="","",AE2+COUNTIF(AE$2:AE2,AE2)-1)</f>
        <v>1</v>
      </c>
      <c r="AK2" s="155" t="s">
        <v>1461</v>
      </c>
      <c r="AP2" s="155" t="s">
        <v>1485</v>
      </c>
      <c r="AR2" t="s">
        <v>689</v>
      </c>
      <c r="AS2" t="s">
        <v>700</v>
      </c>
      <c r="AU2" t="s">
        <v>955</v>
      </c>
    </row>
    <row r="3" spans="1:47">
      <c r="A3" s="15">
        <v>44013</v>
      </c>
      <c r="B3" t="s">
        <v>90</v>
      </c>
      <c r="C3" s="8" t="b">
        <f>IF(B3="","",COUNTIF(B$1:B2,B3)=0)</f>
        <v>1</v>
      </c>
      <c r="D3" s="8">
        <f>IF(B3="","",IF(C3,COUNTIF(C$2:C3,TRUE),""))</f>
        <v>2</v>
      </c>
      <c r="E3" s="8" t="str">
        <f t="shared" si="0"/>
        <v>ＧＢＥ</v>
      </c>
      <c r="F3" s="8" t="str">
        <f>IF(E3="","",IFERROR(LOOKUP(1,0/(AK:AK=E3),AP:AP),"旧 "&amp;E3))</f>
        <v>ＧＢ本</v>
      </c>
      <c r="G3" s="8" t="str">
        <f>IF(ISBLANK(E3),"",IF(COUNTIF(AK:AK,"="&amp;E3)&gt;0,"",MAX(G$1:G2)+1))</f>
        <v/>
      </c>
      <c r="H3" s="8">
        <f>IF(E3="","",COUNTIF(B:B,E3))</f>
        <v>2</v>
      </c>
      <c r="J3" s="16" t="s">
        <v>1460</v>
      </c>
      <c r="K3" s="16" t="s">
        <v>1068</v>
      </c>
      <c r="L3" s="17" t="s">
        <v>1069</v>
      </c>
      <c r="M3" s="16" t="s">
        <v>1070</v>
      </c>
      <c r="N3" s="16" t="s">
        <v>1071</v>
      </c>
      <c r="P3" s="16" t="s">
        <v>1068</v>
      </c>
      <c r="Q3" s="16" t="s">
        <v>1069</v>
      </c>
      <c r="S3" t="s">
        <v>87</v>
      </c>
      <c r="T3" s="9" t="s">
        <v>54</v>
      </c>
      <c r="U3" s="10">
        <f t="shared" si="1"/>
        <v>28</v>
      </c>
      <c r="V3" s="10">
        <f>IF(OR(U3="",U3=0),"",COUNTIF(U$2:U3,"&gt;0"))</f>
        <v>2</v>
      </c>
      <c r="W3" s="10" t="str">
        <f t="shared" ref="W3:W25" si="4">IFERROR(LOOKUP(1,0/(V:V=ROW()-ROW(V$1)),T:T),"")</f>
        <v>無償提供</v>
      </c>
      <c r="X3" s="10">
        <f t="shared" ref="X3:X25" si="5">IFERROR(LOOKUP(1,0/(V:V=ROW()-ROW(V$1)),U:U),"")</f>
        <v>28</v>
      </c>
      <c r="Z3" t="s">
        <v>68</v>
      </c>
      <c r="AB3" s="11" t="s">
        <v>37</v>
      </c>
      <c r="AC3" s="10">
        <f t="shared" ref="AC3:AC66" si="6">IF(ISBLANK(AB3),"",COUNTIF(Z:Z,AB3))</f>
        <v>13</v>
      </c>
      <c r="AE3" s="8" t="str">
        <f t="shared" si="3"/>
        <v/>
      </c>
      <c r="AF3" s="8" t="str">
        <f>IF(AE3="","",AE3+COUNTIF(AE$2:AE3,AE3)-1)</f>
        <v/>
      </c>
      <c r="AG3" s="12">
        <v>1</v>
      </c>
      <c r="AH3" s="8" t="str">
        <f>LOOKUP(1,0/(AF$2:AF$30=AG3),AB$2:AB$30)</f>
        <v>米国</v>
      </c>
      <c r="AI3" s="8">
        <f>LOOKUP(1,0/(AF$2:AF$30=AG3),AD$2:AD$30)</f>
        <v>29</v>
      </c>
      <c r="AK3" s="154"/>
      <c r="AP3" s="154"/>
      <c r="AR3" t="s">
        <v>692</v>
      </c>
      <c r="AS3" t="s">
        <v>713</v>
      </c>
    </row>
    <row r="4" spans="1:47">
      <c r="A4" s="7" t="s">
        <v>1073</v>
      </c>
      <c r="B4" t="s">
        <v>47</v>
      </c>
      <c r="C4" s="8" t="b">
        <f>IF(B4="","",COUNTIF(B$1:B3,B4)=0)</f>
        <v>1</v>
      </c>
      <c r="D4" s="8">
        <f>IF(B4="","",IF(C4,COUNTIF(C$2:C4,TRUE),""))</f>
        <v>3</v>
      </c>
      <c r="E4" s="8" t="str">
        <f t="shared" si="0"/>
        <v>ＧＢ営</v>
      </c>
      <c r="F4" s="8" t="str">
        <f>IF(E4="","",IFERROR(LOOKUP(1,0/(AK:AK=E4),AP:AP),"旧 "&amp;E4))</f>
        <v>ＧＢ本</v>
      </c>
      <c r="G4" s="8" t="str">
        <f>IF(ISBLANK(E4),"",IF(COUNTIF(AK:AK,"="&amp;E4)&gt;0,"",MAX(G$1:G3)+1))</f>
        <v/>
      </c>
      <c r="H4" s="8">
        <f t="shared" ref="H4:H67" si="7">IF(E4="","",COUNTIF(B:B,E4))</f>
        <v>44</v>
      </c>
      <c r="J4" s="19" t="str">
        <f>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1"/>
        <v>1</v>
      </c>
      <c r="V4" s="10">
        <f>IF(OR(U4="",U4=0),"",COUNTIF(U$2:U4,"&gt;0"))</f>
        <v>3</v>
      </c>
      <c r="W4" s="10" t="str">
        <f t="shared" si="4"/>
        <v>展示・デモ</v>
      </c>
      <c r="X4" s="10">
        <f t="shared" si="5"/>
        <v>1</v>
      </c>
      <c r="Z4" t="s">
        <v>37</v>
      </c>
      <c r="AB4" s="11" t="s">
        <v>653</v>
      </c>
      <c r="AC4" s="10">
        <f t="shared" si="6"/>
        <v>1</v>
      </c>
      <c r="AD4" s="12">
        <f>SUM(AC3:AC4)</f>
        <v>14</v>
      </c>
      <c r="AE4" s="8">
        <f t="shared" si="3"/>
        <v>2</v>
      </c>
      <c r="AF4" s="8">
        <f>IF(AE4="","",AE4+COUNTIF(AE$2:AE4,AE4)-1)</f>
        <v>2</v>
      </c>
      <c r="AG4" s="12">
        <v>2</v>
      </c>
      <c r="AH4" s="8" t="str">
        <f t="shared" ref="AH4:AH11" si="8">LOOKUP(1,0/(AF$2:AF$30=AG4),AB$2:AB$30)</f>
        <v>中華人民共和国</v>
      </c>
      <c r="AI4" s="8">
        <f t="shared" ref="AI4:AI11" si="9">LOOKUP(1,0/(AF$2:AF$30=AG4),AD$2:AD$30)</f>
        <v>14</v>
      </c>
      <c r="AK4" s="154"/>
      <c r="AP4" s="154"/>
      <c r="AR4" t="s">
        <v>829</v>
      </c>
      <c r="AS4" t="s">
        <v>790</v>
      </c>
    </row>
    <row r="5" spans="1:47">
      <c r="A5" s="15">
        <v>44104</v>
      </c>
      <c r="B5" t="s">
        <v>47</v>
      </c>
      <c r="C5" s="8" t="b">
        <f>IF(B5="","",COUNTIF(B$1:B4,B5)=0)</f>
        <v>0</v>
      </c>
      <c r="D5" s="8" t="str">
        <f>IF(B5="","",IF(C5,COUNTIF(C$2:C5,TRUE),""))</f>
        <v/>
      </c>
      <c r="E5" s="8" t="str">
        <f t="shared" si="0"/>
        <v>ＧＢＳ</v>
      </c>
      <c r="F5" s="8" t="str">
        <f>IF(E5="","",IFERROR(LOOKUP(1,0/(AK:AK=E5),AP:AP),"旧 "&amp;E5))</f>
        <v>ＧＢ本</v>
      </c>
      <c r="G5" s="8" t="str">
        <f>IF(ISBLANK(E5),"",IF(COUNTIF(AK:AK,"="&amp;E5)&gt;0,"",MAX(G$1:G4)+1))</f>
        <v/>
      </c>
      <c r="H5" s="8">
        <f t="shared" si="7"/>
        <v>5</v>
      </c>
      <c r="J5" s="19" t="str">
        <f>AN7</f>
        <v>西本部</v>
      </c>
      <c r="K5" s="19">
        <f t="shared" ref="K5:K40" si="10">IF(J5="","",SUMIF(F:F,"="&amp;J5,H:H))</f>
        <v>0</v>
      </c>
      <c r="M5" s="8" t="b">
        <f t="shared" ref="M5:M40" si="11">IF(J5="","",(SUM(K5:L5)&gt;0))</f>
        <v>0</v>
      </c>
      <c r="N5" s="8">
        <f>IF(J5="","",IF(M5,COUNTIF(M$4:M5,TRUE),0))</f>
        <v>0</v>
      </c>
      <c r="O5" s="8" t="str">
        <f t="shared" ref="O5:O26" si="12">IFERROR(LOOKUP(1,0/(N$4:N$40=ROW()-ROW(O$3)),J$4:J$40),"")</f>
        <v>ＧＢ本</v>
      </c>
      <c r="P5" s="8">
        <f t="shared" ref="P5:P26" si="13">IF(O5="","",IFERROR(LOOKUP(1,0/(J$4:J$40=O5),K$4:K$40),""))</f>
        <v>91</v>
      </c>
      <c r="Q5" s="8">
        <f t="shared" ref="Q5:Q26" si="14">IF(O5="","",IFERROR(LOOKUP(1,0/(J$4:J$40=O5),L$4:L$40),""))</f>
        <v>74</v>
      </c>
      <c r="S5" t="s">
        <v>27</v>
      </c>
      <c r="T5" s="9" t="s">
        <v>166</v>
      </c>
      <c r="U5" s="10">
        <f t="shared" si="1"/>
        <v>2</v>
      </c>
      <c r="V5" s="10">
        <f>IF(OR(U5="",U5=0),"",COUNTIF(U$2:U5,"&gt;0"))</f>
        <v>4</v>
      </c>
      <c r="W5" s="10" t="str">
        <f t="shared" si="4"/>
        <v>貸出</v>
      </c>
      <c r="X5" s="10">
        <f t="shared" si="5"/>
        <v>2</v>
      </c>
      <c r="Z5" t="s">
        <v>79</v>
      </c>
      <c r="AB5" s="11" t="s">
        <v>124</v>
      </c>
      <c r="AC5" s="10">
        <f t="shared" si="6"/>
        <v>1</v>
      </c>
      <c r="AD5" s="12">
        <f t="shared" si="2"/>
        <v>1</v>
      </c>
      <c r="AE5" s="8">
        <f t="shared" si="3"/>
        <v>15</v>
      </c>
      <c r="AF5" s="8">
        <f>IF(AE5="","",AE5+COUNTIF(AE$2:AE5,AE5)-1)</f>
        <v>15</v>
      </c>
      <c r="AG5" s="12">
        <v>3</v>
      </c>
      <c r="AH5" s="8" t="str">
        <f t="shared" si="8"/>
        <v>台湾</v>
      </c>
      <c r="AI5" s="8">
        <f t="shared" si="9"/>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IF(E6="","",IFERROR(LOOKUP(1,0/(AK:AK=E6),AP:AP),"旧 "&amp;E6))</f>
        <v>ＩＰＣ</v>
      </c>
      <c r="G6" s="8" t="str">
        <f>IF(ISBLANK(E6),"",IF(COUNTIF(AK:AK,"="&amp;E6)&gt;0,"",MAX(G$1:G5)+1))</f>
        <v/>
      </c>
      <c r="H6" s="8">
        <f t="shared" si="7"/>
        <v>1</v>
      </c>
      <c r="J6" s="19" t="str">
        <f>AN8</f>
        <v>ＧＢ本</v>
      </c>
      <c r="K6" s="19">
        <f t="shared" si="10"/>
        <v>91</v>
      </c>
      <c r="L6">
        <v>74</v>
      </c>
      <c r="M6" s="8" t="b">
        <f t="shared" si="11"/>
        <v>1</v>
      </c>
      <c r="N6" s="8">
        <f>IF(J6="","",IF(M6,COUNTIF(M$4:M6,TRUE),0))</f>
        <v>2</v>
      </c>
      <c r="O6" s="8" t="str">
        <f t="shared" si="12"/>
        <v>セ事本</v>
      </c>
      <c r="P6" s="8">
        <f t="shared" si="13"/>
        <v>3</v>
      </c>
      <c r="Q6" s="8">
        <f t="shared" si="14"/>
        <v>4</v>
      </c>
      <c r="S6" t="s">
        <v>54</v>
      </c>
      <c r="T6" s="9" t="s">
        <v>1077</v>
      </c>
      <c r="U6" s="10">
        <f t="shared" si="1"/>
        <v>0</v>
      </c>
      <c r="V6" s="10" t="str">
        <f>IF(OR(U6="",U6=0),"",COUNTIF(U$2:U6,"&gt;0"))</f>
        <v/>
      </c>
      <c r="W6" s="10" t="str">
        <f t="shared" si="4"/>
        <v>製造・評価</v>
      </c>
      <c r="X6" s="10">
        <f t="shared" si="5"/>
        <v>4</v>
      </c>
      <c r="Z6" t="s">
        <v>83</v>
      </c>
      <c r="AB6" s="11" t="s">
        <v>44</v>
      </c>
      <c r="AC6" s="10">
        <f t="shared" si="6"/>
        <v>10</v>
      </c>
      <c r="AD6" s="12">
        <f t="shared" si="2"/>
        <v>10</v>
      </c>
      <c r="AE6" s="8">
        <f t="shared" si="3"/>
        <v>3</v>
      </c>
      <c r="AF6" s="8">
        <f>IF(AE6="","",AE6+COUNTIF(AE$2:AE6,AE6)-1)</f>
        <v>3</v>
      </c>
      <c r="AG6" s="12">
        <v>4</v>
      </c>
      <c r="AH6" s="8" t="str">
        <f t="shared" si="8"/>
        <v>ドイツ</v>
      </c>
      <c r="AI6" s="8">
        <f t="shared" si="9"/>
        <v>7</v>
      </c>
      <c r="AK6" s="13" t="s">
        <v>1463</v>
      </c>
      <c r="AL6" s="14">
        <f>IF(セルの固定色(AK6)=セルの固定色(AK$6),1,"")</f>
        <v>1</v>
      </c>
      <c r="AM6" s="14">
        <f>IF(OR(ISBLANK(AL6),AL6=""),"",COUNTIF(AL$6:AL6,"&gt;0"))</f>
        <v>1</v>
      </c>
      <c r="AN6" s="14" t="str">
        <f>IFERROR(LOOKUP(1,0/(AM:AM=ROW()-ROW(AN$5)),AK:AK),IFERROR(LOOKUP(1,0/(G:G=AO6),F:F),""))</f>
        <v>ＶＣ本</v>
      </c>
      <c r="AO6" s="14">
        <f>-(MAX(AM:AM)-ROW()+ROW(AO$6)-1)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IF(E7="","",IFERROR(LOOKUP(1,0/(AK:AK=E7),AP:AP),"旧 "&amp;E7))</f>
        <v>ＧＢ本</v>
      </c>
      <c r="G7" s="8" t="str">
        <f>IF(ISBLANK(E7),"",IF(COUNTIF(AK:AK,"="&amp;E7)&gt;0,"",MAX(G$1:G6)+1))</f>
        <v/>
      </c>
      <c r="H7" s="8">
        <f t="shared" si="7"/>
        <v>5</v>
      </c>
      <c r="J7" s="19" t="str">
        <f>AN9</f>
        <v>セ事本</v>
      </c>
      <c r="K7" s="19">
        <f t="shared" si="10"/>
        <v>3</v>
      </c>
      <c r="L7">
        <v>4</v>
      </c>
      <c r="M7" s="8" t="b">
        <f t="shared" si="11"/>
        <v>1</v>
      </c>
      <c r="N7" s="8">
        <f>IF(J7="","",IF(M7,COUNTIF(M$4:M7,TRUE),0))</f>
        <v>3</v>
      </c>
      <c r="O7" s="8" t="str">
        <f t="shared" si="12"/>
        <v>ＣＩ本</v>
      </c>
      <c r="P7" s="8">
        <f t="shared" si="13"/>
        <v>0</v>
      </c>
      <c r="Q7" s="8">
        <f t="shared" si="14"/>
        <v>1</v>
      </c>
      <c r="S7" t="s">
        <v>27</v>
      </c>
      <c r="T7" s="9" t="s">
        <v>87</v>
      </c>
      <c r="U7" s="10">
        <f t="shared" si="1"/>
        <v>4</v>
      </c>
      <c r="V7" s="10">
        <f>IF(OR(U7="",U7=0),"",COUNTIF(U$2:U7,"&gt;0"))</f>
        <v>5</v>
      </c>
      <c r="W7" s="10" t="str">
        <f t="shared" si="4"/>
        <v>修理・交換</v>
      </c>
      <c r="X7" s="10">
        <f t="shared" si="5"/>
        <v>4</v>
      </c>
      <c r="Z7" t="s">
        <v>124</v>
      </c>
      <c r="AB7" s="11" t="s">
        <v>525</v>
      </c>
      <c r="AC7" s="10">
        <f t="shared" si="6"/>
        <v>1</v>
      </c>
      <c r="AD7" s="12">
        <f t="shared" si="2"/>
        <v>1</v>
      </c>
      <c r="AE7" s="8">
        <f t="shared" si="3"/>
        <v>15</v>
      </c>
      <c r="AF7" s="8">
        <f>IF(AE7="","",AE7+COUNTIF(AE$2:AE7,AE7)-1)</f>
        <v>16</v>
      </c>
      <c r="AG7" s="12">
        <v>5</v>
      </c>
      <c r="AH7" s="8" t="str">
        <f t="shared" si="8"/>
        <v>シンガポール</v>
      </c>
      <c r="AI7" s="8">
        <f t="shared" si="9"/>
        <v>6</v>
      </c>
      <c r="AK7" s="18" t="s">
        <v>1072</v>
      </c>
      <c r="AL7" s="14" t="str">
        <f>IF(セルの固定色(AK7)=セルの固定色(AK$6),1,"")</f>
        <v/>
      </c>
      <c r="AM7" s="14" t="str">
        <f>IF(OR(ISBLANK(AL7),AL7=""),"",COUNTIF(AL$6:AL7,"&gt;0"))</f>
        <v/>
      </c>
      <c r="AN7" s="14" t="str">
        <f>IFERROR(LOOKUP(1,0/(AM:AM=ROW()-ROW(AN$5)),AK:AK),IFERROR(LOOKUP(1,0/(G:G=AO7),F:F),""))</f>
        <v>西本部</v>
      </c>
      <c r="AO7" s="14">
        <f>-(MAX(AM:AM)-ROW()+ROW(AO$6)-1)</f>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IF(E8="","",IFERROR(LOOKUP(1,0/(AK:AK=E8),AP:AP),"旧 "&amp;E8))</f>
        <v>セ事本</v>
      </c>
      <c r="G8" s="8" t="str">
        <f>IF(ISBLANK(E8),"",IF(COUNTIF(AK:AK,"="&amp;E8)&gt;0,"",MAX(G$1:G7)+1))</f>
        <v/>
      </c>
      <c r="H8" s="8">
        <f t="shared" si="7"/>
        <v>3</v>
      </c>
      <c r="J8" s="19" t="str">
        <f>AN10</f>
        <v>ＣＩ本</v>
      </c>
      <c r="K8" s="19">
        <f t="shared" si="10"/>
        <v>0</v>
      </c>
      <c r="L8">
        <v>1</v>
      </c>
      <c r="M8" s="8" t="b">
        <f t="shared" si="11"/>
        <v>1</v>
      </c>
      <c r="N8" s="8">
        <f>IF(J8="","",IF(M8,COUNTIF(M$4:M8,TRUE),0))</f>
        <v>4</v>
      </c>
      <c r="O8" s="8" t="str">
        <f t="shared" si="12"/>
        <v>ＡＩ本</v>
      </c>
      <c r="P8" s="8">
        <f t="shared" si="13"/>
        <v>6</v>
      </c>
      <c r="Q8" s="8">
        <f t="shared" si="14"/>
        <v>0</v>
      </c>
      <c r="S8" t="s">
        <v>27</v>
      </c>
      <c r="T8" s="9" t="s">
        <v>494</v>
      </c>
      <c r="U8" s="10">
        <f t="shared" si="1"/>
        <v>4</v>
      </c>
      <c r="V8" s="10">
        <f>IF(OR(U8="",U8=0),"",COUNTIF(U$2:U8,"&gt;0"))</f>
        <v>6</v>
      </c>
      <c r="W8" s="10" t="str">
        <f t="shared" si="4"/>
        <v>返却</v>
      </c>
      <c r="X8" s="10">
        <f t="shared" si="5"/>
        <v>2</v>
      </c>
      <c r="Z8" t="s">
        <v>68</v>
      </c>
      <c r="AB8" s="11" t="s">
        <v>79</v>
      </c>
      <c r="AC8" s="10">
        <f t="shared" si="6"/>
        <v>2</v>
      </c>
      <c r="AD8" s="12">
        <f t="shared" si="2"/>
        <v>2</v>
      </c>
      <c r="AE8" s="8">
        <f t="shared" si="3"/>
        <v>10</v>
      </c>
      <c r="AF8" s="8">
        <f>IF(AE8="","",AE8+COUNTIF(AE$2:AE8,AE8)-1)</f>
        <v>10</v>
      </c>
      <c r="AG8" s="12">
        <v>6</v>
      </c>
      <c r="AH8" s="8" t="str">
        <f t="shared" si="8"/>
        <v>ロシア</v>
      </c>
      <c r="AI8" s="8">
        <f t="shared" si="9"/>
        <v>4</v>
      </c>
      <c r="AK8" s="18" t="s">
        <v>1074</v>
      </c>
      <c r="AL8" s="14" t="str">
        <f>IF(セルの固定色(AK8)=セルの固定色(AK$6),1,"")</f>
        <v/>
      </c>
      <c r="AM8" s="14" t="str">
        <f>IF(OR(ISBLANK(AL8),AL8=""),"",COUNTIF(AL$6:AL8,"&gt;0"))</f>
        <v/>
      </c>
      <c r="AN8" s="14" t="str">
        <f>IFERROR(LOOKUP(1,0/(AM:AM=ROW()-ROW(AN$5)),AK:AK),IFERROR(LOOKUP(1,0/(G:G=AO8),F:F),""))</f>
        <v>ＧＢ本</v>
      </c>
      <c r="AO8" s="14">
        <f>-(MAX(AM:AM)-ROW()+ROW(AO$6)-1)</f>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IF(E9="","",IFERROR(LOOKUP(1,0/(AK:AK=E9),AP:AP),"旧 "&amp;E9))</f>
        <v>ＧＢ本</v>
      </c>
      <c r="G9" s="8" t="str">
        <f>IF(ISBLANK(E9),"",IF(COUNTIF(AK:AK,"="&amp;E9)&gt;0,"",MAX(G$1:G8)+1))</f>
        <v/>
      </c>
      <c r="H9" s="8">
        <f t="shared" si="7"/>
        <v>8</v>
      </c>
      <c r="J9" s="19" t="str">
        <f>AN11</f>
        <v>ＮＩ本</v>
      </c>
      <c r="K9" s="19">
        <f t="shared" si="10"/>
        <v>0</v>
      </c>
      <c r="M9" s="8" t="b">
        <f t="shared" si="11"/>
        <v>0</v>
      </c>
      <c r="N9" s="8">
        <f>IF(J9="","",IF(M9,COUNTIF(M$4:M9,TRUE),0))</f>
        <v>0</v>
      </c>
      <c r="O9" s="8" t="str">
        <f t="shared" si="12"/>
        <v>ＩＰＣ</v>
      </c>
      <c r="P9" s="8">
        <f t="shared" si="13"/>
        <v>1</v>
      </c>
      <c r="Q9" s="8">
        <f t="shared" si="14"/>
        <v>0</v>
      </c>
      <c r="S9" t="s">
        <v>54</v>
      </c>
      <c r="T9" s="9" t="s">
        <v>73</v>
      </c>
      <c r="U9" s="10">
        <f t="shared" si="1"/>
        <v>2</v>
      </c>
      <c r="V9" s="10">
        <f>IF(OR(U9="",U9=0),"",COUNTIF(U$2:U9,"&gt;0"))</f>
        <v>7</v>
      </c>
      <c r="W9" s="10" t="str">
        <f t="shared" si="4"/>
        <v>プログラム提供</v>
      </c>
      <c r="X9" s="10">
        <f t="shared" si="5"/>
        <v>5</v>
      </c>
      <c r="Z9" t="s">
        <v>710</v>
      </c>
      <c r="AB9" s="11" t="s">
        <v>83</v>
      </c>
      <c r="AC9" s="10">
        <f t="shared" si="6"/>
        <v>6</v>
      </c>
      <c r="AD9" s="12">
        <f t="shared" si="2"/>
        <v>6</v>
      </c>
      <c r="AE9" s="8">
        <f t="shared" si="3"/>
        <v>5</v>
      </c>
      <c r="AF9" s="8">
        <f>IF(AE9="","",AE9+COUNTIF(AE$2:AE9,AE9)-1)</f>
        <v>5</v>
      </c>
      <c r="AK9" s="18" t="s">
        <v>1075</v>
      </c>
      <c r="AL9" s="14" t="str">
        <f>IF(セルの固定色(AK9)=セルの固定色(AK$6),1,"")</f>
        <v/>
      </c>
      <c r="AM9" s="14" t="str">
        <f>IF(OR(ISBLANK(AL9),AL9=""),"",COUNTIF(AL$6:AL9,"&gt;0"))</f>
        <v/>
      </c>
      <c r="AN9" s="14" t="str">
        <f>IFERROR(LOOKUP(1,0/(AM:AM=ROW()-ROW(AN$5)),AK:AK),IFERROR(LOOKUP(1,0/(G:G=AO9),F:F),""))</f>
        <v>セ事本</v>
      </c>
      <c r="AO9" s="14">
        <f>-(MAX(AM:AM)-ROW()+ROW(AO$6)-1)</f>
        <v>-17</v>
      </c>
      <c r="AP9" s="14" t="str">
        <f>IF(ISBLANK(AK9),"",LOOKUP(1,0/(AM$6:AM9=MAX(AM$6:AM9)),AK$6:AK9))</f>
        <v>ＶＣ本</v>
      </c>
      <c r="AR9" t="s">
        <v>1001</v>
      </c>
      <c r="AS9" t="s">
        <v>975</v>
      </c>
    </row>
    <row r="10" spans="1:47">
      <c r="A10" s="20" t="s">
        <v>1083</v>
      </c>
      <c r="B10" t="s">
        <v>1462</v>
      </c>
      <c r="C10" s="8" t="b">
        <f>IF(B10="","",COUNTIF(B$1:B9,B10)=0)</f>
        <v>1</v>
      </c>
      <c r="D10" s="8">
        <f>IF(B10="","",IF(C10,COUNTIF(C$2:C10,TRUE),""))</f>
        <v>5</v>
      </c>
      <c r="E10" s="8" t="str">
        <f t="shared" si="0"/>
        <v>ＡＩＲ</v>
      </c>
      <c r="F10" s="8" t="str">
        <f>IF(E10="","",IFERROR(LOOKUP(1,0/(AK:AK=E10),AP:AP),"旧 "&amp;E10))</f>
        <v>ＡＩ本</v>
      </c>
      <c r="G10" s="8" t="str">
        <f>IF(ISBLANK(E10),"",IF(COUNTIF(AK:AK,"="&amp;E10)&gt;0,"",MAX(G$1:G9)+1))</f>
        <v/>
      </c>
      <c r="H10" s="8">
        <f t="shared" si="7"/>
        <v>1</v>
      </c>
      <c r="J10" s="19" t="str">
        <f>AN12</f>
        <v>ＡＩ本</v>
      </c>
      <c r="K10" s="19">
        <f t="shared" si="10"/>
        <v>6</v>
      </c>
      <c r="M10" s="8" t="b">
        <f t="shared" si="11"/>
        <v>1</v>
      </c>
      <c r="N10" s="8">
        <f>IF(J10="","",IF(M10,COUNTIF(M$4:M10,TRUE),0))</f>
        <v>5</v>
      </c>
      <c r="O10" s="8" t="str">
        <f t="shared" si="12"/>
        <v>人事部</v>
      </c>
      <c r="P10" s="8">
        <f t="shared" si="13"/>
        <v>1</v>
      </c>
      <c r="Q10" s="8">
        <f t="shared" si="14"/>
        <v>0</v>
      </c>
      <c r="S10" t="s">
        <v>27</v>
      </c>
      <c r="T10" s="9" t="s">
        <v>259</v>
      </c>
      <c r="U10" s="10">
        <f t="shared" si="1"/>
        <v>5</v>
      </c>
      <c r="V10" s="10">
        <f>IF(OR(U10="",U10=0),"",COUNTIF(U$2:U10,"&gt;0"))</f>
        <v>8</v>
      </c>
      <c r="W10" s="10" t="str">
        <f t="shared" si="4"/>
        <v>技術提供</v>
      </c>
      <c r="X10" s="10">
        <f t="shared" si="5"/>
        <v>4</v>
      </c>
      <c r="Z10" t="s">
        <v>715</v>
      </c>
      <c r="AB10" s="11" t="s">
        <v>710</v>
      </c>
      <c r="AC10" s="10">
        <f t="shared" si="6"/>
        <v>1</v>
      </c>
      <c r="AD10" s="12">
        <f t="shared" si="2"/>
        <v>1</v>
      </c>
      <c r="AE10" s="8">
        <f t="shared" si="3"/>
        <v>15</v>
      </c>
      <c r="AF10" s="8">
        <f>IF(AE10="","",AE10+COUNTIF(AE$2:AE10,AE10)-1)</f>
        <v>17</v>
      </c>
      <c r="AG10" s="12">
        <v>6</v>
      </c>
      <c r="AK10" s="18" t="s">
        <v>1078</v>
      </c>
      <c r="AL10" s="14" t="str">
        <f>IF(セルの固定色(AK10)=セルの固定色(AK$6),1,"")</f>
        <v/>
      </c>
      <c r="AM10" s="14" t="str">
        <f>IF(OR(ISBLANK(AL10),AL10=""),"",COUNTIF(AL$6:AL10,"&gt;0"))</f>
        <v/>
      </c>
      <c r="AN10" s="14" t="str">
        <f>IFERROR(LOOKUP(1,0/(AM:AM=ROW()-ROW(AN$5)),AK:AK),IFERROR(LOOKUP(1,0/(G:G=AO10),F:F),""))</f>
        <v>ＣＩ本</v>
      </c>
      <c r="AO10" s="14">
        <f>-(MAX(AM:AM)-ROW()+ROW(AO$6)-1)</f>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IF(E11="","",IFERROR(LOOKUP(1,0/(AK:AK=E11),AP:AP),"旧 "&amp;E11))</f>
        <v>ＡＩ本</v>
      </c>
      <c r="G11" s="8" t="str">
        <f>IF(ISBLANK(E11),"",IF(COUNTIF(AK:AK,"="&amp;E11)&gt;0,"",MAX(G$1:G10)+1))</f>
        <v/>
      </c>
      <c r="H11" s="8">
        <f t="shared" si="7"/>
        <v>5</v>
      </c>
      <c r="J11" s="19" t="str">
        <f>AN13</f>
        <v>ＮＳ本</v>
      </c>
      <c r="K11" s="19">
        <f t="shared" si="10"/>
        <v>0</v>
      </c>
      <c r="M11" s="8" t="b">
        <f t="shared" si="11"/>
        <v>0</v>
      </c>
      <c r="N11" s="8">
        <f>IF(J11="","",IF(M11,COUNTIF(M$4:M11,TRUE),0))</f>
        <v>0</v>
      </c>
      <c r="O11" s="8" t="str">
        <f t="shared" si="12"/>
        <v/>
      </c>
      <c r="P11" s="8" t="str">
        <f t="shared" si="13"/>
        <v/>
      </c>
      <c r="Q11" s="8" t="str">
        <f t="shared" si="14"/>
        <v/>
      </c>
      <c r="S11" t="s">
        <v>54</v>
      </c>
      <c r="T11" s="9" t="s">
        <v>252</v>
      </c>
      <c r="U11" s="10">
        <f t="shared" si="1"/>
        <v>4</v>
      </c>
      <c r="V11" s="10">
        <f>IF(OR(U11="",U11=0),"",COUNTIF(U$2:U11,"&gt;0"))</f>
        <v>9</v>
      </c>
      <c r="W11" s="10" t="str">
        <f t="shared" si="4"/>
        <v>その他の案件</v>
      </c>
      <c r="X11" s="10">
        <f t="shared" si="5"/>
        <v>3</v>
      </c>
      <c r="Z11" t="s">
        <v>454</v>
      </c>
      <c r="AB11" s="11" t="s">
        <v>454</v>
      </c>
      <c r="AC11" s="10">
        <f t="shared" si="6"/>
        <v>3</v>
      </c>
      <c r="AD11" s="12">
        <f t="shared" si="2"/>
        <v>3</v>
      </c>
      <c r="AE11" s="8">
        <f t="shared" si="3"/>
        <v>7</v>
      </c>
      <c r="AF11" s="8">
        <f>IF(AE11="","",AE11+COUNTIF(AE$2:AE11,AE11)-1)</f>
        <v>7</v>
      </c>
      <c r="AK11" s="18" t="s">
        <v>1079</v>
      </c>
      <c r="AL11" s="14" t="str">
        <f>IF(セルの固定色(AK11)=セルの固定色(AK$6),1,"")</f>
        <v/>
      </c>
      <c r="AM11" s="14" t="str">
        <f>IF(OR(ISBLANK(AL11),AL11=""),"",COUNTIF(AL$6:AL11,"&gt;0"))</f>
        <v/>
      </c>
      <c r="AN11" s="14" t="str">
        <f>IFERROR(LOOKUP(1,0/(AM:AM=ROW()-ROW(AN$5)),AK:AK),IFERROR(LOOKUP(1,0/(G:G=AO11),F:F),""))</f>
        <v>ＮＩ本</v>
      </c>
      <c r="AO11" s="14">
        <f>-(MAX(AM:AM)-ROW()+ROW(AO$6)-1)</f>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IF(E12="","",IFERROR(LOOKUP(1,0/(AK:AK=E12),AP:AP),"旧 "&amp;E12))</f>
        <v>ＶＣ本</v>
      </c>
      <c r="G12" s="8" t="str">
        <f>IF(ISBLANK(E12),"",IF(COUNTIF(AK:AK,"="&amp;E12)&gt;0,"",MAX(G$1:G11)+1))</f>
        <v/>
      </c>
      <c r="H12" s="8">
        <f t="shared" si="7"/>
        <v>1</v>
      </c>
      <c r="J12" s="19" t="str">
        <f>AN14</f>
        <v>ＩＰＣ</v>
      </c>
      <c r="K12" s="19">
        <f t="shared" si="10"/>
        <v>1</v>
      </c>
      <c r="M12" s="8" t="b">
        <f t="shared" si="11"/>
        <v>1</v>
      </c>
      <c r="N12" s="8">
        <f>IF(J12="","",IF(M12,COUNTIF(M$4:M12,TRUE),0))</f>
        <v>6</v>
      </c>
      <c r="O12" s="8" t="str">
        <f t="shared" si="12"/>
        <v/>
      </c>
      <c r="P12" s="8" t="str">
        <f t="shared" si="13"/>
        <v/>
      </c>
      <c r="Q12" s="8" t="str">
        <f t="shared" si="14"/>
        <v/>
      </c>
      <c r="S12" t="s">
        <v>27</v>
      </c>
      <c r="T12" s="9" t="s">
        <v>1085</v>
      </c>
      <c r="U12" s="10">
        <f t="shared" si="1"/>
        <v>0</v>
      </c>
      <c r="V12" s="10" t="str">
        <f>IF(OR(U12="",U12=0),"",COUNTIF(U$2:U12,"&gt;0"))</f>
        <v/>
      </c>
      <c r="W12" s="10" t="str">
        <f t="shared" si="4"/>
        <v/>
      </c>
      <c r="X12" s="10" t="str">
        <f t="shared" si="5"/>
        <v/>
      </c>
      <c r="Z12" t="s">
        <v>68</v>
      </c>
      <c r="AB12" s="11" t="s">
        <v>246</v>
      </c>
      <c r="AC12" s="10">
        <f t="shared" si="6"/>
        <v>3</v>
      </c>
      <c r="AD12" s="12">
        <f t="shared" ref="AD12:AD23" si="15">SUM(AC12)</f>
        <v>3</v>
      </c>
      <c r="AE12" s="8">
        <f t="shared" si="3"/>
        <v>7</v>
      </c>
      <c r="AF12" s="8">
        <f>IF(AE12="","",AE12+COUNTIF(AE$2:AE12,AE12)-1)</f>
        <v>8</v>
      </c>
      <c r="AK12" s="18" t="s">
        <v>1081</v>
      </c>
      <c r="AL12" s="14" t="str">
        <f>IF(セルの固定色(AK12)=セルの固定色(AK$6),1,"")</f>
        <v/>
      </c>
      <c r="AM12" s="14" t="str">
        <f>IF(OR(ISBLANK(AL12),AL12=""),"",COUNTIF(AL$6:AL12,"&gt;0"))</f>
        <v/>
      </c>
      <c r="AN12" s="14" t="str">
        <f>IFERROR(LOOKUP(1,0/(AM:AM=ROW()-ROW(AN$5)),AK:AK),IFERROR(LOOKUP(1,0/(G:G=AO12),F:F),""))</f>
        <v>ＡＩ本</v>
      </c>
      <c r="AO12" s="14">
        <f>-(MAX(AM:AM)-ROW()+ROW(AO$6)-1)</f>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IF(E13="","",IFERROR(LOOKUP(1,0/(AK:AK=E13),AP:AP),"旧 "&amp;E13))</f>
        <v>人事部</v>
      </c>
      <c r="G13" s="8" t="str">
        <f>IF(ISBLANK(E13),"",IF(COUNTIF(AK:AK,"="&amp;E13)&gt;0,"",MAX(G$1:G12)+1))</f>
        <v/>
      </c>
      <c r="H13" s="8">
        <f t="shared" si="7"/>
        <v>1</v>
      </c>
      <c r="J13" s="19" t="str">
        <f>AN15</f>
        <v>ＮＰＣ</v>
      </c>
      <c r="K13" s="19">
        <f t="shared" si="10"/>
        <v>0</v>
      </c>
      <c r="M13" s="8" t="b">
        <f t="shared" si="11"/>
        <v>0</v>
      </c>
      <c r="N13" s="8">
        <f>IF(J13="","",IF(M13,COUNTIF(M$4:M13,TRUE),0))</f>
        <v>0</v>
      </c>
      <c r="O13" s="8" t="str">
        <f t="shared" si="12"/>
        <v/>
      </c>
      <c r="P13" s="8" t="str">
        <f t="shared" si="13"/>
        <v/>
      </c>
      <c r="Q13" s="8" t="str">
        <f t="shared" si="14"/>
        <v/>
      </c>
      <c r="S13" t="s">
        <v>166</v>
      </c>
      <c r="T13" s="9" t="s">
        <v>116</v>
      </c>
      <c r="U13" s="10">
        <f t="shared" si="1"/>
        <v>3</v>
      </c>
      <c r="V13" s="10">
        <f>IF(OR(U13="",U13=0),"",COUNTIF(U$2:U13,"&gt;0"))</f>
        <v>10</v>
      </c>
      <c r="W13" s="10" t="str">
        <f t="shared" si="4"/>
        <v/>
      </c>
      <c r="X13" s="10" t="str">
        <f t="shared" si="5"/>
        <v/>
      </c>
      <c r="Z13" t="s">
        <v>68</v>
      </c>
      <c r="AB13" s="11" t="s">
        <v>773</v>
      </c>
      <c r="AC13" s="10">
        <f t="shared" si="6"/>
        <v>1</v>
      </c>
      <c r="AD13" s="12">
        <f t="shared" si="15"/>
        <v>1</v>
      </c>
      <c r="AE13" s="8">
        <f t="shared" si="3"/>
        <v>15</v>
      </c>
      <c r="AF13" s="8">
        <f>IF(AE13="","",AE13+COUNTIF(AE$2:AE13,AE13)-1)</f>
        <v>18</v>
      </c>
      <c r="AK13" s="18" t="s">
        <v>1082</v>
      </c>
      <c r="AL13" s="14" t="str">
        <f>IF(セルの固定色(AK13)=セルの固定色(AK$6),1,"")</f>
        <v/>
      </c>
      <c r="AM13" s="14" t="str">
        <f>IF(OR(ISBLANK(AL13),AL13=""),"",COUNTIF(AL$6:AL13,"&gt;0"))</f>
        <v/>
      </c>
      <c r="AN13" s="14" t="str">
        <f>IFERROR(LOOKUP(1,0/(AM:AM=ROW()-ROW(AN$5)),AK:AK),IFERROR(LOOKUP(1,0/(G:G=AO13),F:F),""))</f>
        <v>ＮＳ本</v>
      </c>
      <c r="AO13" s="14">
        <f>-(MAX(AM:AM)-ROW()+ROW(AO$6)-1)</f>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IF(E14="","",IFERROR(LOOKUP(1,0/(AK:AK=E14),AP:AP),"旧 "&amp;E14))</f>
        <v>ＧＢ本</v>
      </c>
      <c r="G14" s="8" t="str">
        <f>IF(ISBLANK(E14),"",IF(COUNTIF(AK:AK,"="&amp;E14)&gt;0,"",MAX(G$1:G13)+1))</f>
        <v/>
      </c>
      <c r="H14" s="8">
        <f t="shared" si="7"/>
        <v>2</v>
      </c>
      <c r="J14" s="19" t="str">
        <f>AN16</f>
        <v>ＲＤＣ</v>
      </c>
      <c r="K14" s="19">
        <f t="shared" si="10"/>
        <v>0</v>
      </c>
      <c r="M14" s="8" t="b">
        <f t="shared" si="11"/>
        <v>0</v>
      </c>
      <c r="N14" s="8">
        <f>IF(J14="","",IF(M14,COUNTIF(M$4:M14,TRUE),0))</f>
        <v>0</v>
      </c>
      <c r="O14" s="8" t="str">
        <f t="shared" si="12"/>
        <v/>
      </c>
      <c r="P14" s="8" t="str">
        <f t="shared" si="13"/>
        <v/>
      </c>
      <c r="Q14" s="8" t="str">
        <f t="shared" si="14"/>
        <v/>
      </c>
      <c r="S14" t="s">
        <v>259</v>
      </c>
      <c r="W14" s="26" t="s">
        <v>1100</v>
      </c>
      <c r="X14" s="26" t="s">
        <v>1100</v>
      </c>
      <c r="Z14" t="s">
        <v>733</v>
      </c>
      <c r="AB14" s="11" t="s">
        <v>780</v>
      </c>
      <c r="AC14" s="10">
        <f t="shared" si="6"/>
        <v>3</v>
      </c>
      <c r="AD14" s="12">
        <f t="shared" si="15"/>
        <v>3</v>
      </c>
      <c r="AE14" s="8">
        <f t="shared" si="3"/>
        <v>7</v>
      </c>
      <c r="AF14" s="8">
        <f>IF(AE14="","",AE14+COUNTIF(AE$2:AE14,AE14)-1)</f>
        <v>9</v>
      </c>
      <c r="AK14" s="18" t="s">
        <v>886</v>
      </c>
      <c r="AL14" s="14" t="str">
        <f>IF(セルの固定色(AK14)=セルの固定色(AK$6),1,"")</f>
        <v/>
      </c>
      <c r="AM14" s="14" t="str">
        <f>IF(OR(ISBLANK(AL14),AL14=""),"",COUNTIF(AL$6:AL14,"&gt;0"))</f>
        <v/>
      </c>
      <c r="AN14" s="14" t="str">
        <f>IFERROR(LOOKUP(1,0/(AM:AM=ROW()-ROW(AN$5)),AK:AK),IFERROR(LOOKUP(1,0/(G:G=AO14),F:F),""))</f>
        <v>ＩＰＣ</v>
      </c>
      <c r="AO14" s="14">
        <f>-(MAX(AM:AM)-ROW()+ROW(AO$6)-1)</f>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IF(E15="","",IFERROR(LOOKUP(1,0/(AK:AK=E15),AP:AP),"旧 "&amp;E15))</f>
        <v>ＶＣ本</v>
      </c>
      <c r="G15" s="8" t="str">
        <f>IF(ISBLANK(E15),"",IF(COUNTIF(AK:AK,"="&amp;E15)&gt;0,"",MAX(G$1:G14)+1))</f>
        <v/>
      </c>
      <c r="H15" s="8">
        <f t="shared" si="7"/>
        <v>2</v>
      </c>
      <c r="J15" s="19" t="str">
        <f>AN17</f>
        <v>２０推</v>
      </c>
      <c r="K15" s="19">
        <f t="shared" si="10"/>
        <v>0</v>
      </c>
      <c r="M15" s="8" t="b">
        <f t="shared" si="11"/>
        <v>0</v>
      </c>
      <c r="N15" s="8">
        <f>IF(J15="","",IF(M15,COUNTIF(M$4:M15,TRUE),0))</f>
        <v>0</v>
      </c>
      <c r="O15" s="8" t="str">
        <f t="shared" si="12"/>
        <v/>
      </c>
      <c r="P15" s="8" t="str">
        <f t="shared" si="13"/>
        <v/>
      </c>
      <c r="Q15" s="8" t="str">
        <f t="shared" si="14"/>
        <v/>
      </c>
      <c r="S15" t="s">
        <v>54</v>
      </c>
      <c r="Z15" t="s">
        <v>83</v>
      </c>
      <c r="AB15" s="11" t="s">
        <v>59</v>
      </c>
      <c r="AC15" s="10">
        <f t="shared" si="6"/>
        <v>4</v>
      </c>
      <c r="AD15" s="12">
        <f t="shared" si="15"/>
        <v>4</v>
      </c>
      <c r="AE15" s="8">
        <f t="shared" si="3"/>
        <v>6</v>
      </c>
      <c r="AF15" s="8">
        <f>IF(AE15="","",AE15+COUNTIF(AE$2:AE15,AE15)-1)</f>
        <v>6</v>
      </c>
      <c r="AK15" s="18" t="s">
        <v>604</v>
      </c>
      <c r="AL15" s="14" t="str">
        <f>IF(セルの固定色(AK15)=セルの固定色(AK$6),1,"")</f>
        <v/>
      </c>
      <c r="AM15" s="14" t="str">
        <f>IF(OR(ISBLANK(AL15),AL15=""),"",COUNTIF(AL$6:AL15,"&gt;0"))</f>
        <v/>
      </c>
      <c r="AN15" s="14" t="str">
        <f>IFERROR(LOOKUP(1,0/(AM:AM=ROW()-ROW(AN$5)),AK:AK),IFERROR(LOOKUP(1,0/(G:G=AO15),F:F),""))</f>
        <v>ＮＰＣ</v>
      </c>
      <c r="AO15" s="14">
        <f>-(MAX(AM:AM)-ROW()+ROW(AO$6)-1)</f>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IF(E16="","",IFERROR(LOOKUP(1,0/(AK:AK=E16),AP:AP),"旧 "&amp;E16))</f>
        <v/>
      </c>
      <c r="G16" s="8" t="str">
        <f>IF(ISBLANK(E16),"",IF(COUNTIF(AK:AK,"="&amp;E16)&gt;0,"",MAX(G$1:G15)+1))</f>
        <v/>
      </c>
      <c r="H16" s="8" t="str">
        <f t="shared" si="7"/>
        <v/>
      </c>
      <c r="J16" s="19" t="str">
        <f>AN18</f>
        <v>ＩＯ推</v>
      </c>
      <c r="K16" s="19">
        <f t="shared" si="10"/>
        <v>0</v>
      </c>
      <c r="M16" s="8" t="b">
        <f t="shared" si="11"/>
        <v>0</v>
      </c>
      <c r="N16" s="8">
        <f>IF(J16="","",IF(M16,COUNTIF(M$4:M16,TRUE),0))</f>
        <v>0</v>
      </c>
      <c r="O16" s="8" t="str">
        <f t="shared" si="12"/>
        <v/>
      </c>
      <c r="P16" s="8" t="str">
        <f t="shared" si="13"/>
        <v/>
      </c>
      <c r="Q16" s="8" t="str">
        <f t="shared" si="14"/>
        <v/>
      </c>
      <c r="S16" t="s">
        <v>54</v>
      </c>
      <c r="Z16" t="s">
        <v>68</v>
      </c>
      <c r="AB16" s="11" t="s">
        <v>795</v>
      </c>
      <c r="AC16" s="10">
        <f t="shared" si="6"/>
        <v>1</v>
      </c>
      <c r="AD16" s="12">
        <f t="shared" si="15"/>
        <v>1</v>
      </c>
      <c r="AE16" s="8">
        <f t="shared" si="3"/>
        <v>15</v>
      </c>
      <c r="AF16" s="8">
        <f>IF(AE16="","",AE16+COUNTIF(AE$2:AE16,AE16)-1)</f>
        <v>19</v>
      </c>
      <c r="AK16" s="18" t="s">
        <v>408</v>
      </c>
      <c r="AL16" s="14" t="str">
        <f>IF(セルの固定色(AK16)=セルの固定色(AK$6),1,"")</f>
        <v/>
      </c>
      <c r="AM16" s="14" t="str">
        <f>IF(OR(ISBLANK(AL16),AL16=""),"",COUNTIF(AL$6:AL16,"&gt;0"))</f>
        <v/>
      </c>
      <c r="AN16" s="14" t="str">
        <f>IFERROR(LOOKUP(1,0/(AM:AM=ROW()-ROW(AN$5)),AK:AK),IFERROR(LOOKUP(1,0/(G:G=AO16),F:F),""))</f>
        <v>ＲＤＣ</v>
      </c>
      <c r="AO16" s="14">
        <f>-(MAX(AM:AM)-ROW()+ROW(AO$6)-1)</f>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IF(E17="","",IFERROR(LOOKUP(1,0/(AK:AK=E17),AP:AP),"旧 "&amp;E17))</f>
        <v/>
      </c>
      <c r="G17" s="8" t="str">
        <f>IF(ISBLANK(E17),"",IF(COUNTIF(AK:AK,"="&amp;E17)&gt;0,"",MAX(G$1:G16)+1))</f>
        <v/>
      </c>
      <c r="H17" s="8" t="str">
        <f t="shared" si="7"/>
        <v/>
      </c>
      <c r="J17" s="19" t="str">
        <f>AN19</f>
        <v>営推部</v>
      </c>
      <c r="K17" s="19">
        <f t="shared" si="10"/>
        <v>0</v>
      </c>
      <c r="M17" s="8" t="b">
        <f t="shared" si="11"/>
        <v>0</v>
      </c>
      <c r="N17" s="8">
        <f>IF(J17="","",IF(M17,COUNTIF(M$4:M17,TRUE),0))</f>
        <v>0</v>
      </c>
      <c r="O17" s="8" t="str">
        <f t="shared" si="12"/>
        <v/>
      </c>
      <c r="P17" s="8" t="str">
        <f t="shared" si="13"/>
        <v/>
      </c>
      <c r="Q17" s="8" t="str">
        <f t="shared" si="14"/>
        <v/>
      </c>
      <c r="S17" t="s">
        <v>27</v>
      </c>
      <c r="Z17" t="s">
        <v>246</v>
      </c>
      <c r="AB17" s="11" t="s">
        <v>532</v>
      </c>
      <c r="AC17" s="10">
        <f t="shared" si="6"/>
        <v>2</v>
      </c>
      <c r="AD17" s="12">
        <f t="shared" si="15"/>
        <v>2</v>
      </c>
      <c r="AE17" s="8">
        <f t="shared" si="3"/>
        <v>10</v>
      </c>
      <c r="AF17" s="8">
        <f>IF(AE17="","",AE17+COUNTIF(AE$2:AE17,AE17)-1)</f>
        <v>11</v>
      </c>
      <c r="AK17" s="18" t="s">
        <v>1086</v>
      </c>
      <c r="AL17" s="14" t="str">
        <f>IF(セルの固定色(AK17)=セルの固定色(AK$6),1,"")</f>
        <v/>
      </c>
      <c r="AM17" s="14" t="str">
        <f>IF(OR(ISBLANK(AL17),AL17=""),"",COUNTIF(AL$6:AL17,"&gt;0"))</f>
        <v/>
      </c>
      <c r="AN17" s="14" t="str">
        <f>IFERROR(LOOKUP(1,0/(AM:AM=ROW()-ROW(AN$5)),AK:AK),IFERROR(LOOKUP(1,0/(G:G=AO17),F:F),""))</f>
        <v>２０推</v>
      </c>
      <c r="AO17" s="14">
        <f>-(MAX(AM:AM)-ROW()+ROW(AO$6)-1)</f>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IF(E18="","",IFERROR(LOOKUP(1,0/(AK:AK=E18),AP:AP),"旧 "&amp;E18))</f>
        <v/>
      </c>
      <c r="G18" s="8" t="str">
        <f>IF(ISBLANK(E18),"",IF(COUNTIF(AK:AK,"="&amp;E18)&gt;0,"",MAX(G$1:G17)+1))</f>
        <v/>
      </c>
      <c r="H18" s="8" t="str">
        <f t="shared" si="7"/>
        <v/>
      </c>
      <c r="J18" s="19" t="str">
        <f>AN20</f>
        <v>情セ部</v>
      </c>
      <c r="K18" s="19">
        <f t="shared" si="10"/>
        <v>0</v>
      </c>
      <c r="M18" s="8" t="b">
        <f t="shared" si="11"/>
        <v>0</v>
      </c>
      <c r="N18" s="8">
        <f>IF(J18="","",IF(M18,COUNTIF(M$4:M18,TRUE),0))</f>
        <v>0</v>
      </c>
      <c r="O18" s="8" t="str">
        <f t="shared" si="12"/>
        <v/>
      </c>
      <c r="P18" s="8" t="str">
        <f t="shared" si="13"/>
        <v/>
      </c>
      <c r="Q18" s="8" t="str">
        <f t="shared" si="14"/>
        <v/>
      </c>
      <c r="S18" t="s">
        <v>27</v>
      </c>
      <c r="Z18" t="s">
        <v>83</v>
      </c>
      <c r="AB18" s="11" t="s">
        <v>208</v>
      </c>
      <c r="AC18" s="10">
        <f t="shared" si="6"/>
        <v>2</v>
      </c>
      <c r="AD18" s="12">
        <f t="shared" si="15"/>
        <v>2</v>
      </c>
      <c r="AE18" s="8">
        <f t="shared" si="3"/>
        <v>10</v>
      </c>
      <c r="AF18" s="8">
        <f>IF(AE18="","",AE18+COUNTIF(AE$2:AE18,AE18)-1)</f>
        <v>12</v>
      </c>
      <c r="AK18" s="22" t="s">
        <v>1087</v>
      </c>
      <c r="AL18" s="14" t="str">
        <f>IF(セルの固定色(AK18)=セルの固定色(AK$6),1,"")</f>
        <v/>
      </c>
      <c r="AM18" s="14" t="str">
        <f>IF(OR(ISBLANK(AL18),AL18=""),"",COUNTIF(AL$6:AL18,"&gt;0"))</f>
        <v/>
      </c>
      <c r="AN18" s="14" t="str">
        <f>IFERROR(LOOKUP(1,0/(AM:AM=ROW()-ROW(AN$5)),AK:AK),IFERROR(LOOKUP(1,0/(G:G=AO18),F:F),""))</f>
        <v>ＩＯ推</v>
      </c>
      <c r="AO18" s="14">
        <f>-(MAX(AM:AM)-ROW()+ROW(AO$6)-1)</f>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IF(E19="","",IFERROR(LOOKUP(1,0/(AK:AK=E19),AP:AP),"旧 "&amp;E19))</f>
        <v/>
      </c>
      <c r="G19" s="8" t="str">
        <f>IF(ISBLANK(E19),"",IF(COUNTIF(AK:AK,"="&amp;E19)&gt;0,"",MAX(G$1:G18)+1))</f>
        <v/>
      </c>
      <c r="H19" s="8" t="str">
        <f t="shared" si="7"/>
        <v/>
      </c>
      <c r="J19" s="19" t="str">
        <f>AN21</f>
        <v>ＤＸ部</v>
      </c>
      <c r="K19" s="19">
        <f t="shared" si="10"/>
        <v>0</v>
      </c>
      <c r="M19" s="8" t="b">
        <f t="shared" si="11"/>
        <v>0</v>
      </c>
      <c r="N19" s="8">
        <f>IF(J19="","",IF(M19,COUNTIF(M$4:M19,TRUE),0))</f>
        <v>0</v>
      </c>
      <c r="O19" s="8" t="str">
        <f t="shared" si="12"/>
        <v/>
      </c>
      <c r="P19" s="8" t="str">
        <f t="shared" si="13"/>
        <v/>
      </c>
      <c r="Q19" s="8" t="str">
        <f t="shared" si="14"/>
        <v/>
      </c>
      <c r="S19" t="s">
        <v>54</v>
      </c>
      <c r="Z19" t="s">
        <v>83</v>
      </c>
      <c r="AB19" s="11" t="s">
        <v>826</v>
      </c>
      <c r="AC19" s="10">
        <f t="shared" si="6"/>
        <v>1</v>
      </c>
      <c r="AD19" s="12">
        <f t="shared" si="15"/>
        <v>1</v>
      </c>
      <c r="AE19" s="8">
        <f t="shared" si="3"/>
        <v>15</v>
      </c>
      <c r="AF19" s="8">
        <f>IF(AE19="","",AE19+COUNTIF(AE$2:AE19,AE19)-1)</f>
        <v>20</v>
      </c>
      <c r="AK19" s="22" t="s">
        <v>1089</v>
      </c>
      <c r="AL19" s="14" t="str">
        <f>IF(セルの固定色(AK19)=セルの固定色(AK$6),1,"")</f>
        <v/>
      </c>
      <c r="AM19" s="14" t="str">
        <f>IF(OR(ISBLANK(AL19),AL19=""),"",COUNTIF(AL$6:AL19,"&gt;0"))</f>
        <v/>
      </c>
      <c r="AN19" s="14" t="str">
        <f>IFERROR(LOOKUP(1,0/(AM:AM=ROW()-ROW(AN$5)),AK:AK),IFERROR(LOOKUP(1,0/(G:G=AO19),F:F),""))</f>
        <v>営推部</v>
      </c>
      <c r="AO19" s="14">
        <f>-(MAX(AM:AM)-ROW()+ROW(AO$6)-1)</f>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16">IFERROR(LOOKUP(1,0/(D:D=ROW()-ROW(E$1)),B:B),"")</f>
        <v/>
      </c>
      <c r="F20" s="8" t="str">
        <f>IF(E20="","",IFERROR(LOOKUP(1,0/(AK:AK=E20),AP:AP),"旧 "&amp;E20))</f>
        <v/>
      </c>
      <c r="G20" s="8" t="str">
        <f>IF(ISBLANK(E20),"",IF(COUNTIF(AK:AK,"="&amp;E20)&gt;0,"",MAX(G$1:G19)+1))</f>
        <v/>
      </c>
      <c r="H20" s="8" t="str">
        <f t="shared" si="7"/>
        <v/>
      </c>
      <c r="J20" s="19" t="str">
        <f>AN22</f>
        <v>経企部</v>
      </c>
      <c r="K20" s="19">
        <f t="shared" si="10"/>
        <v>0</v>
      </c>
      <c r="M20" s="8" t="b">
        <f t="shared" si="11"/>
        <v>0</v>
      </c>
      <c r="N20" s="8">
        <f>IF(J20="","",IF(M20,COUNTIF(M$4:M20,TRUE),0))</f>
        <v>0</v>
      </c>
      <c r="O20" s="8" t="str">
        <f t="shared" si="12"/>
        <v/>
      </c>
      <c r="P20" s="8" t="str">
        <f t="shared" si="13"/>
        <v/>
      </c>
      <c r="Q20" s="8" t="str">
        <f t="shared" si="14"/>
        <v/>
      </c>
      <c r="S20" t="s">
        <v>54</v>
      </c>
      <c r="Z20" t="s">
        <v>68</v>
      </c>
      <c r="AB20" s="11" t="s">
        <v>222</v>
      </c>
      <c r="AC20" s="10">
        <f t="shared" si="6"/>
        <v>7</v>
      </c>
      <c r="AD20" s="12">
        <f t="shared" si="15"/>
        <v>7</v>
      </c>
      <c r="AE20" s="8">
        <f t="shared" si="3"/>
        <v>4</v>
      </c>
      <c r="AF20" s="8">
        <f>IF(AE20="","",AE20+COUNTIF(AE$2:AE20,AE20)-1)</f>
        <v>4</v>
      </c>
      <c r="AK20" s="23" t="s">
        <v>1464</v>
      </c>
      <c r="AL20" s="14">
        <f>IF(セルの固定色(AK20)=セルの固定色(AK$6),1,"")</f>
        <v>1</v>
      </c>
      <c r="AM20" s="14">
        <f>IF(OR(ISBLANK(AL20),AL20=""),"",COUNTIF(AL$6:AL20,"&gt;0"))</f>
        <v>2</v>
      </c>
      <c r="AN20" s="14" t="str">
        <f>IFERROR(LOOKUP(1,0/(AM:AM=ROW()-ROW(AN$5)),AK:AK),IFERROR(LOOKUP(1,0/(G:G=AO20),F:F),""))</f>
        <v>情セ部</v>
      </c>
      <c r="AO20" s="14">
        <f>-(MAX(AM:AM)-ROW()+ROW(AO$6)-1)</f>
        <v>-6</v>
      </c>
      <c r="AP20" s="14" t="str">
        <f>IF(ISBLANK(AK20),"",LOOKUP(1,0/(AM$6:AM20=MAX(AM$6:AM20)),AK$6:AK20))</f>
        <v>西本部</v>
      </c>
    </row>
    <row r="21" spans="1:42">
      <c r="A21" s="7" t="s">
        <v>1095</v>
      </c>
      <c r="B21" t="s">
        <v>47</v>
      </c>
      <c r="C21" s="8" t="b">
        <f>IF(B21="","",COUNTIF(B$1:B20,B21)=0)</f>
        <v>0</v>
      </c>
      <c r="D21" s="8" t="str">
        <f>IF(B21="","",IF(C21,COUNTIF(C$2:C21,TRUE),""))</f>
        <v/>
      </c>
      <c r="E21" s="8" t="str">
        <f t="shared" si="16"/>
        <v/>
      </c>
      <c r="F21" s="8" t="str">
        <f>IF(E21="","",IFERROR(LOOKUP(1,0/(AK:AK=E21),AP:AP),"旧 "&amp;E21))</f>
        <v/>
      </c>
      <c r="G21" s="8" t="str">
        <f>IF(ISBLANK(E21),"",IF(COUNTIF(AK:AK,"="&amp;E21)&gt;0,"",MAX(G$1:G20)+1))</f>
        <v/>
      </c>
      <c r="H21" s="8" t="str">
        <f t="shared" si="7"/>
        <v/>
      </c>
      <c r="J21" s="19" t="str">
        <f>AN23</f>
        <v>総務部</v>
      </c>
      <c r="K21" s="19">
        <f t="shared" si="10"/>
        <v>0</v>
      </c>
      <c r="M21" s="8" t="b">
        <f t="shared" si="11"/>
        <v>0</v>
      </c>
      <c r="N21" s="8">
        <f>IF(J21="","",IF(M21,COUNTIF(M$4:M21,TRUE),0))</f>
        <v>0</v>
      </c>
      <c r="O21" s="8" t="str">
        <f t="shared" si="12"/>
        <v/>
      </c>
      <c r="P21" s="8" t="str">
        <f t="shared" si="13"/>
        <v/>
      </c>
      <c r="Q21" s="8" t="str">
        <f t="shared" si="14"/>
        <v/>
      </c>
      <c r="S21" t="s">
        <v>27</v>
      </c>
      <c r="Z21" t="s">
        <v>68</v>
      </c>
      <c r="AB21" s="11" t="s">
        <v>105</v>
      </c>
      <c r="AC21" s="10">
        <f t="shared" si="6"/>
        <v>1</v>
      </c>
      <c r="AD21" s="12">
        <f t="shared" si="15"/>
        <v>1</v>
      </c>
      <c r="AE21" s="8">
        <f t="shared" si="3"/>
        <v>15</v>
      </c>
      <c r="AF21" s="8">
        <f>IF(AE21="","",AE21+COUNTIF(AE$2:AE21,AE21)-1)</f>
        <v>21</v>
      </c>
      <c r="AK21" s="18" t="s">
        <v>1090</v>
      </c>
      <c r="AL21" s="14" t="str">
        <f>IF(セルの固定色(AK21)=セルの固定色(AK$6),1,"")</f>
        <v/>
      </c>
      <c r="AM21" s="14" t="str">
        <f>IF(OR(ISBLANK(AL21),AL21=""),"",COUNTIF(AL$6:AL21,"&gt;0"))</f>
        <v/>
      </c>
      <c r="AN21" s="14" t="str">
        <f>IFERROR(LOOKUP(1,0/(AM:AM=ROW()-ROW(AN$5)),AK:AK),IFERROR(LOOKUP(1,0/(G:G=AO21),F:F),""))</f>
        <v>ＤＸ部</v>
      </c>
      <c r="AO21" s="14">
        <f>-(MAX(AM:AM)-ROW()+ROW(AO$6)-1)</f>
        <v>-5</v>
      </c>
      <c r="AP21" s="14" t="str">
        <f>IF(ISBLANK(AK21),"",LOOKUP(1,0/(AM$6:AM21=MAX(AM$6:AM21)),AK$6:AK21))</f>
        <v>西本部</v>
      </c>
    </row>
    <row r="22" spans="1:42">
      <c r="A22" s="21">
        <v>105</v>
      </c>
      <c r="B22" t="s">
        <v>47</v>
      </c>
      <c r="C22" s="8" t="b">
        <f>IF(B22="","",COUNTIF(B$1:B21,B22)=0)</f>
        <v>0</v>
      </c>
      <c r="D22" s="8" t="str">
        <f>IF(B22="","",IF(C22,COUNTIF(C$2:C22,TRUE),""))</f>
        <v/>
      </c>
      <c r="E22" s="8" t="str">
        <f t="shared" si="16"/>
        <v/>
      </c>
      <c r="F22" s="8" t="str">
        <f>IF(E22="","",IFERROR(LOOKUP(1,0/(AK:AK=E22),AP:AP),"旧 "&amp;E22))</f>
        <v/>
      </c>
      <c r="G22" s="8" t="str">
        <f>IF(ISBLANK(E22),"",IF(COUNTIF(AK:AK,"="&amp;E22)&gt;0,"",MAX(G$1:G21)+1))</f>
        <v/>
      </c>
      <c r="H22" s="8" t="str">
        <f t="shared" si="7"/>
        <v/>
      </c>
      <c r="J22" s="19" t="str">
        <f>AN24</f>
        <v>人事部</v>
      </c>
      <c r="K22" s="19">
        <f t="shared" si="10"/>
        <v>1</v>
      </c>
      <c r="M22" s="8" t="b">
        <f t="shared" si="11"/>
        <v>1</v>
      </c>
      <c r="N22" s="8">
        <f>IF(J22="","",IF(M22,COUNTIF(M$4:M22,TRUE),0))</f>
        <v>7</v>
      </c>
      <c r="O22" s="8" t="str">
        <f t="shared" si="12"/>
        <v/>
      </c>
      <c r="P22" s="8" t="str">
        <f t="shared" si="13"/>
        <v/>
      </c>
      <c r="Q22" s="8" t="str">
        <f t="shared" si="14"/>
        <v/>
      </c>
      <c r="S22" t="s">
        <v>494</v>
      </c>
      <c r="Z22" t="s">
        <v>44</v>
      </c>
      <c r="AB22" s="11" t="s">
        <v>903</v>
      </c>
      <c r="AC22" s="10">
        <f t="shared" si="6"/>
        <v>2</v>
      </c>
      <c r="AD22" s="12">
        <f t="shared" si="15"/>
        <v>2</v>
      </c>
      <c r="AE22" s="8">
        <f t="shared" si="3"/>
        <v>10</v>
      </c>
      <c r="AF22" s="8">
        <f>IF(AE22="","",AE22+COUNTIF(AE$2:AE22,AE22)-1)</f>
        <v>13</v>
      </c>
      <c r="AK22" s="18" t="s">
        <v>1092</v>
      </c>
      <c r="AL22" s="14" t="str">
        <f>IF(セルの固定色(AK22)=セルの固定色(AK$6),1,"")</f>
        <v/>
      </c>
      <c r="AM22" s="14" t="str">
        <f>IF(OR(ISBLANK(AL22),AL22=""),"",COUNTIF(AL$6:AL22,"&gt;0"))</f>
        <v/>
      </c>
      <c r="AN22" s="14" t="str">
        <f>IFERROR(LOOKUP(1,0/(AM:AM=ROW()-ROW(AN$5)),AK:AK),IFERROR(LOOKUP(1,0/(G:G=AO22),F:F),""))</f>
        <v>経企部</v>
      </c>
      <c r="AO22" s="14">
        <f>-(MAX(AM:AM)-ROW()+ROW(AO$6)-1)</f>
        <v>-4</v>
      </c>
      <c r="AP22" s="14" t="str">
        <f>IF(ISBLANK(AK22),"",LOOKUP(1,0/(AM$6:AM22=MAX(AM$6:AM22)),AK$6:AK22))</f>
        <v>西本部</v>
      </c>
    </row>
    <row r="23" spans="1:42">
      <c r="A23" s="7" t="s">
        <v>1458</v>
      </c>
      <c r="B23" t="s">
        <v>128</v>
      </c>
      <c r="C23" s="8" t="b">
        <f>IF(B23="","",COUNTIF(B$1:B22,B23)=0)</f>
        <v>1</v>
      </c>
      <c r="D23" s="8">
        <f>IF(B23="","",IF(C23,COUNTIF(C$2:C23,TRUE),""))</f>
        <v>8</v>
      </c>
      <c r="E23" s="8" t="str">
        <f t="shared" si="16"/>
        <v/>
      </c>
      <c r="F23" s="8" t="str">
        <f>IF(E23="","",IFERROR(LOOKUP(1,0/(AK:AK=E23),AP:AP),"旧 "&amp;E23))</f>
        <v/>
      </c>
      <c r="G23" s="8" t="str">
        <f>IF(ISBLANK(E23),"",IF(COUNTIF(AK:AK,"="&amp;E23)&gt;0,"",MAX(G$1:G22)+1))</f>
        <v/>
      </c>
      <c r="H23" s="8" t="str">
        <f t="shared" si="7"/>
        <v/>
      </c>
      <c r="J23" s="19" t="str">
        <f>AN25</f>
        <v>考査部</v>
      </c>
      <c r="K23" s="19">
        <f t="shared" si="10"/>
        <v>0</v>
      </c>
      <c r="M23" s="8" t="b">
        <f t="shared" si="11"/>
        <v>0</v>
      </c>
      <c r="N23" s="8">
        <f>IF(J23="","",IF(M23,COUNTIF(M$4:M23,TRUE),0))</f>
        <v>0</v>
      </c>
      <c r="O23" s="8" t="str">
        <f t="shared" si="12"/>
        <v/>
      </c>
      <c r="P23" s="8" t="str">
        <f t="shared" si="13"/>
        <v/>
      </c>
      <c r="Q23" s="8" t="str">
        <f t="shared" si="14"/>
        <v/>
      </c>
      <c r="S23" t="s">
        <v>54</v>
      </c>
      <c r="Z23" t="s">
        <v>37</v>
      </c>
      <c r="AB23" s="11" t="s">
        <v>911</v>
      </c>
      <c r="AC23" s="10">
        <f t="shared" si="6"/>
        <v>1</v>
      </c>
      <c r="AD23" s="12">
        <f t="shared" si="15"/>
        <v>1</v>
      </c>
      <c r="AE23" s="8">
        <f t="shared" si="3"/>
        <v>15</v>
      </c>
      <c r="AF23" s="8">
        <f>IF(AE23="","",AE23+COUNTIF(AE$2:AE23,AE23)-1)</f>
        <v>22</v>
      </c>
      <c r="AK23" s="18" t="s">
        <v>1093</v>
      </c>
      <c r="AL23" s="14" t="str">
        <f>IF(セルの固定色(AK23)=セルの固定色(AK$6),1,"")</f>
        <v/>
      </c>
      <c r="AM23" s="14" t="str">
        <f>IF(OR(ISBLANK(AL23),AL23=""),"",COUNTIF(AL$6:AL23,"&gt;0"))</f>
        <v/>
      </c>
      <c r="AN23" s="14" t="str">
        <f>IFERROR(LOOKUP(1,0/(AM:AM=ROW()-ROW(AN$5)),AK:AK),IFERROR(LOOKUP(1,0/(G:G=AO23),F:F),""))</f>
        <v>総務部</v>
      </c>
      <c r="AO23" s="14">
        <f>-(MAX(AM:AM)-ROW()+ROW(AO$6)-1)</f>
        <v>-3</v>
      </c>
      <c r="AP23" s="14" t="str">
        <f>IF(ISBLANK(AK23),"",LOOKUP(1,0/(AM$6:AM23=MAX(AM$6:AM23)),AK$6:AK23))</f>
        <v>西本部</v>
      </c>
    </row>
    <row r="24" spans="1:42">
      <c r="A24" s="62">
        <f ca="1">_xlfn.SHEET(組織名称・略称・英文呼称!$E$1)</f>
        <v>3</v>
      </c>
      <c r="B24" t="s">
        <v>32</v>
      </c>
      <c r="C24" s="8" t="b">
        <f>IF(B24="","",COUNTIF(B$1:B23,B24)=0)</f>
        <v>0</v>
      </c>
      <c r="D24" s="8" t="str">
        <f>IF(B24="","",IF(C24,COUNTIF(C$2:C24,TRUE),""))</f>
        <v/>
      </c>
      <c r="E24" s="8" t="str">
        <f t="shared" si="16"/>
        <v/>
      </c>
      <c r="F24" s="8" t="str">
        <f>IF(E24="","",IFERROR(LOOKUP(1,0/(AK:AK=E24),AP:AP),"旧 "&amp;E24))</f>
        <v/>
      </c>
      <c r="G24" s="8" t="str">
        <f>IF(ISBLANK(E24),"",IF(COUNTIF(AK:AK,"="&amp;E24)&gt;0,"",MAX(G$1:G23)+1))</f>
        <v/>
      </c>
      <c r="H24" s="8" t="str">
        <f t="shared" si="7"/>
        <v/>
      </c>
      <c r="J24" s="19" t="str">
        <f>AN26</f>
        <v>監査室</v>
      </c>
      <c r="K24" s="19">
        <f t="shared" si="10"/>
        <v>0</v>
      </c>
      <c r="M24" s="8" t="b">
        <f t="shared" si="11"/>
        <v>0</v>
      </c>
      <c r="N24" s="8">
        <f>IF(J24="","",IF(M24,COUNTIF(M$4:M24,TRUE),0))</f>
        <v>0</v>
      </c>
      <c r="O24" s="8" t="str">
        <f t="shared" si="12"/>
        <v/>
      </c>
      <c r="P24" s="8" t="str">
        <f t="shared" si="13"/>
        <v/>
      </c>
      <c r="Q24" s="8" t="str">
        <f t="shared" si="14"/>
        <v/>
      </c>
      <c r="S24" t="s">
        <v>494</v>
      </c>
      <c r="Z24" t="s">
        <v>773</v>
      </c>
      <c r="AB24" s="11" t="s">
        <v>985</v>
      </c>
      <c r="AC24" s="10">
        <f t="shared" si="6"/>
        <v>1</v>
      </c>
      <c r="AD24" s="12">
        <f>SUM(AC24)</f>
        <v>1</v>
      </c>
      <c r="AE24" s="8">
        <f t="shared" si="3"/>
        <v>15</v>
      </c>
      <c r="AF24" s="8">
        <f>IF(AE24="","",AE24+COUNTIF(AE$2:AE24,AE24)-1)</f>
        <v>23</v>
      </c>
      <c r="AK24" s="24" t="s">
        <v>1094</v>
      </c>
      <c r="AL24" s="14" t="str">
        <f>IF(セルの固定色(AK24)=セルの固定色(AK$6),1,"")</f>
        <v/>
      </c>
      <c r="AM24" s="14" t="str">
        <f>IF(OR(ISBLANK(AL24),AL24=""),"",COUNTIF(AL$6:AL24,"&gt;0"))</f>
        <v/>
      </c>
      <c r="AN24" s="14" t="str">
        <f>IFERROR(LOOKUP(1,0/(AM:AM=ROW()-ROW(AN$5)),AK:AK),IFERROR(LOOKUP(1,0/(G:G=AO24),F:F),""))</f>
        <v>人事部</v>
      </c>
      <c r="AO24" s="14">
        <f>-(MAX(AM:AM)-ROW()+ROW(AO$6)-1)</f>
        <v>-2</v>
      </c>
      <c r="AP24" s="14" t="str">
        <f>IF(ISBLANK(AK24),"",LOOKUP(1,0/(AM$6:AM24=MAX(AM$6:AM24)),AK$6:AK24))</f>
        <v>西本部</v>
      </c>
    </row>
    <row r="25" spans="1:42">
      <c r="A25" t="s">
        <v>1459</v>
      </c>
      <c r="B25" t="s">
        <v>32</v>
      </c>
      <c r="C25" s="8" t="b">
        <f>IF(B25="","",COUNTIF(B$1:B24,B25)=0)</f>
        <v>0</v>
      </c>
      <c r="D25" s="8" t="str">
        <f>IF(B25="","",IF(C25,COUNTIF(C$2:C25,TRUE),""))</f>
        <v/>
      </c>
      <c r="E25" s="8" t="str">
        <f t="shared" si="16"/>
        <v/>
      </c>
      <c r="F25" s="8" t="str">
        <f>IF(E25="","",IFERROR(LOOKUP(1,0/(AK:AK=E25),AP:AP),"旧 "&amp;E25))</f>
        <v/>
      </c>
      <c r="G25" s="8" t="str">
        <f>IF(ISBLANK(E25),"",IF(COUNTIF(AK:AK,"="&amp;E25)&gt;0,"",MAX(G$1:G24)+1))</f>
        <v/>
      </c>
      <c r="H25" s="8" t="str">
        <f t="shared" si="7"/>
        <v/>
      </c>
      <c r="J25" s="19" t="str">
        <f>AN27</f>
        <v/>
      </c>
      <c r="K25" s="19" t="str">
        <f t="shared" si="10"/>
        <v/>
      </c>
      <c r="M25" s="8" t="str">
        <f t="shared" si="11"/>
        <v/>
      </c>
      <c r="N25" s="8" t="str">
        <f>IF(J25="","",IF(M25,COUNTIF(M$4:M25,TRUE),0))</f>
        <v/>
      </c>
      <c r="O25" s="8" t="str">
        <f t="shared" si="12"/>
        <v/>
      </c>
      <c r="P25" s="8" t="str">
        <f t="shared" si="13"/>
        <v/>
      </c>
      <c r="Q25" s="8" t="str">
        <f t="shared" si="14"/>
        <v/>
      </c>
      <c r="S25" t="s">
        <v>779</v>
      </c>
      <c r="Z25" t="s">
        <v>780</v>
      </c>
      <c r="AB25" s="11" t="s">
        <v>477</v>
      </c>
      <c r="AC25" s="10">
        <f t="shared" si="6"/>
        <v>1</v>
      </c>
      <c r="AD25" s="12">
        <f t="shared" ref="AD25" si="17">SUM(AC25)</f>
        <v>1</v>
      </c>
      <c r="AE25" s="8">
        <f t="shared" si="3"/>
        <v>15</v>
      </c>
      <c r="AF25" s="8">
        <f>IF(AE25="","",AE25+COUNTIF(AE$2:AE25,AE25)-1)</f>
        <v>24</v>
      </c>
      <c r="AK25" s="24" t="s">
        <v>1096</v>
      </c>
      <c r="AL25" s="14" t="str">
        <f>IF(セルの固定色(AK25)=セルの固定色(AK$6),1,"")</f>
        <v/>
      </c>
      <c r="AM25" s="14" t="str">
        <f>IF(OR(ISBLANK(AL25),AL25=""),"",COUNTIF(AL$6:AL25,"&gt;0"))</f>
        <v/>
      </c>
      <c r="AN25" s="14" t="str">
        <f>IFERROR(LOOKUP(1,0/(AM:AM=ROW()-ROW(AN$5)),AK:AK),IFERROR(LOOKUP(1,0/(G:G=AO25),F:F),""))</f>
        <v>考査部</v>
      </c>
      <c r="AO25" s="14">
        <f>-(MAX(AM:AM)-ROW()+ROW(AO$6)-1)</f>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16"/>
        <v/>
      </c>
      <c r="F26" s="8" t="str">
        <f>IF(E26="","",IFERROR(LOOKUP(1,0/(AK:AK=E26),AP:AP),"旧 "&amp;E26))</f>
        <v/>
      </c>
      <c r="G26" s="8" t="str">
        <f>IF(ISBLANK(E26),"",IF(COUNTIF(AK:AK,"="&amp;E26)&gt;0,"",MAX(G$1:G25)+1))</f>
        <v/>
      </c>
      <c r="H26" s="8" t="str">
        <f t="shared" si="7"/>
        <v/>
      </c>
      <c r="J26" s="19" t="str">
        <f>AN28</f>
        <v/>
      </c>
      <c r="K26" s="19" t="str">
        <f t="shared" si="10"/>
        <v/>
      </c>
      <c r="M26" s="8" t="str">
        <f t="shared" si="11"/>
        <v/>
      </c>
      <c r="N26" s="8" t="str">
        <f>IF(J26="","",IF(M26,COUNTIF(M$4:M26,TRUE),0))</f>
        <v/>
      </c>
      <c r="O26" s="8" t="str">
        <f t="shared" si="12"/>
        <v/>
      </c>
      <c r="P26" s="8" t="str">
        <f t="shared" si="13"/>
        <v/>
      </c>
      <c r="Q26" s="8" t="str">
        <f t="shared" si="14"/>
        <v/>
      </c>
      <c r="S26" t="s">
        <v>87</v>
      </c>
      <c r="Z26" t="s">
        <v>68</v>
      </c>
      <c r="AB26" s="11" t="s">
        <v>999</v>
      </c>
      <c r="AC26" s="10">
        <f t="shared" si="6"/>
        <v>1</v>
      </c>
      <c r="AD26" s="12">
        <f>SUM(AC26)</f>
        <v>1</v>
      </c>
      <c r="AE26" s="8">
        <f t="shared" si="3"/>
        <v>15</v>
      </c>
      <c r="AF26" s="8">
        <f>IF(AE26="","",AE26+COUNTIF(AE$2:AE26,AE26)-1)</f>
        <v>25</v>
      </c>
      <c r="AK26" s="24" t="s">
        <v>1097</v>
      </c>
      <c r="AL26" s="14" t="str">
        <f>IF(セルの固定色(AK26)=セルの固定色(AK$6),1,"")</f>
        <v/>
      </c>
      <c r="AM26" s="14" t="str">
        <f>IF(OR(ISBLANK(AL26),AL26=""),"",COUNTIF(AL$6:AL26,"&gt;0"))</f>
        <v/>
      </c>
      <c r="AN26" s="14" t="str">
        <f>IFERROR(LOOKUP(1,0/(AM:AM=ROW()-ROW(AN$5)),AK:AK),IFERROR(LOOKUP(1,0/(G:G=AO26),F:F),""))</f>
        <v>監査室</v>
      </c>
      <c r="AO26" s="14">
        <f>-(MAX(AM:AM)-ROW()+ROW(AO$6)-1)</f>
        <v>0</v>
      </c>
      <c r="AP26" s="14" t="str">
        <f>IF(ISBLANK(AK26),"",LOOKUP(1,0/(AM$6:AM26=MAX(AM$6:AM26)),AK$6:AK26))</f>
        <v>西本部</v>
      </c>
    </row>
    <row r="27" spans="1:42" ht="19.5" thickBot="1">
      <c r="B27" t="s">
        <v>47</v>
      </c>
      <c r="C27" s="8" t="b">
        <f>IF(B27="","",COUNTIF(B$1:B26,B27)=0)</f>
        <v>0</v>
      </c>
      <c r="D27" s="8" t="str">
        <f>IF(B27="","",IF(C27,COUNTIF(C$2:C27,TRUE),""))</f>
        <v/>
      </c>
      <c r="E27" s="8" t="str">
        <f t="shared" si="16"/>
        <v/>
      </c>
      <c r="F27" s="8" t="str">
        <f>IF(E27="","",IFERROR(LOOKUP(1,0/(AK:AK=E27),AP:AP),"旧 "&amp;E27))</f>
        <v/>
      </c>
      <c r="G27" s="8" t="str">
        <f>IF(ISBLANK(E27),"",IF(COUNTIF(AK:AK,"="&amp;E27)&gt;0,"",MAX(G$1:G26)+1))</f>
        <v/>
      </c>
      <c r="H27" s="8" t="str">
        <f t="shared" si="7"/>
        <v/>
      </c>
      <c r="J27" s="19" t="str">
        <f>AN29</f>
        <v/>
      </c>
      <c r="K27" s="19" t="str">
        <f t="shared" si="10"/>
        <v/>
      </c>
      <c r="M27" s="8" t="str">
        <f t="shared" si="11"/>
        <v/>
      </c>
      <c r="N27" s="8" t="str">
        <f>IF(J27="","",IF(M27,COUNTIF(M$4:M27,TRUE),0))</f>
        <v/>
      </c>
      <c r="P27" s="27">
        <f>SUM(P4:P26)</f>
        <v>105</v>
      </c>
      <c r="Q27" s="27">
        <f>SUM(Q4:Q26)</f>
        <v>82</v>
      </c>
      <c r="S27" t="s">
        <v>27</v>
      </c>
      <c r="Z27" t="s">
        <v>59</v>
      </c>
      <c r="AB27" s="11" t="s">
        <v>639</v>
      </c>
      <c r="AC27" s="10">
        <f t="shared" si="6"/>
        <v>1</v>
      </c>
      <c r="AD27" s="12">
        <f>SUM(AC27)</f>
        <v>1</v>
      </c>
      <c r="AE27" s="8">
        <f t="shared" si="3"/>
        <v>15</v>
      </c>
      <c r="AF27" s="8">
        <f>IF(AE27="","",AE27+COUNTIF(AE$2:AE27,AE27)-1)</f>
        <v>26</v>
      </c>
      <c r="AK27" s="25" t="s">
        <v>1098</v>
      </c>
      <c r="AL27" s="14" t="str">
        <f>IF(セルの固定色(AK27)=セルの固定色(AK$6),1,"")</f>
        <v/>
      </c>
      <c r="AM27" s="14" t="str">
        <f>IF(OR(ISBLANK(AL27),AL27=""),"",COUNTIF(AL$6:AL27,"&gt;0"))</f>
        <v/>
      </c>
      <c r="AN27" s="14" t="str">
        <f>IFERROR(LOOKUP(1,0/(AM:AM=ROW()-ROW(AN$5)),AK:AK),IFERROR(LOOKUP(1,0/(G:G=AO27),F:F),""))</f>
        <v/>
      </c>
      <c r="AO27" s="14">
        <f>-(MAX(AM:AM)-ROW()+ROW(AO$6)-1)</f>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16"/>
        <v/>
      </c>
      <c r="F28" s="8" t="str">
        <f>IF(E28="","",IFERROR(LOOKUP(1,0/(AK:AK=E28),AP:AP),"旧 "&amp;E28))</f>
        <v/>
      </c>
      <c r="G28" s="8" t="str">
        <f>IF(ISBLANK(E28),"",IF(COUNTIF(AK:AK,"="&amp;E28)&gt;0,"",MAX(G$1:G27)+1))</f>
        <v/>
      </c>
      <c r="H28" s="8" t="str">
        <f t="shared" si="7"/>
        <v/>
      </c>
      <c r="J28" s="19" t="str">
        <f>AN30</f>
        <v/>
      </c>
      <c r="K28" s="19" t="str">
        <f t="shared" si="10"/>
        <v/>
      </c>
      <c r="M28" s="8" t="str">
        <f t="shared" si="11"/>
        <v/>
      </c>
      <c r="N28" s="8" t="str">
        <f>IF(J28="","",IF(M28,COUNTIF(M$4:M28,TRUE),0))</f>
        <v/>
      </c>
      <c r="O28" s="26" t="s">
        <v>1100</v>
      </c>
      <c r="P28" s="26" t="s">
        <v>1100</v>
      </c>
      <c r="Q28" s="26" t="s">
        <v>1100</v>
      </c>
      <c r="S28" t="s">
        <v>87</v>
      </c>
      <c r="Z28" t="s">
        <v>68</v>
      </c>
      <c r="AB28" s="11" t="s">
        <v>1037</v>
      </c>
      <c r="AC28" s="10">
        <f t="shared" si="6"/>
        <v>1</v>
      </c>
      <c r="AD28" s="12">
        <f>SUM(AC28)</f>
        <v>1</v>
      </c>
      <c r="AE28" s="8">
        <f t="shared" si="3"/>
        <v>15</v>
      </c>
      <c r="AF28" s="8">
        <f>IF(AE28="","",AE28+COUNTIF(AE$2:AE28,AE28)-1)</f>
        <v>27</v>
      </c>
      <c r="AK28" s="22" t="s">
        <v>1099</v>
      </c>
      <c r="AL28" s="14" t="str">
        <f>IF(セルの固定色(AK28)=セルの固定色(AK$6),1,"")</f>
        <v/>
      </c>
      <c r="AM28" s="14" t="str">
        <f>IF(OR(ISBLANK(AL28),AL28=""),"",COUNTIF(AL$6:AL28,"&gt;0"))</f>
        <v/>
      </c>
      <c r="AN28" s="14" t="str">
        <f>IFERROR(LOOKUP(1,0/(AM:AM=ROW()-ROW(AN$5)),AK:AK),IFERROR(LOOKUP(1,0/(G:G=AO28),F:F),""))</f>
        <v/>
      </c>
      <c r="AO28" s="14">
        <f>-(MAX(AM:AM)-ROW()+ROW(AO$6)-1)</f>
        <v>2</v>
      </c>
      <c r="AP28" s="14" t="str">
        <f>IF(ISBLANK(AK28),"",LOOKUP(1,0/(AM$6:AM28=MAX(AM$6:AM28)),AK$6:AK28))</f>
        <v>西本部</v>
      </c>
    </row>
    <row r="29" spans="1:42">
      <c r="B29" t="s">
        <v>47</v>
      </c>
      <c r="C29" s="8" t="b">
        <f>IF(B29="","",COUNTIF(B$1:B28,B29)=0)</f>
        <v>0</v>
      </c>
      <c r="D29" s="8" t="str">
        <f>IF(B29="","",IF(C29,COUNTIF(C$2:C29,TRUE),""))</f>
        <v/>
      </c>
      <c r="E29" s="8" t="str">
        <f t="shared" si="16"/>
        <v/>
      </c>
      <c r="F29" s="8" t="str">
        <f>IF(E29="","",IFERROR(LOOKUP(1,0/(AK:AK=E29),AP:AP),"旧 "&amp;E29))</f>
        <v/>
      </c>
      <c r="G29" s="8" t="str">
        <f>IF(ISBLANK(E29),"",IF(COUNTIF(AK:AK,"="&amp;E29)&gt;0,"",MAX(G$1:G28)+1))</f>
        <v/>
      </c>
      <c r="H29" s="8" t="str">
        <f t="shared" si="7"/>
        <v/>
      </c>
      <c r="J29" s="19" t="str">
        <f>AN31</f>
        <v/>
      </c>
      <c r="K29" s="19" t="str">
        <f t="shared" si="10"/>
        <v/>
      </c>
      <c r="M29" s="8" t="str">
        <f t="shared" si="11"/>
        <v/>
      </c>
      <c r="N29" s="8" t="str">
        <f>IF(J29="","",IF(M29,COUNTIF(M$4:M29,TRUE),0))</f>
        <v/>
      </c>
      <c r="S29" t="s">
        <v>27</v>
      </c>
      <c r="Z29" t="s">
        <v>37</v>
      </c>
      <c r="AC29" s="8" t="str">
        <f t="shared" si="6"/>
        <v/>
      </c>
      <c r="AE29" s="8" t="str">
        <f t="shared" si="3"/>
        <v/>
      </c>
      <c r="AF29" s="8" t="str">
        <f>IF(AE29="","",AE29+COUNTIF(AE$2:AE29,AE29)-1)</f>
        <v/>
      </c>
      <c r="AK29" s="23" t="s">
        <v>1465</v>
      </c>
      <c r="AL29" s="14">
        <f>IF(セルの固定色(AK29)=セルの固定色(AK$6),1,"")</f>
        <v>1</v>
      </c>
      <c r="AM29" s="14">
        <f>IF(OR(ISBLANK(AL29),AL29=""),"",COUNTIF(AL$6:AL29,"&gt;0"))</f>
        <v>3</v>
      </c>
      <c r="AN29" s="14" t="str">
        <f>IFERROR(LOOKUP(1,0/(AM:AM=ROW()-ROW(AN$5)),AK:AK),IFERROR(LOOKUP(1,0/(G:G=AO29),F:F),""))</f>
        <v/>
      </c>
      <c r="AO29" s="14">
        <f>-(MAX(AM:AM)-ROW()+ROW(AO$6)-1)</f>
        <v>3</v>
      </c>
      <c r="AP29" s="14" t="str">
        <f>IF(ISBLANK(AK29),"",LOOKUP(1,0/(AM$6:AM29=MAX(AM$6:AM29)),AK$6:AK29))</f>
        <v>ＧＢ本</v>
      </c>
    </row>
    <row r="30" spans="1:42">
      <c r="B30" t="s">
        <v>32</v>
      </c>
      <c r="C30" s="8" t="b">
        <f>IF(B30="","",COUNTIF(B$1:B29,B30)=0)</f>
        <v>0</v>
      </c>
      <c r="D30" s="8" t="str">
        <f>IF(B30="","",IF(C30,COUNTIF(C$2:C30,TRUE),""))</f>
        <v/>
      </c>
      <c r="E30" s="8" t="str">
        <f t="shared" si="16"/>
        <v/>
      </c>
      <c r="F30" s="8" t="str">
        <f>IF(E30="","",IFERROR(LOOKUP(1,0/(AK:AK=E30),AP:AP),"旧 "&amp;E30))</f>
        <v/>
      </c>
      <c r="G30" s="8" t="str">
        <f>IF(ISBLANK(E30),"",IF(COUNTIF(AK:AK,"="&amp;E30)&gt;0,"",MAX(G$1:G29)+1))</f>
        <v/>
      </c>
      <c r="H30" s="8" t="str">
        <f t="shared" si="7"/>
        <v/>
      </c>
      <c r="J30" s="19" t="str">
        <f>AN32</f>
        <v/>
      </c>
      <c r="K30" s="19" t="str">
        <f t="shared" si="10"/>
        <v/>
      </c>
      <c r="M30" s="8" t="str">
        <f t="shared" si="11"/>
        <v/>
      </c>
      <c r="N30" s="8" t="str">
        <f>IF(J30="","",IF(M30,COUNTIF(M$4:M30,TRUE),0))</f>
        <v/>
      </c>
      <c r="S30" t="s">
        <v>27</v>
      </c>
      <c r="Z30" t="s">
        <v>795</v>
      </c>
      <c r="AB30" s="28" t="s">
        <v>715</v>
      </c>
      <c r="AC30" s="8">
        <f t="shared" si="6"/>
        <v>1</v>
      </c>
      <c r="AD30" s="12">
        <f>SUM(AC30)</f>
        <v>1</v>
      </c>
      <c r="AE30" s="8">
        <f t="shared" si="3"/>
        <v>15</v>
      </c>
      <c r="AF30" s="8">
        <f>IF(AE30="","",AE30+COUNTIF(AE$2:AE30,AE30)-1)</f>
        <v>28</v>
      </c>
      <c r="AK30" s="18" t="s">
        <v>1101</v>
      </c>
      <c r="AL30" s="14" t="str">
        <f>IF(セルの固定色(AK30)=セルの固定色(AK$6),1,"")</f>
        <v/>
      </c>
      <c r="AM30" s="14" t="str">
        <f>IF(OR(ISBLANK(AL30),AL30=""),"",COUNTIF(AL$6:AL30,"&gt;0"))</f>
        <v/>
      </c>
      <c r="AN30" s="14" t="str">
        <f>IFERROR(LOOKUP(1,0/(AM:AM=ROW()-ROW(AN$5)),AK:AK),IFERROR(LOOKUP(1,0/(G:G=AO30),F:F),""))</f>
        <v/>
      </c>
      <c r="AO30" s="14">
        <f>-(MAX(AM:AM)-ROW()+ROW(AO$6)-1)</f>
        <v>4</v>
      </c>
      <c r="AP30" s="14" t="str">
        <f>IF(ISBLANK(AK30),"",LOOKUP(1,0/(AM$6:AM30=MAX(AM$6:AM30)),AK$6:AK30))</f>
        <v>ＧＢ本</v>
      </c>
    </row>
    <row r="31" spans="1:42">
      <c r="B31" t="s">
        <v>32</v>
      </c>
      <c r="C31" s="8" t="b">
        <f>IF(B31="","",COUNTIF(B$1:B30,B31)=0)</f>
        <v>0</v>
      </c>
      <c r="D31" s="8" t="str">
        <f>IF(B31="","",IF(C31,COUNTIF(C$2:C31,TRUE),""))</f>
        <v/>
      </c>
      <c r="E31" s="8" t="str">
        <f t="shared" si="16"/>
        <v/>
      </c>
      <c r="F31" s="8" t="str">
        <f>IF(E31="","",IFERROR(LOOKUP(1,0/(AK:AK=E31),AP:AP),"旧 "&amp;E31))</f>
        <v/>
      </c>
      <c r="G31" s="8" t="str">
        <f>IF(ISBLANK(E31),"",IF(COUNTIF(AK:AK,"="&amp;E31)&gt;0,"",MAX(G$1:G30)+1))</f>
        <v/>
      </c>
      <c r="H31" s="8" t="str">
        <f t="shared" si="7"/>
        <v/>
      </c>
      <c r="J31" s="19" t="str">
        <f>AN33</f>
        <v/>
      </c>
      <c r="K31" s="19" t="str">
        <f t="shared" si="10"/>
        <v/>
      </c>
      <c r="M31" s="8" t="str">
        <f t="shared" si="11"/>
        <v/>
      </c>
      <c r="N31" s="8" t="str">
        <f>IF(J31="","",IF(M31,COUNTIF(M$4:M31,TRUE),0))</f>
        <v/>
      </c>
      <c r="S31" t="s">
        <v>27</v>
      </c>
      <c r="Z31" t="s">
        <v>246</v>
      </c>
      <c r="AB31" s="28" t="s">
        <v>733</v>
      </c>
      <c r="AC31" s="8">
        <f t="shared" si="6"/>
        <v>1</v>
      </c>
      <c r="AD31" s="12">
        <f>SUM(AC31)</f>
        <v>1</v>
      </c>
      <c r="AE31" s="8">
        <f t="shared" si="3"/>
        <v>15</v>
      </c>
      <c r="AF31" s="8">
        <f>IF(AE31="","",AE31+COUNTIF(AE$2:AE31,AE31)-1)</f>
        <v>29</v>
      </c>
      <c r="AK31" s="18" t="s">
        <v>47</v>
      </c>
      <c r="AL31" s="14" t="str">
        <f>IF(セルの固定色(AK31)=セルの固定色(AK$6),1,"")</f>
        <v/>
      </c>
      <c r="AM31" s="14" t="str">
        <f>IF(OR(ISBLANK(AL31),AL31=""),"",COUNTIF(AL$6:AL31,"&gt;0"))</f>
        <v/>
      </c>
      <c r="AN31" s="14" t="str">
        <f>IFERROR(LOOKUP(1,0/(AM:AM=ROW()-ROW(AN$5)),AK:AK),IFERROR(LOOKUP(1,0/(G:G=AO31),F:F),""))</f>
        <v/>
      </c>
      <c r="AO31" s="14">
        <f>-(MAX(AM:AM)-ROW()+ROW(AO$6)-1)</f>
        <v>5</v>
      </c>
      <c r="AP31" s="14" t="str">
        <f>IF(ISBLANK(AK31),"",LOOKUP(1,0/(AM$6:AM31=MAX(AM$6:AM31)),AK$6:AK31))</f>
        <v>ＧＢ本</v>
      </c>
    </row>
    <row r="32" spans="1:42">
      <c r="B32" t="s">
        <v>101</v>
      </c>
      <c r="C32" s="8" t="b">
        <f>IF(B32="","",COUNTIF(B$1:B31,B32)=0)</f>
        <v>0</v>
      </c>
      <c r="D32" s="8" t="str">
        <f>IF(B32="","",IF(C32,COUNTIF(C$2:C32,TRUE),""))</f>
        <v/>
      </c>
      <c r="E32" s="8" t="str">
        <f t="shared" si="16"/>
        <v/>
      </c>
      <c r="F32" s="8" t="str">
        <f>IF(E32="","",IFERROR(LOOKUP(1,0/(AK:AK=E32),AP:AP),"旧 "&amp;E32))</f>
        <v/>
      </c>
      <c r="G32" s="8" t="str">
        <f>IF(ISBLANK(E32),"",IF(COUNTIF(AK:AK,"="&amp;E32)&gt;0,"",MAX(G$1:G31)+1))</f>
        <v/>
      </c>
      <c r="H32" s="8" t="str">
        <f t="shared" si="7"/>
        <v/>
      </c>
      <c r="J32" s="19" t="str">
        <f>AN34</f>
        <v/>
      </c>
      <c r="K32" s="19" t="str">
        <f t="shared" si="10"/>
        <v/>
      </c>
      <c r="M32" s="8" t="str">
        <f t="shared" si="11"/>
        <v/>
      </c>
      <c r="N32" s="8" t="str">
        <f>IF(J32="","",IF(M32,COUNTIF(M$4:M32,TRUE),0))</f>
        <v/>
      </c>
      <c r="S32" t="s">
        <v>54</v>
      </c>
      <c r="Z32" t="s">
        <v>532</v>
      </c>
      <c r="AB32" s="28" t="s">
        <v>242</v>
      </c>
      <c r="AC32" s="8">
        <f t="shared" si="6"/>
        <v>1</v>
      </c>
      <c r="AD32" s="12">
        <f>SUM(AC32)</f>
        <v>1</v>
      </c>
      <c r="AE32" s="8">
        <f t="shared" si="3"/>
        <v>15</v>
      </c>
      <c r="AF32" s="8">
        <f>IF(AE32="","",AE32+COUNTIF(AE$2:AE32,AE32)-1)</f>
        <v>30</v>
      </c>
      <c r="AK32" s="18" t="s">
        <v>1102</v>
      </c>
      <c r="AL32" s="14" t="str">
        <f>IF(セルの固定色(AK32)=セルの固定色(AK$6),1,"")</f>
        <v/>
      </c>
      <c r="AM32" s="14" t="str">
        <f>IF(OR(ISBLANK(AL32),AL32=""),"",COUNTIF(AL$6:AL32,"&gt;0"))</f>
        <v/>
      </c>
      <c r="AN32" s="14" t="str">
        <f>IFERROR(LOOKUP(1,0/(AM:AM=ROW()-ROW(AN$5)),AK:AK),IFERROR(LOOKUP(1,0/(G:G=AO32),F:F),""))</f>
        <v/>
      </c>
      <c r="AO32" s="14">
        <f>-(MAX(AM:AM)-ROW()+ROW(AO$6)-1)</f>
        <v>6</v>
      </c>
      <c r="AP32" s="14" t="str">
        <f>IF(ISBLANK(AK32),"",LOOKUP(1,0/(AM$6:AM32=MAX(AM$6:AM32)),AK$6:AK32))</f>
        <v>ＧＢ本</v>
      </c>
    </row>
    <row r="33" spans="2:42">
      <c r="B33" t="s">
        <v>32</v>
      </c>
      <c r="C33" s="8" t="b">
        <f>IF(B33="","",COUNTIF(B$1:B32,B33)=0)</f>
        <v>0</v>
      </c>
      <c r="D33" s="8" t="str">
        <f>IF(B33="","",IF(C33,COUNTIF(C$2:C33,TRUE),""))</f>
        <v/>
      </c>
      <c r="E33" s="8" t="str">
        <f t="shared" si="16"/>
        <v/>
      </c>
      <c r="F33" s="8" t="str">
        <f>IF(E33="","",IFERROR(LOOKUP(1,0/(AK:AK=E33),AP:AP),"旧 "&amp;E33))</f>
        <v/>
      </c>
      <c r="G33" s="8" t="str">
        <f>IF(ISBLANK(E33),"",IF(COUNTIF(AK:AK,"="&amp;E33)&gt;0,"",MAX(G$1:G32)+1))</f>
        <v/>
      </c>
      <c r="H33" s="8" t="str">
        <f t="shared" si="7"/>
        <v/>
      </c>
      <c r="J33" s="19" t="str">
        <f>AN35</f>
        <v/>
      </c>
      <c r="K33" s="19" t="str">
        <f t="shared" si="10"/>
        <v/>
      </c>
      <c r="M33" s="8" t="str">
        <f t="shared" si="11"/>
        <v/>
      </c>
      <c r="N33" s="8" t="str">
        <f>IF(J33="","",IF(M33,COUNTIF(M$4:M33,TRUE),0))</f>
        <v/>
      </c>
      <c r="S33" t="s">
        <v>27</v>
      </c>
      <c r="Z33" t="s">
        <v>208</v>
      </c>
      <c r="AB33" s="28" t="s">
        <v>925</v>
      </c>
      <c r="AC33" s="8">
        <f t="shared" si="6"/>
        <v>2</v>
      </c>
      <c r="AD33" s="12">
        <f>SUM(AC33)</f>
        <v>2</v>
      </c>
      <c r="AE33" s="8">
        <f t="shared" si="3"/>
        <v>10</v>
      </c>
      <c r="AF33" s="8">
        <f>IF(AE33="","",AE33+COUNTIF(AE$2:AE33,AE33)-1)</f>
        <v>14</v>
      </c>
      <c r="AK33" s="18" t="s">
        <v>1103</v>
      </c>
      <c r="AL33" s="14" t="str">
        <f>IF(セルの固定色(AK33)=セルの固定色(AK$6),1,"")</f>
        <v/>
      </c>
      <c r="AM33" s="14" t="str">
        <f>IF(OR(ISBLANK(AL33),AL33=""),"",COUNTIF(AL$6:AL33,"&gt;0"))</f>
        <v/>
      </c>
      <c r="AN33" s="14" t="str">
        <f>IFERROR(LOOKUP(1,0/(AM:AM=ROW()-ROW(AN$5)),AK:AK),IFERROR(LOOKUP(1,0/(G:G=AO33),F:F),""))</f>
        <v/>
      </c>
      <c r="AO33" s="14">
        <f>-(MAX(AM:AM)-ROW()+ROW(AO$6)-1)</f>
        <v>7</v>
      </c>
      <c r="AP33" s="14" t="str">
        <f>IF(ISBLANK(AK33),"",LOOKUP(1,0/(AM$6:AM33=MAX(AM$6:AM33)),AK$6:AK33))</f>
        <v>ＧＢ本</v>
      </c>
    </row>
    <row r="34" spans="2:42">
      <c r="B34" t="s">
        <v>271</v>
      </c>
      <c r="C34" s="8" t="b">
        <f>IF(B34="","",COUNTIF(B$1:B33,B34)=0)</f>
        <v>1</v>
      </c>
      <c r="D34" s="8">
        <f>IF(B34="","",IF(C34,COUNTIF(C$2:C34,TRUE),""))</f>
        <v>9</v>
      </c>
      <c r="E34" s="8" t="str">
        <f t="shared" si="16"/>
        <v/>
      </c>
      <c r="F34" s="8" t="str">
        <f>IF(E34="","",IFERROR(LOOKUP(1,0/(AK:AK=E34),AP:AP),"旧 "&amp;E34))</f>
        <v/>
      </c>
      <c r="G34" s="8" t="str">
        <f>IF(ISBLANK(E34),"",IF(COUNTIF(AK:AK,"="&amp;E34)&gt;0,"",MAX(G$1:G33)+1))</f>
        <v/>
      </c>
      <c r="H34" s="8" t="str">
        <f t="shared" si="7"/>
        <v/>
      </c>
      <c r="J34" s="19" t="str">
        <f>AN36</f>
        <v/>
      </c>
      <c r="K34" s="19" t="str">
        <f t="shared" si="10"/>
        <v/>
      </c>
      <c r="M34" s="8" t="str">
        <f t="shared" si="11"/>
        <v/>
      </c>
      <c r="N34" s="8" t="str">
        <f>IF(J34="","",IF(M34,COUNTIF(M$4:M34,TRUE),0))</f>
        <v/>
      </c>
      <c r="S34" t="s">
        <v>27</v>
      </c>
      <c r="Z34" t="s">
        <v>532</v>
      </c>
      <c r="AC34" s="8" t="str">
        <f t="shared" si="6"/>
        <v/>
      </c>
      <c r="AE34" s="8" t="str">
        <f t="shared" si="3"/>
        <v/>
      </c>
      <c r="AF34" s="8" t="str">
        <f>IF(AE34="","",AE34+COUNTIF(AE$2:AE34,AE34)-1)</f>
        <v/>
      </c>
      <c r="AK34" s="18" t="s">
        <v>1104</v>
      </c>
      <c r="AL34" s="14" t="str">
        <f>IF(セルの固定色(AK34)=セルの固定色(AK$6),1,"")</f>
        <v/>
      </c>
      <c r="AM34" s="14" t="str">
        <f>IF(OR(ISBLANK(AL34),AL34=""),"",COUNTIF(AL$6:AL34,"&gt;0"))</f>
        <v/>
      </c>
      <c r="AN34" s="14" t="str">
        <f>IFERROR(LOOKUP(1,0/(AM:AM=ROW()-ROW(AN$5)),AK:AK),IFERROR(LOOKUP(1,0/(G:G=AO34),F:F),""))</f>
        <v/>
      </c>
      <c r="AO34" s="14">
        <f>-(MAX(AM:AM)-ROW()+ROW(AO$6)-1)</f>
        <v>8</v>
      </c>
      <c r="AP34" s="14" t="str">
        <f>IF(ISBLANK(AK34),"",LOOKUP(1,0/(AM$6:AM34=MAX(AM$6:AM34)),AK$6:AK34))</f>
        <v>ＧＢ本</v>
      </c>
    </row>
    <row r="35" spans="2:42">
      <c r="B35" t="s">
        <v>128</v>
      </c>
      <c r="C35" s="8" t="b">
        <f>IF(B35="","",COUNTIF(B$1:B34,B35)=0)</f>
        <v>0</v>
      </c>
      <c r="D35" s="8" t="str">
        <f>IF(B35="","",IF(C35,COUNTIF(C$2:C35,TRUE),""))</f>
        <v/>
      </c>
      <c r="E35" s="8" t="str">
        <f t="shared" si="16"/>
        <v/>
      </c>
      <c r="F35" s="8" t="str">
        <f>IF(E35="","",IFERROR(LOOKUP(1,0/(AK:AK=E35),AP:AP),"旧 "&amp;E35))</f>
        <v/>
      </c>
      <c r="G35" s="8" t="str">
        <f>IF(ISBLANK(E35),"",IF(COUNTIF(AK:AK,"="&amp;E35)&gt;0,"",MAX(G$1:G34)+1))</f>
        <v/>
      </c>
      <c r="H35" s="8" t="str">
        <f t="shared" si="7"/>
        <v/>
      </c>
      <c r="J35" s="19" t="str">
        <f>AN37</f>
        <v/>
      </c>
      <c r="K35" s="19" t="str">
        <f t="shared" si="10"/>
        <v/>
      </c>
      <c r="M35" s="8" t="str">
        <f t="shared" si="11"/>
        <v/>
      </c>
      <c r="N35" s="8" t="str">
        <f>IF(J35="","",IF(M35,COUNTIF(M$4:M35,TRUE),0))</f>
        <v/>
      </c>
      <c r="S35" t="s">
        <v>27</v>
      </c>
      <c r="Z35" t="s">
        <v>37</v>
      </c>
      <c r="AC35" s="8" t="str">
        <f t="shared" si="6"/>
        <v/>
      </c>
      <c r="AE35" s="8" t="str">
        <f t="shared" si="3"/>
        <v/>
      </c>
      <c r="AF35" s="8" t="str">
        <f>IF(AE35="","",AE35+COUNTIF(AE$2:AE35,AE35)-1)</f>
        <v/>
      </c>
      <c r="AK35" s="18" t="s">
        <v>101</v>
      </c>
      <c r="AL35" s="14" t="str">
        <f>IF(セルの固定色(AK35)=セルの固定色(AK$6),1,"")</f>
        <v/>
      </c>
      <c r="AM35" s="14" t="str">
        <f>IF(OR(ISBLANK(AL35),AL35=""),"",COUNTIF(AL$6:AL35,"&gt;0"))</f>
        <v/>
      </c>
      <c r="AN35" s="14" t="str">
        <f>IFERROR(LOOKUP(1,0/(AM:AM=ROW()-ROW(AN$5)),AK:AK),IFERROR(LOOKUP(1,0/(G:G=AO35),F:F),""))</f>
        <v/>
      </c>
      <c r="AO35" s="14">
        <f>-(MAX(AM:AM)-ROW()+ROW(AO$6)-1)</f>
        <v>9</v>
      </c>
      <c r="AP35" s="14" t="str">
        <f>IF(ISBLANK(AK35),"",LOOKUP(1,0/(AM$6:AM35=MAX(AM$6:AM35)),AK$6:AK35))</f>
        <v>ＧＢ本</v>
      </c>
    </row>
    <row r="36" spans="2:42">
      <c r="B36" t="s">
        <v>128</v>
      </c>
      <c r="C36" s="8" t="b">
        <f>IF(B36="","",COUNTIF(B$1:B35,B36)=0)</f>
        <v>0</v>
      </c>
      <c r="D36" s="8" t="str">
        <f>IF(B36="","",IF(C36,COUNTIF(C$2:C36,TRUE),""))</f>
        <v/>
      </c>
      <c r="E36" s="8" t="str">
        <f t="shared" si="16"/>
        <v/>
      </c>
      <c r="F36" s="8" t="str">
        <f>IF(E36="","",IFERROR(LOOKUP(1,0/(AK:AK=E36),AP:AP),"旧 "&amp;E36))</f>
        <v/>
      </c>
      <c r="G36" s="8" t="str">
        <f>IF(ISBLANK(E36),"",IF(COUNTIF(AK:AK,"="&amp;E36)&gt;0,"",MAX(G$1:G35)+1))</f>
        <v/>
      </c>
      <c r="H36" s="8" t="str">
        <f t="shared" si="7"/>
        <v/>
      </c>
      <c r="J36" s="19" t="str">
        <f>AN38</f>
        <v/>
      </c>
      <c r="K36" s="19" t="str">
        <f t="shared" si="10"/>
        <v/>
      </c>
      <c r="M36" s="8" t="str">
        <f t="shared" si="11"/>
        <v/>
      </c>
      <c r="N36" s="8" t="str">
        <f>IF(J36="","",IF(M36,COUNTIF(M$4:M36,TRUE),0))</f>
        <v/>
      </c>
      <c r="S36" t="s">
        <v>54</v>
      </c>
      <c r="Z36" t="s">
        <v>37</v>
      </c>
      <c r="AC36" s="8" t="str">
        <f t="shared" si="6"/>
        <v/>
      </c>
      <c r="AE36" s="8" t="str">
        <f t="shared" si="3"/>
        <v/>
      </c>
      <c r="AF36" s="8" t="str">
        <f>IF(AE36="","",AE36+COUNTIF(AE$2:AE36,AE36)-1)</f>
        <v/>
      </c>
      <c r="AK36" s="18" t="s">
        <v>1105</v>
      </c>
      <c r="AL36" s="14" t="str">
        <f>IF(セルの固定色(AK36)=セルの固定色(AK$6),1,"")</f>
        <v/>
      </c>
      <c r="AM36" s="14" t="str">
        <f>IF(OR(ISBLANK(AL36),AL36=""),"",COUNTIF(AL$6:AL36,"&gt;0"))</f>
        <v/>
      </c>
      <c r="AN36" s="14" t="str">
        <f>IFERROR(LOOKUP(1,0/(AM:AM=ROW()-ROW(AN$5)),AK:AK),IFERROR(LOOKUP(1,0/(G:G=AO36),F:F),""))</f>
        <v/>
      </c>
      <c r="AO36" s="14">
        <f>-(MAX(AM:AM)-ROW()+ROW(AO$6)-1)</f>
        <v>10</v>
      </c>
      <c r="AP36" s="14" t="str">
        <f>IF(ISBLANK(AK36),"",LOOKUP(1,0/(AM$6:AM36=MAX(AM$6:AM36)),AK$6:AK36))</f>
        <v>ＧＢ本</v>
      </c>
    </row>
    <row r="37" spans="2:42">
      <c r="B37" t="s">
        <v>32</v>
      </c>
      <c r="C37" s="8" t="b">
        <f>IF(B37="","",COUNTIF(B$1:B36,B37)=0)</f>
        <v>0</v>
      </c>
      <c r="D37" s="8" t="str">
        <f>IF(B37="","",IF(C37,COUNTIF(C$2:C37,TRUE),""))</f>
        <v/>
      </c>
      <c r="E37" s="8" t="str">
        <f t="shared" si="16"/>
        <v/>
      </c>
      <c r="F37" s="8" t="str">
        <f>IF(E37="","",IFERROR(LOOKUP(1,0/(AK:AK=E37),AP:AP),"旧 "&amp;E37))</f>
        <v/>
      </c>
      <c r="G37" s="8" t="str">
        <f>IF(ISBLANK(E37),"",IF(COUNTIF(AK:AK,"="&amp;E37)&gt;0,"",MAX(G$1:G36)+1))</f>
        <v/>
      </c>
      <c r="H37" s="8" t="str">
        <f t="shared" si="7"/>
        <v/>
      </c>
      <c r="J37" s="19" t="str">
        <f>AN39</f>
        <v/>
      </c>
      <c r="K37" s="19" t="str">
        <f t="shared" si="10"/>
        <v/>
      </c>
      <c r="M37" s="8" t="str">
        <f t="shared" si="11"/>
        <v/>
      </c>
      <c r="N37" s="8" t="str">
        <f>IF(J37="","",IF(M37,COUNTIF(M$4:M37,TRUE),0))</f>
        <v/>
      </c>
      <c r="S37" t="s">
        <v>27</v>
      </c>
      <c r="Z37" t="s">
        <v>68</v>
      </c>
      <c r="AC37" s="8" t="str">
        <f t="shared" si="6"/>
        <v/>
      </c>
      <c r="AE37" s="8" t="str">
        <f t="shared" si="3"/>
        <v/>
      </c>
      <c r="AF37" s="8" t="str">
        <f>IF(AE37="","",AE37+COUNTIF(AE$2:AE37,AE37)-1)</f>
        <v/>
      </c>
      <c r="AK37" s="18" t="s">
        <v>32</v>
      </c>
      <c r="AL37" s="14" t="str">
        <f>IF(セルの固定色(AK37)=セルの固定色(AK$6),1,"")</f>
        <v/>
      </c>
      <c r="AM37" s="14" t="str">
        <f>IF(OR(ISBLANK(AL37),AL37=""),"",COUNTIF(AL$6:AL37,"&gt;0"))</f>
        <v/>
      </c>
      <c r="AN37" s="14" t="str">
        <f>IFERROR(LOOKUP(1,0/(AM:AM=ROW()-ROW(AN$5)),AK:AK),IFERROR(LOOKUP(1,0/(G:G=AO37),F:F),""))</f>
        <v/>
      </c>
      <c r="AO37" s="14">
        <f>-(MAX(AM:AM)-ROW()+ROW(AO$6)-1)</f>
        <v>11</v>
      </c>
      <c r="AP37" s="14" t="str">
        <f>IF(ISBLANK(AK37),"",LOOKUP(1,0/(AM$6:AM37=MAX(AM$6:AM37)),AK$6:AK37))</f>
        <v>ＧＢ本</v>
      </c>
    </row>
    <row r="38" spans="2:42">
      <c r="B38" t="s">
        <v>47</v>
      </c>
      <c r="C38" s="8" t="b">
        <f>IF(B38="","",COUNTIF(B$1:B37,B38)=0)</f>
        <v>0</v>
      </c>
      <c r="D38" s="8" t="str">
        <f>IF(B38="","",IF(C38,COUNTIF(C$2:C38,TRUE),""))</f>
        <v/>
      </c>
      <c r="E38" s="8" t="str">
        <f t="shared" si="16"/>
        <v/>
      </c>
      <c r="F38" s="8" t="str">
        <f>IF(E38="","",IFERROR(LOOKUP(1,0/(AK:AK=E38),AP:AP),"旧 "&amp;E38))</f>
        <v/>
      </c>
      <c r="G38" s="8" t="str">
        <f>IF(ISBLANK(E38),"",IF(COUNTIF(AK:AK,"="&amp;E38)&gt;0,"",MAX(G$1:G37)+1))</f>
        <v/>
      </c>
      <c r="H38" s="8" t="str">
        <f t="shared" si="7"/>
        <v/>
      </c>
      <c r="J38" s="19" t="str">
        <f>AN40</f>
        <v/>
      </c>
      <c r="K38" s="19" t="str">
        <f t="shared" si="10"/>
        <v/>
      </c>
      <c r="M38" s="8" t="str">
        <f t="shared" si="11"/>
        <v/>
      </c>
      <c r="N38" s="8" t="str">
        <f>IF(J38="","",IF(M38,COUNTIF(M$4:M38,TRUE),0))</f>
        <v/>
      </c>
      <c r="S38" t="s">
        <v>27</v>
      </c>
      <c r="Z38" t="s">
        <v>242</v>
      </c>
      <c r="AC38" s="8" t="str">
        <f t="shared" si="6"/>
        <v/>
      </c>
      <c r="AE38" s="8" t="str">
        <f t="shared" si="3"/>
        <v/>
      </c>
      <c r="AF38" s="8" t="str">
        <f>IF(AE38="","",AE38+COUNTIF(AE$2:AE38,AE38)-1)</f>
        <v/>
      </c>
      <c r="AK38" s="18" t="s">
        <v>128</v>
      </c>
      <c r="AL38" s="14" t="str">
        <f>IF(セルの固定色(AK38)=セルの固定色(AK$6),1,"")</f>
        <v/>
      </c>
      <c r="AM38" s="14" t="str">
        <f>IF(OR(ISBLANK(AL38),AL38=""),"",COUNTIF(AL$6:AL38,"&gt;0"))</f>
        <v/>
      </c>
      <c r="AN38" s="14" t="str">
        <f>IFERROR(LOOKUP(1,0/(AM:AM=ROW()-ROW(AN$5)),AK:AK),IFERROR(LOOKUP(1,0/(G:G=AO38),F:F),""))</f>
        <v/>
      </c>
      <c r="AO38" s="14">
        <f>-(MAX(AM:AM)-ROW()+ROW(AO$6)-1)</f>
        <v>12</v>
      </c>
      <c r="AP38" s="14" t="str">
        <f>IF(ISBLANK(AK38),"",LOOKUP(1,0/(AM$6:AM38=MAX(AM$6:AM38)),AK$6:AK38))</f>
        <v>ＧＢ本</v>
      </c>
    </row>
    <row r="39" spans="2:42">
      <c r="B39" t="s">
        <v>128</v>
      </c>
      <c r="C39" s="8" t="b">
        <f>IF(B39="","",COUNTIF(B$1:B38,B39)=0)</f>
        <v>0</v>
      </c>
      <c r="D39" s="8" t="str">
        <f>IF(B39="","",IF(C39,COUNTIF(C$2:C39,TRUE),""))</f>
        <v/>
      </c>
      <c r="E39" s="8" t="str">
        <f t="shared" si="16"/>
        <v/>
      </c>
      <c r="F39" s="8" t="str">
        <f>IF(E39="","",IFERROR(LOOKUP(1,0/(AK:AK=E39),AP:AP),"旧 "&amp;E39))</f>
        <v/>
      </c>
      <c r="G39" s="8" t="str">
        <f>IF(ISBLANK(E39),"",IF(COUNTIF(AK:AK,"="&amp;E39)&gt;0,"",MAX(G$1:G38)+1))</f>
        <v/>
      </c>
      <c r="H39" s="8" t="str">
        <f t="shared" si="7"/>
        <v/>
      </c>
      <c r="J39" s="19" t="str">
        <f>AN41</f>
        <v/>
      </c>
      <c r="K39" s="19" t="str">
        <f t="shared" si="10"/>
        <v/>
      </c>
      <c r="M39" s="8" t="str">
        <f t="shared" si="11"/>
        <v/>
      </c>
      <c r="N39" s="8" t="str">
        <f>IF(J39="","",IF(M39,COUNTIF(M$4:M39,TRUE),0))</f>
        <v/>
      </c>
      <c r="S39" t="s">
        <v>27</v>
      </c>
      <c r="Z39" t="s">
        <v>826</v>
      </c>
      <c r="AC39" s="8" t="str">
        <f t="shared" si="6"/>
        <v/>
      </c>
      <c r="AE39" s="8" t="str">
        <f t="shared" si="3"/>
        <v/>
      </c>
      <c r="AF39" s="8" t="str">
        <f>IF(AE39="","",AE39+COUNTIF(AE$2:AE39,AE39)-1)</f>
        <v/>
      </c>
      <c r="AK39" s="18" t="s">
        <v>1106</v>
      </c>
      <c r="AL39" s="14" t="str">
        <f>IF(セルの固定色(AK39)=セルの固定色(AK$6),1,"")</f>
        <v/>
      </c>
      <c r="AM39" s="14" t="str">
        <f>IF(OR(ISBLANK(AL39),AL39=""),"",COUNTIF(AL$6:AL39,"&gt;0"))</f>
        <v/>
      </c>
      <c r="AN39" s="14" t="str">
        <f>IFERROR(LOOKUP(1,0/(AM:AM=ROW()-ROW(AN$5)),AK:AK),IFERROR(LOOKUP(1,0/(G:G=AO39),F:F),""))</f>
        <v/>
      </c>
      <c r="AO39" s="14">
        <f>-(MAX(AM:AM)-ROW()+ROW(AO$6)-1)</f>
        <v>13</v>
      </c>
      <c r="AP39" s="14" t="str">
        <f>IF(ISBLANK(AK39),"",LOOKUP(1,0/(AM$6:AM39=MAX(AM$6:AM39)),AK$6:AK39))</f>
        <v>ＧＢ本</v>
      </c>
    </row>
    <row r="40" spans="2:42">
      <c r="B40" t="s">
        <v>47</v>
      </c>
      <c r="C40" s="8" t="b">
        <f>IF(B40="","",COUNTIF(B$1:B39,B40)=0)</f>
        <v>0</v>
      </c>
      <c r="D40" s="8" t="str">
        <f>IF(B40="","",IF(C40,COUNTIF(C$2:C40,TRUE),""))</f>
        <v/>
      </c>
      <c r="E40" s="8" t="str">
        <f t="shared" si="16"/>
        <v/>
      </c>
      <c r="F40" s="8" t="str">
        <f>IF(E40="","",IFERROR(LOOKUP(1,0/(AK:AK=E40),AP:AP),"旧 "&amp;E40))</f>
        <v/>
      </c>
      <c r="G40" s="8" t="str">
        <f>IF(ISBLANK(E40),"",IF(COUNTIF(AK:AK,"="&amp;E40)&gt;0,"",MAX(G$1:G39)+1))</f>
        <v/>
      </c>
      <c r="H40" s="8" t="str">
        <f t="shared" si="7"/>
        <v/>
      </c>
      <c r="J40" s="19" t="str">
        <f>AN42</f>
        <v/>
      </c>
      <c r="K40" s="19" t="str">
        <f t="shared" si="10"/>
        <v/>
      </c>
      <c r="M40" s="8" t="str">
        <f t="shared" si="11"/>
        <v/>
      </c>
      <c r="N40" s="8" t="str">
        <f>IF(J40="","",IF(M40,COUNTIF(M$4:M40,TRUE),0))</f>
        <v/>
      </c>
      <c r="S40" t="s">
        <v>54</v>
      </c>
      <c r="Z40" t="s">
        <v>44</v>
      </c>
      <c r="AC40" s="8" t="str">
        <f t="shared" si="6"/>
        <v/>
      </c>
      <c r="AE40" s="8" t="str">
        <f t="shared" si="3"/>
        <v/>
      </c>
      <c r="AF40" s="8" t="str">
        <f>IF(AE40="","",AE40+COUNTIF(AE$2:AE40,AE40)-1)</f>
        <v/>
      </c>
      <c r="AK40" s="18" t="s">
        <v>1107</v>
      </c>
      <c r="AL40" s="14" t="str">
        <f>IF(セルの固定色(AK40)=セルの固定色(AK$6),1,"")</f>
        <v/>
      </c>
      <c r="AM40" s="14" t="str">
        <f>IF(OR(ISBLANK(AL40),AL40=""),"",COUNTIF(AL$6:AL40,"&gt;0"))</f>
        <v/>
      </c>
      <c r="AN40" s="14" t="str">
        <f>IFERROR(LOOKUP(1,0/(AM:AM=ROW()-ROW(AN$5)),AK:AK),IFERROR(LOOKUP(1,0/(G:G=AO40),F:F),""))</f>
        <v/>
      </c>
      <c r="AO40" s="14">
        <f>-(MAX(AM:AM)-ROW()+ROW(AO$6)-1)</f>
        <v>14</v>
      </c>
      <c r="AP40" s="14" t="str">
        <f>IF(ISBLANK(AK40),"",LOOKUP(1,0/(AM$6:AM40=MAX(AM$6:AM40)),AK$6:AK40))</f>
        <v>ＧＢ本</v>
      </c>
    </row>
    <row r="41" spans="2:42">
      <c r="B41" t="s">
        <v>47</v>
      </c>
      <c r="C41" s="8" t="b">
        <f>IF(B41="","",COUNTIF(B$1:B40,B41)=0)</f>
        <v>0</v>
      </c>
      <c r="D41" s="8" t="str">
        <f>IF(B41="","",IF(C41,COUNTIF(C$2:C41,TRUE),""))</f>
        <v/>
      </c>
      <c r="E41" s="8" t="str">
        <f t="shared" si="16"/>
        <v/>
      </c>
      <c r="F41" s="8" t="str">
        <f>IF(E41="","",IFERROR(LOOKUP(1,0/(AK:AK=E41),AP:AP),"旧 "&amp;E41))</f>
        <v/>
      </c>
      <c r="G41" s="8" t="str">
        <f>IF(ISBLANK(E41),"",IF(COUNTIF(AK:AK,"="&amp;E41)&gt;0,"",MAX(G$1:G40)+1))</f>
        <v/>
      </c>
      <c r="H41" s="8" t="str">
        <f t="shared" si="7"/>
        <v/>
      </c>
      <c r="J41" t="str">
        <f>AN43</f>
        <v/>
      </c>
      <c r="S41" t="s">
        <v>27</v>
      </c>
      <c r="Z41" t="s">
        <v>59</v>
      </c>
      <c r="AC41" s="8" t="str">
        <f t="shared" si="6"/>
        <v/>
      </c>
      <c r="AE41" s="8" t="str">
        <f t="shared" si="3"/>
        <v/>
      </c>
      <c r="AF41" s="8" t="str">
        <f>IF(AE41="","",AE41+COUNTIF(AE$2:AE41,AE41)-1)</f>
        <v/>
      </c>
      <c r="AK41" s="18" t="s">
        <v>1108</v>
      </c>
      <c r="AL41" s="14" t="str">
        <f>IF(セルの固定色(AK41)=セルの固定色(AK$6),1,"")</f>
        <v/>
      </c>
      <c r="AM41" s="14" t="str">
        <f>IF(OR(ISBLANK(AL41),AL41=""),"",COUNTIF(AL$6:AL41,"&gt;0"))</f>
        <v/>
      </c>
      <c r="AN41" s="14" t="str">
        <f>IFERROR(LOOKUP(1,0/(AM:AM=ROW()-ROW(AN$5)),AK:AK),IFERROR(LOOKUP(1,0/(G:G=AO41),F:F),""))</f>
        <v/>
      </c>
      <c r="AO41" s="14">
        <f>-(MAX(AM:AM)-ROW()+ROW(AO$6)-1)</f>
        <v>15</v>
      </c>
      <c r="AP41" s="14" t="str">
        <f>IF(ISBLANK(AK41),"",LOOKUP(1,0/(AM$6:AM41=MAX(AM$6:AM41)),AK$6:AK41))</f>
        <v>ＧＢ本</v>
      </c>
    </row>
    <row r="42" spans="2:42">
      <c r="B42" t="s">
        <v>47</v>
      </c>
      <c r="C42" s="8" t="b">
        <f>IF(B42="","",COUNTIF(B$1:B41,B42)=0)</f>
        <v>0</v>
      </c>
      <c r="D42" s="8" t="str">
        <f>IF(B42="","",IF(C42,COUNTIF(C$2:C42,TRUE),""))</f>
        <v/>
      </c>
      <c r="E42" s="8" t="str">
        <f t="shared" si="16"/>
        <v/>
      </c>
      <c r="F42" s="8" t="str">
        <f>IF(E42="","",IFERROR(LOOKUP(1,0/(AK:AK=E42),AP:AP),"旧 "&amp;E42))</f>
        <v/>
      </c>
      <c r="G42" s="8" t="str">
        <f>IF(ISBLANK(E42),"",IF(COUNTIF(AK:AK,"="&amp;E42)&gt;0,"",MAX(G$1:G41)+1))</f>
        <v/>
      </c>
      <c r="H42" s="8" t="str">
        <f t="shared" si="7"/>
        <v/>
      </c>
      <c r="J42" t="str">
        <f>AN44</f>
        <v/>
      </c>
      <c r="S42" t="s">
        <v>116</v>
      </c>
      <c r="Z42" t="s">
        <v>68</v>
      </c>
      <c r="AC42" s="8" t="str">
        <f t="shared" si="6"/>
        <v/>
      </c>
      <c r="AE42" s="8" t="str">
        <f t="shared" si="3"/>
        <v/>
      </c>
      <c r="AF42" s="8" t="str">
        <f>IF(AE42="","",AE42+COUNTIF(AE$2:AE42,AE42)-1)</f>
        <v/>
      </c>
      <c r="AK42" s="18" t="s">
        <v>1109</v>
      </c>
      <c r="AL42" s="14" t="str">
        <f>IF(セルの固定色(AK42)=セルの固定色(AK$6),1,"")</f>
        <v/>
      </c>
      <c r="AM42" s="14" t="str">
        <f>IF(OR(ISBLANK(AL42),AL42=""),"",COUNTIF(AL$6:AL42,"&gt;0"))</f>
        <v/>
      </c>
      <c r="AN42" s="14" t="str">
        <f>IFERROR(LOOKUP(1,0/(AM:AM=ROW()-ROW(AN$5)),AK:AK),IFERROR(LOOKUP(1,0/(G:G=AO42),F:F),""))</f>
        <v/>
      </c>
      <c r="AO42" s="14">
        <f>-(MAX(AM:AM)-ROW()+ROW(AO$6)-1)</f>
        <v>16</v>
      </c>
      <c r="AP42" s="14" t="str">
        <f>IF(ISBLANK(AK42),"",LOOKUP(1,0/(AM$6:AM42=MAX(AM$6:AM42)),AK$6:AK42))</f>
        <v>ＧＢ本</v>
      </c>
    </row>
    <row r="43" spans="2:42" ht="19.5" thickBot="1">
      <c r="B43" t="s">
        <v>47</v>
      </c>
      <c r="C43" s="8" t="b">
        <f>IF(B43="","",COUNTIF(B$1:B42,B43)=0)</f>
        <v>0</v>
      </c>
      <c r="D43" s="8" t="str">
        <f>IF(B43="","",IF(C43,COUNTIF(C$2:C43,TRUE),""))</f>
        <v/>
      </c>
      <c r="E43" s="8" t="str">
        <f t="shared" si="16"/>
        <v/>
      </c>
      <c r="F43" s="8" t="str">
        <f>IF(E43="","",IFERROR(LOOKUP(1,0/(AK:AK=E43),AP:AP),"旧 "&amp;E43))</f>
        <v/>
      </c>
      <c r="G43" s="8" t="str">
        <f>IF(ISBLANK(E43),"",IF(COUNTIF(AK:AK,"="&amp;E43)&gt;0,"",MAX(G$1:G42)+1))</f>
        <v/>
      </c>
      <c r="H43" s="8" t="str">
        <f t="shared" si="7"/>
        <v/>
      </c>
      <c r="S43" t="s">
        <v>27</v>
      </c>
      <c r="Z43" t="s">
        <v>780</v>
      </c>
      <c r="AC43" s="8" t="str">
        <f t="shared" si="6"/>
        <v/>
      </c>
      <c r="AE43" s="8" t="str">
        <f t="shared" si="3"/>
        <v/>
      </c>
      <c r="AF43" s="8" t="str">
        <f>IF(AE43="","",AE43+COUNTIF(AE$2:AE43,AE43)-1)</f>
        <v/>
      </c>
      <c r="AK43" s="29" t="s">
        <v>1110</v>
      </c>
      <c r="AL43" s="14" t="str">
        <f>IF(セルの固定色(AK43)=セルの固定色(AK$6),1,"")</f>
        <v/>
      </c>
      <c r="AM43" s="14" t="str">
        <f>IF(OR(ISBLANK(AL43),AL43=""),"",COUNTIF(AL$6:AL43,"&gt;0"))</f>
        <v/>
      </c>
      <c r="AN43" s="14" t="str">
        <f>IFERROR(LOOKUP(1,0/(AM:AM=ROW()-ROW(AN$5)),AK:AK),IFERROR(LOOKUP(1,0/(G:G=AO43),F:F),""))</f>
        <v/>
      </c>
      <c r="AO43" s="14">
        <f>-(MAX(AM:AM)-ROW()+ROW(AO$6)-1)</f>
        <v>17</v>
      </c>
      <c r="AP43" s="14" t="str">
        <f>IF(ISBLANK(AK43),"",LOOKUP(1,0/(AM$6:AM43=MAX(AM$6:AM43)),AK$6:AK43))</f>
        <v>ＧＢ本</v>
      </c>
    </row>
    <row r="44" spans="2:42">
      <c r="B44" t="s">
        <v>128</v>
      </c>
      <c r="C44" s="8" t="b">
        <f>IF(B44="","",COUNTIF(B$1:B43,B44)=0)</f>
        <v>0</v>
      </c>
      <c r="D44" s="8" t="str">
        <f>IF(B44="","",IF(C44,COUNTIF(C$2:C44,TRUE),""))</f>
        <v/>
      </c>
      <c r="E44" s="8" t="str">
        <f t="shared" si="16"/>
        <v/>
      </c>
      <c r="F44" s="8" t="str">
        <f>IF(E44="","",IFERROR(LOOKUP(1,0/(AK:AK=E44),AP:AP),"旧 "&amp;E44))</f>
        <v/>
      </c>
      <c r="G44" s="8" t="str">
        <f>IF(ISBLANK(E44),"",IF(COUNTIF(AK:AK,"="&amp;E44)&gt;0,"",MAX(G$1:G43)+1))</f>
        <v/>
      </c>
      <c r="H44" s="8" t="str">
        <f t="shared" si="7"/>
        <v/>
      </c>
      <c r="S44" t="s">
        <v>54</v>
      </c>
      <c r="Z44" t="s">
        <v>68</v>
      </c>
      <c r="AC44" s="8" t="str">
        <f t="shared" si="6"/>
        <v/>
      </c>
      <c r="AE44" s="8" t="str">
        <f t="shared" si="3"/>
        <v/>
      </c>
      <c r="AF44" s="8" t="str">
        <f>IF(AE44="","",AE44+COUNTIF(AE$2:AE44,AE44)-1)</f>
        <v/>
      </c>
      <c r="AK44" s="30" t="s">
        <v>1466</v>
      </c>
      <c r="AL44" s="14">
        <f>IF(セルの固定色(AK44)=セルの固定色(AK$6),1,"")</f>
        <v>1</v>
      </c>
      <c r="AM44" s="14">
        <f>IF(OR(ISBLANK(AL44),AL44=""),"",COUNTIF(AL$6:AL44,"&gt;0"))</f>
        <v>4</v>
      </c>
      <c r="AN44" s="14" t="str">
        <f>IFERROR(LOOKUP(1,0/(AM:AM=ROW()-ROW(AN$5)),AK:AK),IFERROR(LOOKUP(1,0/(G:G=AO44),F:F),""))</f>
        <v/>
      </c>
      <c r="AO44" s="14">
        <f>-(MAX(AM:AM)-ROW()+ROW(AO$6)-1)</f>
        <v>18</v>
      </c>
      <c r="AP44" s="14" t="str">
        <f>IF(ISBLANK(AK44),"",LOOKUP(1,0/(AM$6:AM44=MAX(AM$6:AM44)),AK$6:AK44))</f>
        <v>セ事本</v>
      </c>
    </row>
    <row r="45" spans="2:42">
      <c r="B45" t="s">
        <v>264</v>
      </c>
      <c r="C45" s="8" t="b">
        <f>IF(B45="","",COUNTIF(B$1:B44,B45)=0)</f>
        <v>1</v>
      </c>
      <c r="D45" s="8">
        <f>IF(B45="","",IF(C45,COUNTIF(C$2:C45,TRUE),""))</f>
        <v>10</v>
      </c>
      <c r="E45" s="8" t="str">
        <f t="shared" si="16"/>
        <v/>
      </c>
      <c r="F45" s="8" t="str">
        <f>IF(E45="","",IFERROR(LOOKUP(1,0/(AK:AK=E45),AP:AP),"旧 "&amp;E45))</f>
        <v/>
      </c>
      <c r="G45" s="8" t="str">
        <f>IF(ISBLANK(E45),"",IF(COUNTIF(AK:AK,"="&amp;E45)&gt;0,"",MAX(G$1:G44)+1))</f>
        <v/>
      </c>
      <c r="H45" s="8" t="str">
        <f t="shared" si="7"/>
        <v/>
      </c>
      <c r="S45" t="s">
        <v>259</v>
      </c>
      <c r="Z45" t="s">
        <v>68</v>
      </c>
      <c r="AC45" s="8" t="str">
        <f t="shared" si="6"/>
        <v/>
      </c>
      <c r="AE45" s="8" t="str">
        <f t="shared" si="3"/>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16"/>
        <v/>
      </c>
      <c r="F46" s="8" t="str">
        <f>IF(E46="","",IFERROR(LOOKUP(1,0/(AK:AK=E46),AP:AP),"旧 "&amp;E46))</f>
        <v/>
      </c>
      <c r="G46" s="8" t="str">
        <f>IF(ISBLANK(E46),"",IF(COUNTIF(AK:AK,"="&amp;E46)&gt;0,"",MAX(G$1:G45)+1))</f>
        <v/>
      </c>
      <c r="H46" s="8" t="str">
        <f t="shared" si="7"/>
        <v/>
      </c>
      <c r="S46" t="s">
        <v>259</v>
      </c>
      <c r="Z46" t="s">
        <v>68</v>
      </c>
      <c r="AC46" s="8" t="str">
        <f t="shared" si="6"/>
        <v/>
      </c>
      <c r="AE46" s="8" t="str">
        <f t="shared" si="3"/>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16"/>
        <v/>
      </c>
      <c r="F47" s="8" t="str">
        <f>IF(E47="","",IFERROR(LOOKUP(1,0/(AK:AK=E47),AP:AP),"旧 "&amp;E47))</f>
        <v/>
      </c>
      <c r="G47" s="8" t="str">
        <f>IF(ISBLANK(E47),"",IF(COUNTIF(AK:AK,"="&amp;E47)&gt;0,"",MAX(G$1:G46)+1))</f>
        <v/>
      </c>
      <c r="H47" s="8" t="str">
        <f t="shared" si="7"/>
        <v/>
      </c>
      <c r="S47" t="s">
        <v>27</v>
      </c>
      <c r="Z47" t="s">
        <v>208</v>
      </c>
      <c r="AC47" s="8" t="str">
        <f t="shared" si="6"/>
        <v/>
      </c>
      <c r="AE47" s="8" t="str">
        <f t="shared" si="3"/>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16"/>
        <v/>
      </c>
      <c r="F48" s="8" t="str">
        <f>IF(E48="","",IFERROR(LOOKUP(1,0/(AK:AK=E48),AP:AP),"旧 "&amp;E48))</f>
        <v/>
      </c>
      <c r="G48" s="8" t="str">
        <f>IF(ISBLANK(E48),"",IF(COUNTIF(AK:AK,"="&amp;E48)&gt;0,"",MAX(G$1:G47)+1))</f>
        <v/>
      </c>
      <c r="H48" s="8" t="str">
        <f t="shared" si="7"/>
        <v/>
      </c>
      <c r="S48" t="s">
        <v>252</v>
      </c>
      <c r="Z48" t="s">
        <v>79</v>
      </c>
      <c r="AC48" s="8" t="str">
        <f t="shared" si="6"/>
        <v/>
      </c>
      <c r="AE48" s="8" t="str">
        <f t="shared" si="3"/>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16"/>
        <v/>
      </c>
      <c r="F49" s="8" t="str">
        <f>IF(E49="","",IFERROR(LOOKUP(1,0/(AK:AK=E49),AP:AP),"旧 "&amp;E49))</f>
        <v/>
      </c>
      <c r="G49" s="8" t="str">
        <f>IF(ISBLANK(E49),"",IF(COUNTIF(AK:AK,"="&amp;E49)&gt;0,"",MAX(G$1:G48)+1))</f>
        <v/>
      </c>
      <c r="H49" s="8" t="str">
        <f t="shared" si="7"/>
        <v/>
      </c>
      <c r="S49" t="s">
        <v>54</v>
      </c>
      <c r="Z49" t="s">
        <v>222</v>
      </c>
      <c r="AC49" s="8" t="str">
        <f t="shared" si="6"/>
        <v/>
      </c>
      <c r="AE49" s="8" t="str">
        <f t="shared" si="3"/>
        <v/>
      </c>
      <c r="AF49" s="8" t="str">
        <f>IF(AE49="","",AE49+COUNTIF(AE$2:AE49,AE49)-1)</f>
        <v/>
      </c>
      <c r="AK49" s="23" t="s">
        <v>1467</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16"/>
        <v/>
      </c>
      <c r="F50" s="8" t="str">
        <f>IF(E50="","",IFERROR(LOOKUP(1,0/(AK:AK=E50),AP:AP),"旧 "&amp;E50))</f>
        <v/>
      </c>
      <c r="G50" s="8" t="str">
        <f>IF(ISBLANK(E50),"",IF(COUNTIF(AK:AK,"="&amp;E50)&gt;0,"",MAX(G$1:G49)+1))</f>
        <v/>
      </c>
      <c r="H50" s="8" t="str">
        <f t="shared" si="7"/>
        <v/>
      </c>
      <c r="S50" t="s">
        <v>27</v>
      </c>
      <c r="Z50" t="s">
        <v>37</v>
      </c>
      <c r="AC50" s="8" t="str">
        <f t="shared" si="6"/>
        <v/>
      </c>
      <c r="AE50" s="8" t="str">
        <f t="shared" si="3"/>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16"/>
        <v/>
      </c>
      <c r="F51" s="8" t="str">
        <f>IF(E51="","",IFERROR(LOOKUP(1,0/(AK:AK=E51),AP:AP),"旧 "&amp;E51))</f>
        <v/>
      </c>
      <c r="G51" s="8" t="str">
        <f>IF(ISBLANK(E51),"",IF(COUNTIF(AK:AK,"="&amp;E51)&gt;0,"",MAX(G$1:G50)+1))</f>
        <v/>
      </c>
      <c r="H51" s="8" t="str">
        <f t="shared" si="7"/>
        <v/>
      </c>
      <c r="S51" t="s">
        <v>27</v>
      </c>
      <c r="Z51" t="s">
        <v>105</v>
      </c>
      <c r="AC51" s="8" t="str">
        <f t="shared" si="6"/>
        <v/>
      </c>
      <c r="AE51" s="8" t="str">
        <f t="shared" si="3"/>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16"/>
        <v/>
      </c>
      <c r="F52" s="8" t="str">
        <f>IF(E52="","",IFERROR(LOOKUP(1,0/(AK:AK=E52),AP:AP),"旧 "&amp;E52))</f>
        <v/>
      </c>
      <c r="G52" s="8" t="str">
        <f>IF(ISBLANK(E52),"",IF(COUNTIF(AK:AK,"="&amp;E52)&gt;0,"",MAX(G$1:G51)+1))</f>
        <v/>
      </c>
      <c r="H52" s="8" t="str">
        <f t="shared" si="7"/>
        <v/>
      </c>
      <c r="S52" t="s">
        <v>27</v>
      </c>
      <c r="Z52" t="s">
        <v>37</v>
      </c>
      <c r="AC52" s="8" t="str">
        <f t="shared" si="6"/>
        <v/>
      </c>
      <c r="AE52" s="8" t="str">
        <f t="shared" si="3"/>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16"/>
        <v/>
      </c>
      <c r="F53" s="8" t="str">
        <f>IF(E53="","",IFERROR(LOOKUP(1,0/(AK:AK=E53),AP:AP),"旧 "&amp;E53))</f>
        <v/>
      </c>
      <c r="G53" s="8" t="str">
        <f>IF(ISBLANK(E53),"",IF(COUNTIF(AK:AK,"="&amp;E53)&gt;0,"",MAX(G$1:G52)+1))</f>
        <v/>
      </c>
      <c r="H53" s="8" t="str">
        <f t="shared" si="7"/>
        <v/>
      </c>
      <c r="S53" t="s">
        <v>27</v>
      </c>
      <c r="Z53" t="s">
        <v>68</v>
      </c>
      <c r="AC53" s="8" t="str">
        <f t="shared" si="6"/>
        <v/>
      </c>
      <c r="AE53" s="8" t="str">
        <f t="shared" si="3"/>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16"/>
        <v/>
      </c>
      <c r="F54" s="8" t="str">
        <f>IF(E54="","",IFERROR(LOOKUP(1,0/(AK:AK=E54),AP:AP),"旧 "&amp;E54))</f>
        <v/>
      </c>
      <c r="G54" s="8" t="str">
        <f>IF(ISBLANK(E54),"",IF(COUNTIF(AK:AK,"="&amp;E54)&gt;0,"",MAX(G$1:G53)+1))</f>
        <v/>
      </c>
      <c r="H54" s="8" t="str">
        <f t="shared" si="7"/>
        <v/>
      </c>
      <c r="S54" t="s">
        <v>27</v>
      </c>
      <c r="Z54" t="s">
        <v>44</v>
      </c>
      <c r="AC54" s="8" t="str">
        <f t="shared" si="6"/>
        <v/>
      </c>
      <c r="AE54" s="8" t="str">
        <f t="shared" si="3"/>
        <v/>
      </c>
      <c r="AF54" s="8" t="str">
        <f>IF(AE54="","",AE54+COUNTIF(AE$2:AE54,AE54)-1)</f>
        <v/>
      </c>
      <c r="AK54" s="30" t="s">
        <v>1468</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16"/>
        <v/>
      </c>
      <c r="F55" s="8" t="str">
        <f>IF(E55="","",IFERROR(LOOKUP(1,0/(AK:AK=E55),AP:AP),"旧 "&amp;E55))</f>
        <v/>
      </c>
      <c r="G55" s="8" t="str">
        <f>IF(ISBLANK(E55),"",IF(COUNTIF(AK:AK,"="&amp;E55)&gt;0,"",MAX(G$1:G54)+1))</f>
        <v/>
      </c>
      <c r="H55" s="8" t="str">
        <f t="shared" si="7"/>
        <v/>
      </c>
      <c r="S55" t="s">
        <v>27</v>
      </c>
      <c r="Z55" t="s">
        <v>68</v>
      </c>
      <c r="AC55" s="8" t="str">
        <f t="shared" si="6"/>
        <v/>
      </c>
      <c r="AE55" s="8" t="str">
        <f t="shared" si="3"/>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16"/>
        <v/>
      </c>
      <c r="F56" s="8" t="str">
        <f>IF(E56="","",IFERROR(LOOKUP(1,0/(AK:AK=E56),AP:AP),"旧 "&amp;E56))</f>
        <v/>
      </c>
      <c r="G56" s="8" t="str">
        <f>IF(ISBLANK(E56),"",IF(COUNTIF(AK:AK,"="&amp;E56)&gt;0,"",MAX(G$1:G55)+1))</f>
        <v/>
      </c>
      <c r="H56" s="8" t="str">
        <f t="shared" si="7"/>
        <v/>
      </c>
      <c r="S56" t="s">
        <v>259</v>
      </c>
      <c r="Z56" t="s">
        <v>68</v>
      </c>
      <c r="AC56" s="8" t="str">
        <f t="shared" si="6"/>
        <v/>
      </c>
      <c r="AE56" s="8" t="str">
        <f t="shared" si="3"/>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16"/>
        <v/>
      </c>
      <c r="F57" s="8" t="str">
        <f>IF(E57="","",IFERROR(LOOKUP(1,0/(AK:AK=E57),AP:AP),"旧 "&amp;E57))</f>
        <v/>
      </c>
      <c r="G57" s="8" t="str">
        <f>IF(ISBLANK(E57),"",IF(COUNTIF(AK:AK,"="&amp;E57)&gt;0,"",MAX(G$1:G56)+1))</f>
        <v/>
      </c>
      <c r="H57" s="8" t="str">
        <f t="shared" si="7"/>
        <v/>
      </c>
      <c r="S57" t="s">
        <v>54</v>
      </c>
      <c r="Z57" t="s">
        <v>454</v>
      </c>
      <c r="AC57" s="8" t="str">
        <f t="shared" si="6"/>
        <v/>
      </c>
      <c r="AE57" s="8" t="str">
        <f t="shared" si="3"/>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16"/>
        <v/>
      </c>
      <c r="F58" s="8" t="str">
        <f>IF(E58="","",IFERROR(LOOKUP(1,0/(AK:AK=E58),AP:AP),"旧 "&amp;E58))</f>
        <v/>
      </c>
      <c r="G58" s="8" t="str">
        <f>IF(ISBLANK(E58),"",IF(COUNTIF(AK:AK,"="&amp;E58)&gt;0,"",MAX(G$1:G57)+1))</f>
        <v/>
      </c>
      <c r="H58" s="8" t="str">
        <f t="shared" si="7"/>
        <v/>
      </c>
      <c r="S58" t="s">
        <v>54</v>
      </c>
      <c r="Z58" t="s">
        <v>222</v>
      </c>
      <c r="AC58" s="8" t="str">
        <f t="shared" si="6"/>
        <v/>
      </c>
      <c r="AE58" s="8" t="str">
        <f t="shared" si="3"/>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16"/>
        <v/>
      </c>
      <c r="F59" s="8" t="str">
        <f>IF(E59="","",IFERROR(LOOKUP(1,0/(AK:AK=E59),AP:AP),"旧 "&amp;E59))</f>
        <v/>
      </c>
      <c r="G59" s="8" t="str">
        <f>IF(ISBLANK(E59),"",IF(COUNTIF(AK:AK,"="&amp;E59)&gt;0,"",MAX(G$1:G58)+1))</f>
        <v/>
      </c>
      <c r="H59" s="8" t="str">
        <f t="shared" si="7"/>
        <v/>
      </c>
      <c r="S59" t="s">
        <v>27</v>
      </c>
      <c r="Z59" t="s">
        <v>68</v>
      </c>
      <c r="AC59" s="8" t="str">
        <f t="shared" si="6"/>
        <v/>
      </c>
      <c r="AE59" s="8" t="str">
        <f t="shared" si="3"/>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16"/>
        <v/>
      </c>
      <c r="F60" s="8" t="str">
        <f>IF(E60="","",IFERROR(LOOKUP(1,0/(AK:AK=E60),AP:AP),"旧 "&amp;E60))</f>
        <v/>
      </c>
      <c r="G60" s="8" t="str">
        <f>IF(ISBLANK(E60),"",IF(COUNTIF(AK:AK,"="&amp;E60)&gt;0,"",MAX(G$1:G59)+1))</f>
        <v/>
      </c>
      <c r="H60" s="8" t="str">
        <f t="shared" si="7"/>
        <v/>
      </c>
      <c r="S60" t="s">
        <v>27</v>
      </c>
      <c r="Z60" t="s">
        <v>68</v>
      </c>
      <c r="AC60" s="8" t="str">
        <f t="shared" si="6"/>
        <v/>
      </c>
      <c r="AE60" s="8" t="str">
        <f t="shared" si="3"/>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16"/>
        <v/>
      </c>
      <c r="F61" s="8" t="str">
        <f>IF(E61="","",IFERROR(LOOKUP(1,0/(AK:AK=E61),AP:AP),"旧 "&amp;E61))</f>
        <v/>
      </c>
      <c r="G61" s="8" t="str">
        <f>IF(ISBLANK(E61),"",IF(COUNTIF(AK:AK,"="&amp;E61)&gt;0,"",MAX(G$1:G60)+1))</f>
        <v/>
      </c>
      <c r="H61" s="8" t="str">
        <f t="shared" si="7"/>
        <v/>
      </c>
      <c r="S61" t="s">
        <v>27</v>
      </c>
      <c r="Z61" t="s">
        <v>903</v>
      </c>
      <c r="AC61" s="8" t="str">
        <f t="shared" si="6"/>
        <v/>
      </c>
      <c r="AE61" s="8" t="str">
        <f t="shared" si="3"/>
        <v/>
      </c>
      <c r="AF61" s="8" t="str">
        <f>IF(AE61="","",AE61+COUNTIF(AE$2:AE61,AE61)-1)</f>
        <v/>
      </c>
      <c r="AK61" s="23" t="s">
        <v>1469</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16"/>
        <v/>
      </c>
      <c r="F62" s="8" t="str">
        <f>IF(E62="","",IFERROR(LOOKUP(1,0/(AK:AK=E62),AP:AP),"旧 "&amp;E62))</f>
        <v/>
      </c>
      <c r="G62" s="8" t="str">
        <f>IF(ISBLANK(E62),"",IF(COUNTIF(AK:AK,"="&amp;E62)&gt;0,"",MAX(G$1:G61)+1))</f>
        <v/>
      </c>
      <c r="H62" s="8" t="str">
        <f t="shared" si="7"/>
        <v/>
      </c>
      <c r="S62" t="s">
        <v>73</v>
      </c>
      <c r="Z62" t="s">
        <v>37</v>
      </c>
      <c r="AC62" s="8" t="str">
        <f t="shared" si="6"/>
        <v/>
      </c>
      <c r="AE62" s="8" t="str">
        <f t="shared" si="3"/>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16"/>
        <v/>
      </c>
      <c r="F63" s="8" t="str">
        <f>IF(E63="","",IFERROR(LOOKUP(1,0/(AK:AK=E63),AP:AP),"旧 "&amp;E63))</f>
        <v/>
      </c>
      <c r="G63" s="8" t="str">
        <f>IF(ISBLANK(E63),"",IF(COUNTIF(AK:AK,"="&amp;E63)&gt;0,"",MAX(G$1:G62)+1))</f>
        <v/>
      </c>
      <c r="H63" s="8" t="str">
        <f t="shared" si="7"/>
        <v/>
      </c>
      <c r="S63" t="s">
        <v>252</v>
      </c>
      <c r="Z63" t="s">
        <v>911</v>
      </c>
      <c r="AC63" s="8" t="str">
        <f t="shared" si="6"/>
        <v/>
      </c>
      <c r="AE63" s="8" t="str">
        <f t="shared" si="3"/>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16"/>
        <v/>
      </c>
      <c r="F64" s="8" t="str">
        <f>IF(E64="","",IFERROR(LOOKUP(1,0/(AK:AK=E64),AP:AP),"旧 "&amp;E64))</f>
        <v/>
      </c>
      <c r="G64" s="8" t="str">
        <f>IF(ISBLANK(E64),"",IF(COUNTIF(AK:AK,"="&amp;E64)&gt;0,"",MAX(G$1:G63)+1))</f>
        <v/>
      </c>
      <c r="H64" s="8" t="str">
        <f t="shared" si="7"/>
        <v/>
      </c>
      <c r="S64" t="s">
        <v>27</v>
      </c>
      <c r="Z64" t="s">
        <v>903</v>
      </c>
      <c r="AC64" s="8" t="str">
        <f t="shared" si="6"/>
        <v/>
      </c>
      <c r="AE64" s="8" t="str">
        <f t="shared" si="3"/>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16"/>
        <v/>
      </c>
      <c r="F65" s="8" t="str">
        <f>IF(E65="","",IFERROR(LOOKUP(1,0/(AK:AK=E65),AP:AP),"旧 "&amp;E65))</f>
        <v/>
      </c>
      <c r="G65" s="8" t="str">
        <f>IF(ISBLANK(E65),"",IF(COUNTIF(AK:AK,"="&amp;E65)&gt;0,"",MAX(G$1:G64)+1))</f>
        <v/>
      </c>
      <c r="H65" s="8" t="str">
        <f t="shared" si="7"/>
        <v/>
      </c>
      <c r="S65" t="s">
        <v>54</v>
      </c>
      <c r="Z65" t="s">
        <v>780</v>
      </c>
      <c r="AC65" s="8" t="str">
        <f t="shared" si="6"/>
        <v/>
      </c>
      <c r="AE65" s="8" t="str">
        <f t="shared" si="3"/>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16"/>
        <v/>
      </c>
      <c r="F66" s="8" t="str">
        <f>IF(E66="","",IFERROR(LOOKUP(1,0/(AK:AK=E66),AP:AP),"旧 "&amp;E66))</f>
        <v/>
      </c>
      <c r="G66" s="8" t="str">
        <f>IF(ISBLANK(E66),"",IF(COUNTIF(AK:AK,"="&amp;E66)&gt;0,"",MAX(G$1:G65)+1))</f>
        <v/>
      </c>
      <c r="H66" s="8" t="str">
        <f t="shared" si="7"/>
        <v/>
      </c>
      <c r="S66" t="s">
        <v>116</v>
      </c>
      <c r="Z66" t="s">
        <v>925</v>
      </c>
      <c r="AC66" s="8" t="str">
        <f t="shared" si="6"/>
        <v/>
      </c>
      <c r="AE66" s="8" t="str">
        <f t="shared" ref="AE66:AE129" si="18">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16"/>
        <v/>
      </c>
      <c r="F67" s="8" t="str">
        <f>IF(E67="","",IFERROR(LOOKUP(1,0/(AK:AK=E67),AP:AP),"旧 "&amp;E67))</f>
        <v/>
      </c>
      <c r="G67" s="8" t="str">
        <f>IF(ISBLANK(E67),"",IF(COUNTIF(AK:AK,"="&amp;E67)&gt;0,"",MAX(G$1:G66)+1))</f>
        <v/>
      </c>
      <c r="H67" s="8" t="str">
        <f t="shared" si="7"/>
        <v/>
      </c>
      <c r="S67" t="s">
        <v>27</v>
      </c>
      <c r="Z67" t="s">
        <v>68</v>
      </c>
      <c r="AC67" s="8" t="str">
        <f t="shared" ref="AC67:AC102" si="19">IF(ISBLANK(AB67),"",COUNTIF(Z:Z,AB67))</f>
        <v/>
      </c>
      <c r="AE67" s="8" t="str">
        <f t="shared" si="18"/>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16"/>
        <v/>
      </c>
      <c r="F68" s="8" t="str">
        <f>IF(E68="","",IFERROR(LOOKUP(1,0/(AK:AK=E68),AP:AP),"旧 "&amp;E68))</f>
        <v/>
      </c>
      <c r="G68" s="8" t="str">
        <f>IF(ISBLANK(E68),"",IF(COUNTIF(AK:AK,"="&amp;E68)&gt;0,"",MAX(G$1:G67)+1))</f>
        <v/>
      </c>
      <c r="H68" s="8" t="str">
        <f t="shared" ref="H68:H101" si="20">IF(E68="","",COUNTIF(B:B,E68))</f>
        <v/>
      </c>
      <c r="S68" t="s">
        <v>54</v>
      </c>
      <c r="Z68" t="s">
        <v>222</v>
      </c>
      <c r="AC68" s="8" t="str">
        <f t="shared" si="19"/>
        <v/>
      </c>
      <c r="AE68" s="8" t="str">
        <f t="shared" si="18"/>
        <v/>
      </c>
      <c r="AF68" s="8" t="str">
        <f>IF(AE68="","",AE68+COUNTIF(AE$2:AE68,AE68)-1)</f>
        <v/>
      </c>
      <c r="AK68" s="23" t="s">
        <v>1470</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16"/>
        <v/>
      </c>
      <c r="F69" s="8" t="str">
        <f>IF(E69="","",IFERROR(LOOKUP(1,0/(AK:AK=E69),AP:AP),"旧 "&amp;E69))</f>
        <v/>
      </c>
      <c r="G69" s="8" t="str">
        <f>IF(ISBLANK(E69),"",IF(COUNTIF(AK:AK,"="&amp;E69)&gt;0,"",MAX(G$1:G68)+1))</f>
        <v/>
      </c>
      <c r="H69" s="8" t="str">
        <f t="shared" si="20"/>
        <v/>
      </c>
      <c r="S69" t="s">
        <v>116</v>
      </c>
      <c r="Z69" t="s">
        <v>44</v>
      </c>
      <c r="AC69" s="8" t="str">
        <f t="shared" si="19"/>
        <v/>
      </c>
      <c r="AE69" s="8" t="str">
        <f t="shared" si="18"/>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16"/>
        <v/>
      </c>
      <c r="F70" s="8" t="str">
        <f>IF(E70="","",IFERROR(LOOKUP(1,0/(AK:AK=E70),AP:AP),"旧 "&amp;E70))</f>
        <v/>
      </c>
      <c r="G70" s="8" t="str">
        <f>IF(ISBLANK(E70),"",IF(COUNTIF(AK:AK,"="&amp;E70)&gt;0,"",MAX(G$1:G69)+1))</f>
        <v/>
      </c>
      <c r="H70" s="8" t="str">
        <f t="shared" si="20"/>
        <v/>
      </c>
      <c r="S70" t="s">
        <v>54</v>
      </c>
      <c r="Z70" t="s">
        <v>44</v>
      </c>
      <c r="AC70" s="8" t="str">
        <f t="shared" si="19"/>
        <v/>
      </c>
      <c r="AE70" s="8" t="str">
        <f t="shared" si="18"/>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16"/>
        <v/>
      </c>
      <c r="F71" s="8" t="str">
        <f>IF(E71="","",IFERROR(LOOKUP(1,0/(AK:AK=E71),AP:AP),"旧 "&amp;E71))</f>
        <v/>
      </c>
      <c r="G71" s="8" t="str">
        <f>IF(ISBLANK(E71),"",IF(COUNTIF(AK:AK,"="&amp;E71)&gt;0,"",MAX(G$1:G70)+1))</f>
        <v/>
      </c>
      <c r="H71" s="8" t="str">
        <f t="shared" si="20"/>
        <v/>
      </c>
      <c r="S71" t="s">
        <v>27</v>
      </c>
      <c r="Z71" t="s">
        <v>37</v>
      </c>
      <c r="AC71" s="8" t="str">
        <f t="shared" si="19"/>
        <v/>
      </c>
      <c r="AE71" s="8" t="str">
        <f t="shared" si="18"/>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16"/>
        <v/>
      </c>
      <c r="F72" s="8" t="str">
        <f>IF(E72="","",IFERROR(LOOKUP(1,0/(AK:AK=E72),AP:AP),"旧 "&amp;E72))</f>
        <v/>
      </c>
      <c r="G72" s="8" t="str">
        <f>IF(ISBLANK(E72),"",IF(COUNTIF(AK:AK,"="&amp;E72)&gt;0,"",MAX(G$1:G71)+1))</f>
        <v/>
      </c>
      <c r="H72" s="8" t="str">
        <f t="shared" si="20"/>
        <v/>
      </c>
      <c r="S72" t="s">
        <v>27</v>
      </c>
      <c r="Z72" t="s">
        <v>37</v>
      </c>
      <c r="AC72" s="8" t="str">
        <f t="shared" si="19"/>
        <v/>
      </c>
      <c r="AE72" s="8" t="str">
        <f t="shared" si="18"/>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16"/>
        <v/>
      </c>
      <c r="F73" s="8" t="str">
        <f>IF(E73="","",IFERROR(LOOKUP(1,0/(AK:AK=E73),AP:AP),"旧 "&amp;E73))</f>
        <v/>
      </c>
      <c r="G73" s="8" t="str">
        <f>IF(ISBLANK(E73),"",IF(COUNTIF(AK:AK,"="&amp;E73)&gt;0,"",MAX(G$1:G72)+1))</f>
        <v/>
      </c>
      <c r="H73" s="8" t="str">
        <f t="shared" si="20"/>
        <v/>
      </c>
      <c r="S73" t="s">
        <v>259</v>
      </c>
      <c r="Z73" t="s">
        <v>246</v>
      </c>
      <c r="AC73" s="8" t="str">
        <f t="shared" si="19"/>
        <v/>
      </c>
      <c r="AE73" s="8" t="str">
        <f t="shared" si="18"/>
        <v/>
      </c>
      <c r="AF73" s="8" t="str">
        <f>IF(AE73="","",AE73+COUNTIF(AE$2:AE73,AE73)-1)</f>
        <v/>
      </c>
      <c r="AK73" s="30" t="s">
        <v>1471</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16"/>
        <v/>
      </c>
      <c r="F74" s="8" t="str">
        <f>IF(E74="","",IFERROR(LOOKUP(1,0/(AK:AK=E74),AP:AP),"旧 "&amp;E74))</f>
        <v/>
      </c>
      <c r="G74" s="8" t="str">
        <f>IF(ISBLANK(E74),"",IF(COUNTIF(AK:AK,"="&amp;E74)&gt;0,"",MAX(G$1:G73)+1))</f>
        <v/>
      </c>
      <c r="H74" s="8" t="str">
        <f t="shared" si="20"/>
        <v/>
      </c>
      <c r="S74" t="s">
        <v>54</v>
      </c>
      <c r="Z74" t="s">
        <v>37</v>
      </c>
      <c r="AC74" s="8" t="str">
        <f t="shared" si="19"/>
        <v/>
      </c>
      <c r="AE74" s="8" t="str">
        <f t="shared" si="18"/>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16"/>
        <v/>
      </c>
      <c r="F75" s="8" t="str">
        <f>IF(E75="","",IFERROR(LOOKUP(1,0/(AK:AK=E75),AP:AP),"旧 "&amp;E75))</f>
        <v/>
      </c>
      <c r="G75" s="8" t="str">
        <f>IF(ISBLANK(E75),"",IF(COUNTIF(AK:AK,"="&amp;E75)&gt;0,"",MAX(G$1:G74)+1))</f>
        <v/>
      </c>
      <c r="H75" s="8" t="str">
        <f t="shared" si="20"/>
        <v/>
      </c>
      <c r="S75" t="s">
        <v>54</v>
      </c>
      <c r="Z75" t="s">
        <v>44</v>
      </c>
      <c r="AC75" s="8" t="str">
        <f t="shared" si="19"/>
        <v/>
      </c>
      <c r="AE75" s="8" t="str">
        <f t="shared" si="18"/>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16"/>
        <v/>
      </c>
      <c r="F76" s="8" t="str">
        <f>IF(E76="","",IFERROR(LOOKUP(1,0/(AK:AK=E76),AP:AP),"旧 "&amp;E76))</f>
        <v/>
      </c>
      <c r="G76" s="8" t="str">
        <f>IF(ISBLANK(E76),"",IF(COUNTIF(AK:AK,"="&amp;E76)&gt;0,"",MAX(G$1:G75)+1))</f>
        <v/>
      </c>
      <c r="H76" s="8" t="str">
        <f t="shared" si="20"/>
        <v/>
      </c>
      <c r="S76" t="s">
        <v>27</v>
      </c>
      <c r="Z76" t="s">
        <v>222</v>
      </c>
      <c r="AC76" s="8" t="str">
        <f t="shared" si="19"/>
        <v/>
      </c>
      <c r="AE76" s="8" t="str">
        <f t="shared" si="18"/>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16"/>
        <v/>
      </c>
      <c r="F77" s="8" t="str">
        <f>IF(E77="","",IFERROR(LOOKUP(1,0/(AK:AK=E77),AP:AP),"旧 "&amp;E77))</f>
        <v/>
      </c>
      <c r="G77" s="8" t="str">
        <f>IF(ISBLANK(E77),"",IF(COUNTIF(AK:AK,"="&amp;E77)&gt;0,"",MAX(G$1:G76)+1))</f>
        <v/>
      </c>
      <c r="H77" s="8" t="str">
        <f t="shared" si="20"/>
        <v/>
      </c>
      <c r="S77" t="s">
        <v>494</v>
      </c>
      <c r="Z77" t="s">
        <v>44</v>
      </c>
      <c r="AC77" s="8" t="str">
        <f t="shared" si="19"/>
        <v/>
      </c>
      <c r="AE77" s="8" t="str">
        <f t="shared" si="18"/>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16"/>
        <v/>
      </c>
      <c r="F78" s="8" t="str">
        <f>IF(E78="","",IFERROR(LOOKUP(1,0/(AK:AK=E78),AP:AP),"旧 "&amp;E78))</f>
        <v/>
      </c>
      <c r="G78" s="8" t="str">
        <f>IF(ISBLANK(E78),"",IF(COUNTIF(AK:AK,"="&amp;E78)&gt;0,"",MAX(G$1:G77)+1))</f>
        <v/>
      </c>
      <c r="H78" s="8" t="str">
        <f t="shared" si="20"/>
        <v/>
      </c>
      <c r="S78" t="s">
        <v>494</v>
      </c>
      <c r="Z78" t="s">
        <v>222</v>
      </c>
      <c r="AC78" s="8" t="str">
        <f t="shared" si="19"/>
        <v/>
      </c>
      <c r="AE78" s="8" t="str">
        <f t="shared" si="18"/>
        <v/>
      </c>
      <c r="AF78" s="8" t="str">
        <f>IF(AE78="","",AE78+COUNTIF(AE$2:AE78,AE78)-1)</f>
        <v/>
      </c>
      <c r="AK78" s="31" t="s">
        <v>1472</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16"/>
        <v/>
      </c>
      <c r="F79" s="8" t="str">
        <f>IF(E79="","",IFERROR(LOOKUP(1,0/(AK:AK=E79),AP:AP),"旧 "&amp;E79))</f>
        <v/>
      </c>
      <c r="G79" s="8" t="str">
        <f>IF(ISBLANK(E79),"",IF(COUNTIF(AK:AK,"="&amp;E79)&gt;0,"",MAX(G$1:G78)+1))</f>
        <v/>
      </c>
      <c r="H79" s="8" t="str">
        <f t="shared" si="20"/>
        <v/>
      </c>
      <c r="S79" t="s">
        <v>27</v>
      </c>
      <c r="Z79" t="s">
        <v>68</v>
      </c>
      <c r="AC79" s="8" t="str">
        <f t="shared" si="19"/>
        <v/>
      </c>
      <c r="AE79" s="8" t="str">
        <f t="shared" si="18"/>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16"/>
        <v/>
      </c>
      <c r="F80" s="8" t="str">
        <f>IF(E80="","",IFERROR(LOOKUP(1,0/(AK:AK=E80),AP:AP),"旧 "&amp;E80))</f>
        <v/>
      </c>
      <c r="G80" s="8" t="str">
        <f>IF(ISBLANK(E80),"",IF(COUNTIF(AK:AK,"="&amp;E80)&gt;0,"",MAX(G$1:G79)+1))</f>
        <v/>
      </c>
      <c r="H80" s="8" t="str">
        <f t="shared" si="20"/>
        <v/>
      </c>
      <c r="S80" t="s">
        <v>27</v>
      </c>
      <c r="Z80" t="s">
        <v>83</v>
      </c>
      <c r="AC80" s="8" t="str">
        <f t="shared" si="19"/>
        <v/>
      </c>
      <c r="AE80" s="8" t="str">
        <f t="shared" si="18"/>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16"/>
        <v/>
      </c>
      <c r="F81" s="8" t="str">
        <f>IF(E81="","",IFERROR(LOOKUP(1,0/(AK:AK=E81),AP:AP),"旧 "&amp;E81))</f>
        <v/>
      </c>
      <c r="G81" s="8" t="str">
        <f>IF(ISBLANK(E81),"",IF(COUNTIF(AK:AK,"="&amp;E81)&gt;0,"",MAX(G$1:G80)+1))</f>
        <v/>
      </c>
      <c r="H81" s="8" t="str">
        <f t="shared" si="20"/>
        <v/>
      </c>
      <c r="S81" t="s">
        <v>54</v>
      </c>
      <c r="Z81" t="s">
        <v>68</v>
      </c>
      <c r="AC81" s="8" t="str">
        <f t="shared" si="19"/>
        <v/>
      </c>
      <c r="AE81" s="8" t="str">
        <f t="shared" si="18"/>
        <v/>
      </c>
      <c r="AF81" s="8" t="str">
        <f>IF(AE81="","",AE81+COUNTIF(AE$2:AE81,AE81)-1)</f>
        <v/>
      </c>
      <c r="AK81" s="23" t="s">
        <v>1473</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16"/>
        <v/>
      </c>
      <c r="F82" s="8" t="str">
        <f>IF(E82="","",IFERROR(LOOKUP(1,0/(AK:AK=E82),AP:AP),"旧 "&amp;E82))</f>
        <v/>
      </c>
      <c r="G82" s="8" t="str">
        <f>IF(ISBLANK(E82),"",IF(COUNTIF(AK:AK,"="&amp;E82)&gt;0,"",MAX(G$1:G81)+1))</f>
        <v/>
      </c>
      <c r="H82" s="8" t="str">
        <f t="shared" si="20"/>
        <v/>
      </c>
      <c r="S82" t="s">
        <v>54</v>
      </c>
      <c r="Z82" t="s">
        <v>68</v>
      </c>
      <c r="AC82" s="8" t="str">
        <f t="shared" si="19"/>
        <v/>
      </c>
      <c r="AE82" s="8" t="str">
        <f t="shared" si="18"/>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16"/>
        <v/>
      </c>
      <c r="F83" s="8" t="str">
        <f>IF(E83="","",IFERROR(LOOKUP(1,0/(AK:AK=E83),AP:AP),"旧 "&amp;E83))</f>
        <v/>
      </c>
      <c r="G83" s="8" t="str">
        <f>IF(ISBLANK(E83),"",IF(COUNTIF(AK:AK,"="&amp;E83)&gt;0,"",MAX(G$1:G82)+1))</f>
        <v/>
      </c>
      <c r="H83" s="8" t="str">
        <f t="shared" si="20"/>
        <v/>
      </c>
      <c r="S83" t="s">
        <v>27</v>
      </c>
      <c r="Z83" t="s">
        <v>985</v>
      </c>
      <c r="AC83" s="8" t="str">
        <f t="shared" si="19"/>
        <v/>
      </c>
      <c r="AE83" s="8" t="str">
        <f t="shared" si="18"/>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47" si="21">IFERROR(LOOKUP(1,0/(D:D=ROW()-ROW(E$1)),B:B),"")</f>
        <v/>
      </c>
      <c r="F84" s="8" t="str">
        <f>IF(E84="","",IFERROR(LOOKUP(1,0/(AK:AK=E84),AP:AP),"旧 "&amp;E84))</f>
        <v/>
      </c>
      <c r="G84" s="8" t="str">
        <f>IF(ISBLANK(E84),"",IF(COUNTIF(AK:AK,"="&amp;E84)&gt;0,"",MAX(G$1:G83)+1))</f>
        <v/>
      </c>
      <c r="H84" s="8" t="str">
        <f t="shared" si="20"/>
        <v/>
      </c>
      <c r="S84" t="s">
        <v>54</v>
      </c>
      <c r="Z84" t="s">
        <v>68</v>
      </c>
      <c r="AC84" s="8" t="str">
        <f t="shared" si="19"/>
        <v/>
      </c>
      <c r="AE84" s="8" t="str">
        <f t="shared" si="18"/>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1"/>
        <v/>
      </c>
      <c r="F85" s="8" t="str">
        <f>IF(E85="","",IFERROR(LOOKUP(1,0/(AK:AK=E85),AP:AP),"旧 "&amp;E85))</f>
        <v/>
      </c>
      <c r="G85" s="8" t="str">
        <f>IF(ISBLANK(E85),"",IF(COUNTIF(AK:AK,"="&amp;E85)&gt;0,"",MAX(G$1:G84)+1))</f>
        <v/>
      </c>
      <c r="H85" s="8" t="str">
        <f t="shared" si="20"/>
        <v/>
      </c>
      <c r="S85" t="s">
        <v>27</v>
      </c>
      <c r="Z85" t="s">
        <v>68</v>
      </c>
      <c r="AC85" s="8" t="str">
        <f t="shared" si="19"/>
        <v/>
      </c>
      <c r="AE85" s="8" t="str">
        <f t="shared" si="18"/>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1"/>
        <v/>
      </c>
      <c r="F86" s="8" t="str">
        <f>IF(E86="","",IFERROR(LOOKUP(1,0/(AK:AK=E86),AP:AP),"旧 "&amp;E86))</f>
        <v/>
      </c>
      <c r="G86" s="8" t="str">
        <f>IF(ISBLANK(E86),"",IF(COUNTIF(AK:AK,"="&amp;E86)&gt;0,"",MAX(G$1:G85)+1))</f>
        <v/>
      </c>
      <c r="H86" s="8" t="str">
        <f t="shared" si="20"/>
        <v/>
      </c>
      <c r="S86" t="s">
        <v>27</v>
      </c>
      <c r="Z86" t="s">
        <v>477</v>
      </c>
      <c r="AC86" s="8" t="str">
        <f t="shared" si="19"/>
        <v/>
      </c>
      <c r="AE86" s="8" t="str">
        <f t="shared" si="18"/>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1"/>
        <v/>
      </c>
      <c r="F87" s="8" t="str">
        <f>IF(E87="","",IFERROR(LOOKUP(1,0/(AK:AK=E87),AP:AP),"旧 "&amp;E87))</f>
        <v/>
      </c>
      <c r="G87" s="8" t="str">
        <f>IF(ISBLANK(E87),"",IF(COUNTIF(AK:AK,"="&amp;E87)&gt;0,"",MAX(G$1:G86)+1))</f>
        <v/>
      </c>
      <c r="H87" s="8" t="str">
        <f t="shared" si="20"/>
        <v/>
      </c>
      <c r="S87" t="s">
        <v>73</v>
      </c>
      <c r="Z87" t="s">
        <v>222</v>
      </c>
      <c r="AC87" s="8" t="str">
        <f t="shared" si="19"/>
        <v/>
      </c>
      <c r="AE87" s="8" t="str">
        <f t="shared" si="18"/>
        <v/>
      </c>
      <c r="AF87" s="8" t="str">
        <f>IF(AE87="","",AE87+COUNTIF(AE$2:AE87,AE87)-1)</f>
        <v/>
      </c>
      <c r="AK87" s="33" t="s">
        <v>1474</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1"/>
        <v/>
      </c>
      <c r="F88" s="8" t="str">
        <f>IF(E88="","",IFERROR(LOOKUP(1,0/(AK:AK=E88),AP:AP),"旧 "&amp;E88))</f>
        <v/>
      </c>
      <c r="G88" s="8" t="str">
        <f>IF(ISBLANK(E88),"",IF(COUNTIF(AK:AK,"="&amp;E88)&gt;0,"",MAX(G$1:G87)+1))</f>
        <v/>
      </c>
      <c r="H88" s="8" t="str">
        <f t="shared" si="20"/>
        <v/>
      </c>
      <c r="S88" t="s">
        <v>27</v>
      </c>
      <c r="Z88" t="s">
        <v>999</v>
      </c>
      <c r="AC88" s="8" t="str">
        <f t="shared" si="19"/>
        <v/>
      </c>
      <c r="AE88" s="8" t="str">
        <f t="shared" si="18"/>
        <v/>
      </c>
      <c r="AF88" s="8" t="str">
        <f>IF(AE88="","",AE88+COUNTIF(AE$2:AE88,AE88)-1)</f>
        <v/>
      </c>
      <c r="AK88" s="31" t="s">
        <v>1475</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1"/>
        <v/>
      </c>
      <c r="F89" s="8" t="str">
        <f>IF(E89="","",IFERROR(LOOKUP(1,0/(AK:AK=E89),AP:AP),"旧 "&amp;E89))</f>
        <v/>
      </c>
      <c r="G89" s="8" t="str">
        <f>IF(ISBLANK(E89),"",IF(COUNTIF(AK:AK,"="&amp;E89)&gt;0,"",MAX(G$1:G88)+1))</f>
        <v/>
      </c>
      <c r="H89" s="8" t="str">
        <f t="shared" si="20"/>
        <v/>
      </c>
      <c r="S89" t="s">
        <v>54</v>
      </c>
      <c r="Z89" t="s">
        <v>44</v>
      </c>
      <c r="AC89" s="8" t="str">
        <f t="shared" si="19"/>
        <v/>
      </c>
      <c r="AE89" s="8" t="str">
        <f t="shared" si="18"/>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1"/>
        <v/>
      </c>
      <c r="F90" s="8" t="str">
        <f>IF(E90="","",IFERROR(LOOKUP(1,0/(AK:AK=E90),AP:AP),"旧 "&amp;E90))</f>
        <v/>
      </c>
      <c r="G90" s="8" t="str">
        <f>IF(ISBLANK(E90),"",IF(COUNTIF(AK:AK,"="&amp;E90)&gt;0,"",MAX(G$1:G89)+1))</f>
        <v/>
      </c>
      <c r="H90" s="8" t="str">
        <f t="shared" si="20"/>
        <v/>
      </c>
      <c r="S90" t="s">
        <v>27</v>
      </c>
      <c r="Z90" t="s">
        <v>59</v>
      </c>
      <c r="AC90" s="8" t="str">
        <f t="shared" si="19"/>
        <v/>
      </c>
      <c r="AE90" s="8" t="str">
        <f t="shared" si="18"/>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1"/>
        <v/>
      </c>
      <c r="F91" s="8" t="str">
        <f>IF(E91="","",IFERROR(LOOKUP(1,0/(AK:AK=E91),AP:AP),"旧 "&amp;E91))</f>
        <v/>
      </c>
      <c r="G91" s="8" t="str">
        <f>IF(ISBLANK(E91),"",IF(COUNTIF(AK:AK,"="&amp;E91)&gt;0,"",MAX(G$1:G90)+1))</f>
        <v/>
      </c>
      <c r="H91" s="8" t="str">
        <f t="shared" si="20"/>
        <v/>
      </c>
      <c r="S91" t="s">
        <v>27</v>
      </c>
      <c r="Z91" t="s">
        <v>222</v>
      </c>
      <c r="AC91" s="8" t="str">
        <f t="shared" si="19"/>
        <v/>
      </c>
      <c r="AE91" s="8" t="str">
        <f t="shared" si="18"/>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1"/>
        <v/>
      </c>
      <c r="F92" s="8" t="str">
        <f>IF(E92="","",IFERROR(LOOKUP(1,0/(AK:AK=E92),AP:AP),"旧 "&amp;E92))</f>
        <v/>
      </c>
      <c r="G92" s="8" t="str">
        <f>IF(ISBLANK(E92),"",IF(COUNTIF(AK:AK,"="&amp;E92)&gt;0,"",MAX(G$1:G91)+1))</f>
        <v/>
      </c>
      <c r="H92" s="8" t="str">
        <f t="shared" si="20"/>
        <v/>
      </c>
      <c r="S92" t="s">
        <v>87</v>
      </c>
      <c r="Z92" t="s">
        <v>639</v>
      </c>
      <c r="AC92" s="8" t="str">
        <f t="shared" si="19"/>
        <v/>
      </c>
      <c r="AE92" s="8" t="str">
        <f t="shared" si="18"/>
        <v/>
      </c>
      <c r="AF92" s="8" t="str">
        <f>IF(AE92="","",AE92+COUNTIF(AE$2:AE92,AE92)-1)</f>
        <v/>
      </c>
      <c r="AK92" s="31" t="s">
        <v>1476</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1"/>
        <v/>
      </c>
      <c r="F93" s="8" t="str">
        <f>IF(E93="","",IFERROR(LOOKUP(1,0/(AK:AK=E93),AP:AP),"旧 "&amp;E93))</f>
        <v/>
      </c>
      <c r="G93" s="8" t="str">
        <f>IF(ISBLANK(E93),"",IF(COUNTIF(AK:AK,"="&amp;E93)&gt;0,"",MAX(G$1:G92)+1))</f>
        <v/>
      </c>
      <c r="H93" s="8" t="str">
        <f t="shared" si="20"/>
        <v/>
      </c>
      <c r="S93" t="s">
        <v>27</v>
      </c>
      <c r="Z93" t="s">
        <v>68</v>
      </c>
      <c r="AC93" s="8" t="str">
        <f t="shared" si="19"/>
        <v/>
      </c>
      <c r="AE93" s="8" t="str">
        <f t="shared" si="18"/>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1"/>
        <v/>
      </c>
      <c r="F94" s="8" t="str">
        <f>IF(E94="","",IFERROR(LOOKUP(1,0/(AK:AK=E94),AP:AP),"旧 "&amp;E94))</f>
        <v/>
      </c>
      <c r="G94" s="8" t="str">
        <f>IF(ISBLANK(E94),"",IF(COUNTIF(AK:AK,"="&amp;E94)&gt;0,"",MAX(G$1:G93)+1))</f>
        <v/>
      </c>
      <c r="H94" s="8" t="str">
        <f t="shared" si="20"/>
        <v/>
      </c>
      <c r="S94" t="s">
        <v>166</v>
      </c>
      <c r="Z94" t="s">
        <v>68</v>
      </c>
      <c r="AC94" s="8" t="str">
        <f t="shared" si="19"/>
        <v/>
      </c>
      <c r="AE94" s="8" t="str">
        <f t="shared" si="18"/>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1"/>
        <v/>
      </c>
      <c r="F95" s="8" t="str">
        <f>IF(E95="","",IFERROR(LOOKUP(1,0/(AK:AK=E95),AP:AP),"旧 "&amp;E95))</f>
        <v/>
      </c>
      <c r="G95" s="8" t="str">
        <f>IF(ISBLANK(E95),"",IF(COUNTIF(AK:AK,"="&amp;E95)&gt;0,"",MAX(G$1:G94)+1))</f>
        <v/>
      </c>
      <c r="H95" s="8" t="str">
        <f t="shared" si="20"/>
        <v/>
      </c>
      <c r="S95" t="s">
        <v>27</v>
      </c>
      <c r="Z95" t="s">
        <v>83</v>
      </c>
      <c r="AC95" s="8" t="str">
        <f t="shared" si="19"/>
        <v/>
      </c>
      <c r="AE95" s="8" t="str">
        <f t="shared" si="18"/>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1"/>
        <v/>
      </c>
      <c r="F96" s="8" t="str">
        <f>IF(E96="","",IFERROR(LOOKUP(1,0/(AK:AK=E96),AP:AP),"旧 "&amp;E96))</f>
        <v/>
      </c>
      <c r="G96" s="8" t="str">
        <f>IF(ISBLANK(E96),"",IF(COUNTIF(AK:AK,"="&amp;E96)&gt;0,"",MAX(G$1:G95)+1))</f>
        <v/>
      </c>
      <c r="H96" s="8" t="str">
        <f t="shared" si="20"/>
        <v/>
      </c>
      <c r="S96" t="s">
        <v>27</v>
      </c>
      <c r="Z96" t="s">
        <v>525</v>
      </c>
      <c r="AC96" s="8" t="str">
        <f t="shared" si="19"/>
        <v/>
      </c>
      <c r="AE96" s="8" t="str">
        <f t="shared" si="18"/>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1"/>
        <v/>
      </c>
      <c r="F97" s="8" t="str">
        <f>IF(E97="","",IFERROR(LOOKUP(1,0/(AK:AK=E97),AP:AP),"旧 "&amp;E97))</f>
        <v/>
      </c>
      <c r="G97" s="8" t="str">
        <f>IF(ISBLANK(E97),"",IF(COUNTIF(AK:AK,"="&amp;E97)&gt;0,"",MAX(G$1:G96)+1))</f>
        <v/>
      </c>
      <c r="H97" s="8" t="str">
        <f t="shared" si="20"/>
        <v/>
      </c>
      <c r="S97" t="s">
        <v>54</v>
      </c>
      <c r="Z97" t="s">
        <v>44</v>
      </c>
      <c r="AC97" s="8" t="str">
        <f t="shared" si="19"/>
        <v/>
      </c>
      <c r="AE97" s="8" t="str">
        <f t="shared" si="18"/>
        <v/>
      </c>
      <c r="AF97" s="8" t="str">
        <f>IF(AE97="","",AE97+COUNTIF(AE$2:AE97,AE97)-1)</f>
        <v/>
      </c>
      <c r="AK97" s="34" t="s">
        <v>1477</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1"/>
        <v/>
      </c>
      <c r="F98" s="8" t="str">
        <f>IF(E98="","",IFERROR(LOOKUP(1,0/(AK:AK=E98),AP:AP),"旧 "&amp;E98))</f>
        <v/>
      </c>
      <c r="G98" s="8" t="str">
        <f>IF(ISBLANK(E98),"",IF(COUNTIF(AK:AK,"="&amp;E98)&gt;0,"",MAX(G$1:G97)+1))</f>
        <v/>
      </c>
      <c r="H98" s="8" t="str">
        <f t="shared" si="20"/>
        <v/>
      </c>
      <c r="S98" t="s">
        <v>54</v>
      </c>
      <c r="Z98" t="s">
        <v>1037</v>
      </c>
      <c r="AC98" s="8" t="str">
        <f t="shared" si="19"/>
        <v/>
      </c>
      <c r="AE98" s="8" t="str">
        <f t="shared" si="18"/>
        <v/>
      </c>
      <c r="AF98" s="8" t="str">
        <f>IF(AE98="","",AE98+COUNTIF(AE$2:AE98,AE98)-1)</f>
        <v/>
      </c>
      <c r="AK98" s="23" t="s">
        <v>1478</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1"/>
        <v/>
      </c>
      <c r="F99" s="8" t="str">
        <f>IF(E99="","",IFERROR(LOOKUP(1,0/(AK:AK=E99),AP:AP),"旧 "&amp;E99))</f>
        <v/>
      </c>
      <c r="G99" s="8" t="str">
        <f>IF(ISBLANK(E99),"",IF(COUNTIF(AK:AK,"="&amp;E99)&gt;0,"",MAX(G$1:G98)+1))</f>
        <v/>
      </c>
      <c r="H99" s="8" t="str">
        <f t="shared" si="20"/>
        <v/>
      </c>
      <c r="S99" t="s">
        <v>252</v>
      </c>
      <c r="Z99" t="s">
        <v>925</v>
      </c>
      <c r="AC99" s="8" t="str">
        <f t="shared" si="19"/>
        <v/>
      </c>
      <c r="AE99" s="8" t="str">
        <f t="shared" si="18"/>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1"/>
        <v/>
      </c>
      <c r="F100" s="8" t="str">
        <f>IF(E100="","",IFERROR(LOOKUP(1,0/(AK:AK=E100),AP:AP),"旧 "&amp;E100))</f>
        <v/>
      </c>
      <c r="G100" s="8" t="str">
        <f>IF(ISBLANK(E100),"",IF(COUNTIF(AK:AK,"="&amp;E100)&gt;0,"",MAX(G$1:G99)+1))</f>
        <v/>
      </c>
      <c r="H100" s="8" t="str">
        <f t="shared" si="20"/>
        <v/>
      </c>
      <c r="S100" t="s">
        <v>27</v>
      </c>
      <c r="Z100" t="s">
        <v>37</v>
      </c>
      <c r="AC100" s="8" t="str">
        <f t="shared" si="19"/>
        <v/>
      </c>
      <c r="AE100" s="8" t="str">
        <f t="shared" si="18"/>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1"/>
        <v/>
      </c>
      <c r="F101" s="8" t="str">
        <f>IF(E101="","",IFERROR(LOOKUP(1,0/(AK:AK=E101),AP:AP),"旧 "&amp;E101))</f>
        <v/>
      </c>
      <c r="G101" s="8" t="str">
        <f>IF(ISBLANK(E101),"",IF(COUNTIF(AK:AK,"="&amp;E101)&gt;0,"",MAX(G$1:G100)+1))</f>
        <v/>
      </c>
      <c r="H101" s="8" t="str">
        <f t="shared" si="20"/>
        <v/>
      </c>
      <c r="S101" t="s">
        <v>252</v>
      </c>
      <c r="Z101" t="s">
        <v>59</v>
      </c>
      <c r="AC101" s="8" t="str">
        <f t="shared" si="19"/>
        <v/>
      </c>
      <c r="AE101" s="8" t="str">
        <f t="shared" si="18"/>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19"/>
        <v/>
      </c>
      <c r="AE102" s="8" t="str">
        <f t="shared" si="18"/>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2">IF(ISBLANK(AB103),"",COUNTIF(Z:Z,AB103))</f>
        <v/>
      </c>
      <c r="AE103" s="8" t="str">
        <f t="shared" si="18"/>
        <v/>
      </c>
      <c r="AF103" s="8" t="str">
        <f>IF(AE103="","",AE103+COUNTIF(AE$2:AE103,AE103)-1)</f>
        <v/>
      </c>
      <c r="AK103" s="30" t="s">
        <v>1479</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2"/>
        <v/>
      </c>
      <c r="AE104" s="8" t="str">
        <f t="shared" si="18"/>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2"/>
        <v/>
      </c>
      <c r="AE105" s="8" t="str">
        <f t="shared" si="18"/>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2"/>
        <v/>
      </c>
      <c r="AE106" s="8" t="str">
        <f t="shared" si="18"/>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2"/>
        <v/>
      </c>
      <c r="AE107" s="8" t="str">
        <f t="shared" si="18"/>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2"/>
        <v/>
      </c>
      <c r="AE108" s="8" t="str">
        <f t="shared" si="18"/>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2"/>
        <v/>
      </c>
      <c r="AE109" s="8" t="str">
        <f t="shared" si="18"/>
        <v/>
      </c>
      <c r="AF109" s="8" t="str">
        <f>IF(AE109="","",AE109+COUNTIF(AE$2:AE109,AE109)-1)</f>
        <v/>
      </c>
      <c r="AK109" s="18" t="s">
        <v>1480</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2"/>
        <v/>
      </c>
      <c r="AE110" s="8" t="str">
        <f t="shared" si="18"/>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2"/>
        <v/>
      </c>
      <c r="AE111" s="8" t="str">
        <f t="shared" si="18"/>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2"/>
        <v/>
      </c>
      <c r="AE112" s="8" t="str">
        <f t="shared" si="18"/>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2"/>
        <v/>
      </c>
      <c r="AE113" s="8" t="str">
        <f t="shared" si="18"/>
        <v/>
      </c>
      <c r="AF113" s="8" t="str">
        <f>IF(AE113="","",AE113+COUNTIF(AE$2:AE113,AE113)-1)</f>
        <v/>
      </c>
      <c r="AK113" s="23" t="s">
        <v>1481</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2"/>
        <v/>
      </c>
      <c r="AE114" s="8" t="str">
        <f t="shared" si="18"/>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2"/>
        <v/>
      </c>
      <c r="AE115" s="8" t="str">
        <f t="shared" si="18"/>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2"/>
        <v/>
      </c>
      <c r="AE116" s="8" t="str">
        <f t="shared" si="18"/>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2"/>
        <v/>
      </c>
      <c r="AE117" s="8" t="str">
        <f t="shared" si="18"/>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2"/>
        <v/>
      </c>
      <c r="AE118" s="8" t="str">
        <f t="shared" si="18"/>
        <v/>
      </c>
      <c r="AF118" s="8" t="str">
        <f>IF(AE118="","",AE118+COUNTIF(AE$2:AE118,AE118)-1)</f>
        <v/>
      </c>
      <c r="AK118" s="23" t="s">
        <v>1482</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2"/>
        <v/>
      </c>
      <c r="AE119" s="8" t="str">
        <f t="shared" si="18"/>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2"/>
        <v/>
      </c>
      <c r="AE120" s="8" t="str">
        <f t="shared" si="18"/>
        <v/>
      </c>
      <c r="AF120" s="8" t="str">
        <f>IF(AE120="","",AE120+COUNTIF(AE$2:AE120,AE120)-1)</f>
        <v/>
      </c>
      <c r="AK120" s="34" t="s">
        <v>1483</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2"/>
        <v/>
      </c>
      <c r="AE121" s="8" t="str">
        <f t="shared" si="18"/>
        <v/>
      </c>
      <c r="AF121" s="8" t="str">
        <f>IF(AE121="","",AE121+COUNTIF(AE$2:AE121,AE121)-1)</f>
        <v/>
      </c>
      <c r="AK121" s="33" t="s">
        <v>1484</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2"/>
        <v/>
      </c>
      <c r="AE122" s="8" t="str">
        <f t="shared" si="18"/>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2"/>
        <v/>
      </c>
      <c r="AE123" s="8" t="str">
        <f t="shared" si="18"/>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2"/>
        <v/>
      </c>
      <c r="AE124" s="8" t="str">
        <f t="shared" si="18"/>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2"/>
        <v/>
      </c>
      <c r="AE125" s="8" t="str">
        <f t="shared" si="18"/>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2"/>
        <v/>
      </c>
      <c r="AE126" s="8" t="str">
        <f t="shared" si="18"/>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2"/>
        <v/>
      </c>
      <c r="AE127" s="8" t="str">
        <f t="shared" si="18"/>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2"/>
        <v/>
      </c>
      <c r="AE128" s="8" t="str">
        <f t="shared" si="18"/>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2"/>
        <v/>
      </c>
      <c r="AE129" s="8" t="str">
        <f t="shared" si="18"/>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2"/>
        <v/>
      </c>
      <c r="AE130" s="8" t="str">
        <f t="shared" ref="AE130:AE193" si="23">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2"/>
        <v/>
      </c>
      <c r="AE131" s="8" t="str">
        <f t="shared" si="23"/>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2"/>
        <v/>
      </c>
      <c r="AE132" s="8" t="str">
        <f t="shared" si="23"/>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2"/>
        <v/>
      </c>
      <c r="AE133" s="8" t="str">
        <f t="shared" si="23"/>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2"/>
        <v/>
      </c>
      <c r="AE134" s="8" t="str">
        <f t="shared" si="23"/>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2"/>
        <v/>
      </c>
      <c r="AE135" s="8" t="str">
        <f t="shared" si="23"/>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2"/>
        <v/>
      </c>
      <c r="AE136" s="8" t="str">
        <f t="shared" si="23"/>
        <v/>
      </c>
      <c r="AF136" s="8" t="str">
        <f>IF(AE136="","",AE136+COUNTIF(AE$2:AE136,AE136)-1)</f>
        <v/>
      </c>
    </row>
    <row r="137" spans="3:42">
      <c r="C137" s="8" t="str">
        <f>IF(B137="","",COUNTIF(B$1:B136,B137)=0)</f>
        <v/>
      </c>
      <c r="D137" s="8" t="str">
        <f>IF(B137="","",IF(C137,COUNTIF(C$2:C137,TRUE),""))</f>
        <v/>
      </c>
      <c r="AC137" s="8" t="str">
        <f t="shared" si="22"/>
        <v/>
      </c>
      <c r="AE137" s="8" t="str">
        <f t="shared" si="23"/>
        <v/>
      </c>
      <c r="AF137" s="8" t="str">
        <f>IF(AE137="","",AE137+COUNTIF(AE$2:AE137,AE137)-1)</f>
        <v/>
      </c>
    </row>
    <row r="138" spans="3:42">
      <c r="C138" s="8" t="str">
        <f>IF(B138="","",COUNTIF(B$1:B137,B138)=0)</f>
        <v/>
      </c>
      <c r="D138" s="8" t="str">
        <f>IF(B138="","",IF(C138,COUNTIF(C$2:C138,TRUE),""))</f>
        <v/>
      </c>
      <c r="AC138" s="8" t="str">
        <f t="shared" si="22"/>
        <v/>
      </c>
      <c r="AE138" s="8" t="str">
        <f t="shared" si="23"/>
        <v/>
      </c>
      <c r="AF138" s="8" t="str">
        <f>IF(AE138="","",AE138+COUNTIF(AE$2:AE138,AE138)-1)</f>
        <v/>
      </c>
    </row>
    <row r="139" spans="3:42">
      <c r="C139" s="8" t="str">
        <f>IF(B139="","",COUNTIF(B$1:B138,B139)=0)</f>
        <v/>
      </c>
      <c r="D139" s="8" t="str">
        <f>IF(B139="","",IF(C139,COUNTIF(C$2:C139,TRUE),""))</f>
        <v/>
      </c>
      <c r="AC139" s="8" t="str">
        <f t="shared" si="22"/>
        <v/>
      </c>
      <c r="AE139" s="8" t="str">
        <f t="shared" si="23"/>
        <v/>
      </c>
      <c r="AF139" s="8" t="str">
        <f>IF(AE139="","",AE139+COUNTIF(AE$2:AE139,AE139)-1)</f>
        <v/>
      </c>
    </row>
    <row r="140" spans="3:42">
      <c r="C140" s="8" t="str">
        <f>IF(B140="","",COUNTIF(B$1:B139,B140)=0)</f>
        <v/>
      </c>
      <c r="D140" s="8" t="str">
        <f>IF(B140="","",IF(C140,COUNTIF(C$2:C140,TRUE),""))</f>
        <v/>
      </c>
      <c r="AC140" s="8" t="str">
        <f t="shared" si="22"/>
        <v/>
      </c>
      <c r="AE140" s="8" t="str">
        <f t="shared" si="23"/>
        <v/>
      </c>
      <c r="AF140" s="8" t="str">
        <f>IF(AE140="","",AE140+COUNTIF(AE$2:AE140,AE140)-1)</f>
        <v/>
      </c>
    </row>
    <row r="141" spans="3:42">
      <c r="C141" s="8" t="str">
        <f>IF(B141="","",COUNTIF(B$1:B140,B141)=0)</f>
        <v/>
      </c>
      <c r="D141" s="8" t="str">
        <f>IF(B141="","",IF(C141,COUNTIF(C$2:C141,TRUE),""))</f>
        <v/>
      </c>
      <c r="AC141" s="8" t="str">
        <f t="shared" si="22"/>
        <v/>
      </c>
      <c r="AE141" s="8" t="str">
        <f t="shared" si="23"/>
        <v/>
      </c>
      <c r="AF141" s="8" t="str">
        <f>IF(AE141="","",AE141+COUNTIF(AE$2:AE141,AE141)-1)</f>
        <v/>
      </c>
    </row>
    <row r="142" spans="3:42">
      <c r="C142" s="8" t="str">
        <f>IF(B142="","",COUNTIF(B$1:B141,B142)=0)</f>
        <v/>
      </c>
      <c r="D142" s="8" t="str">
        <f>IF(B142="","",IF(C142,COUNTIF(C$2:C142,TRUE),""))</f>
        <v/>
      </c>
      <c r="AC142" s="8" t="str">
        <f t="shared" si="22"/>
        <v/>
      </c>
      <c r="AE142" s="8" t="str">
        <f t="shared" si="23"/>
        <v/>
      </c>
      <c r="AF142" s="8" t="str">
        <f>IF(AE142="","",AE142+COUNTIF(AE$2:AE142,AE142)-1)</f>
        <v/>
      </c>
    </row>
    <row r="143" spans="3:42">
      <c r="C143" s="8" t="str">
        <f>IF(B143="","",COUNTIF(B$1:B142,B143)=0)</f>
        <v/>
      </c>
      <c r="D143" s="8" t="str">
        <f>IF(B143="","",IF(C143,COUNTIF(C$2:C143,TRUE),""))</f>
        <v/>
      </c>
      <c r="AC143" s="8" t="str">
        <f t="shared" si="22"/>
        <v/>
      </c>
      <c r="AE143" s="8" t="str">
        <f t="shared" si="23"/>
        <v/>
      </c>
      <c r="AF143" s="8" t="str">
        <f>IF(AE143="","",AE143+COUNTIF(AE$2:AE143,AE143)-1)</f>
        <v/>
      </c>
    </row>
    <row r="144" spans="3:42">
      <c r="C144" s="8" t="str">
        <f>IF(B144="","",COUNTIF(B$1:B143,B144)=0)</f>
        <v/>
      </c>
      <c r="D144" s="8" t="str">
        <f>IF(B144="","",IF(C144,COUNTIF(C$2:C144,TRUE),""))</f>
        <v/>
      </c>
      <c r="AC144" s="8" t="str">
        <f t="shared" si="22"/>
        <v/>
      </c>
      <c r="AE144" s="8" t="str">
        <f t="shared" si="23"/>
        <v/>
      </c>
      <c r="AF144" s="8" t="str">
        <f>IF(AE144="","",AE144+COUNTIF(AE$2:AE144,AE144)-1)</f>
        <v/>
      </c>
    </row>
    <row r="145" spans="3:32">
      <c r="C145" s="8" t="str">
        <f>IF(B145="","",COUNTIF(B$1:B144,B145)=0)</f>
        <v/>
      </c>
      <c r="D145" s="8" t="str">
        <f>IF(B145="","",IF(C145,COUNTIF(C$2:C145,TRUE),""))</f>
        <v/>
      </c>
      <c r="AC145" s="8" t="str">
        <f t="shared" si="22"/>
        <v/>
      </c>
      <c r="AE145" s="8" t="str">
        <f t="shared" si="23"/>
        <v/>
      </c>
      <c r="AF145" s="8" t="str">
        <f>IF(AE145="","",AE145+COUNTIF(AE$2:AE145,AE145)-1)</f>
        <v/>
      </c>
    </row>
    <row r="146" spans="3:32">
      <c r="C146" s="8" t="str">
        <f>IF(B146="","",COUNTIF(B$1:B145,B146)=0)</f>
        <v/>
      </c>
      <c r="D146" s="8" t="str">
        <f>IF(B146="","",IF(C146,COUNTIF(C$2:C146,TRUE),""))</f>
        <v/>
      </c>
      <c r="AC146" s="8" t="str">
        <f t="shared" si="22"/>
        <v/>
      </c>
      <c r="AE146" s="8" t="str">
        <f t="shared" si="23"/>
        <v/>
      </c>
      <c r="AF146" s="8" t="str">
        <f>IF(AE146="","",AE146+COUNTIF(AE$2:AE146,AE146)-1)</f>
        <v/>
      </c>
    </row>
    <row r="147" spans="3:32">
      <c r="C147" s="8" t="str">
        <f>IF(B147="","",COUNTIF(B$1:B146,B147)=0)</f>
        <v/>
      </c>
      <c r="D147" s="8" t="str">
        <f>IF(B147="","",IF(C147,COUNTIF(C$2:C147,TRUE),""))</f>
        <v/>
      </c>
      <c r="AC147" s="8" t="str">
        <f t="shared" si="22"/>
        <v/>
      </c>
      <c r="AE147" s="8" t="str">
        <f t="shared" si="23"/>
        <v/>
      </c>
      <c r="AF147" s="8" t="str">
        <f>IF(AE147="","",AE147+COUNTIF(AE$2:AE147,AE147)-1)</f>
        <v/>
      </c>
    </row>
    <row r="148" spans="3:32">
      <c r="C148" s="8" t="str">
        <f>IF(B148="","",COUNTIF(B$1:B147,B148)=0)</f>
        <v/>
      </c>
      <c r="D148" s="8" t="str">
        <f>IF(B148="","",IF(C148,COUNTIF(C$2:C148,TRUE),""))</f>
        <v/>
      </c>
      <c r="AC148" s="8" t="str">
        <f t="shared" si="22"/>
        <v/>
      </c>
      <c r="AE148" s="8" t="str">
        <f t="shared" si="23"/>
        <v/>
      </c>
      <c r="AF148" s="8" t="str">
        <f>IF(AE148="","",AE148+COUNTIF(AE$2:AE148,AE148)-1)</f>
        <v/>
      </c>
    </row>
    <row r="149" spans="3:32">
      <c r="C149" s="8" t="str">
        <f>IF(B149="","",COUNTIF(B$1:B148,B149)=0)</f>
        <v/>
      </c>
      <c r="D149" s="8" t="str">
        <f>IF(B149="","",IF(C149,COUNTIF(C$2:C149,TRUE),""))</f>
        <v/>
      </c>
      <c r="AC149" s="8" t="str">
        <f t="shared" si="22"/>
        <v/>
      </c>
      <c r="AE149" s="8" t="str">
        <f t="shared" si="23"/>
        <v/>
      </c>
      <c r="AF149" s="8" t="str">
        <f>IF(AE149="","",AE149+COUNTIF(AE$2:AE149,AE149)-1)</f>
        <v/>
      </c>
    </row>
    <row r="150" spans="3:32">
      <c r="C150" s="8" t="str">
        <f>IF(B150="","",COUNTIF(B$1:B149,B150)=0)</f>
        <v/>
      </c>
      <c r="D150" s="8" t="str">
        <f>IF(B150="","",IF(C150,COUNTIF(C$2:C150,TRUE),""))</f>
        <v/>
      </c>
      <c r="AC150" s="8" t="str">
        <f t="shared" si="22"/>
        <v/>
      </c>
      <c r="AE150" s="8" t="str">
        <f t="shared" si="23"/>
        <v/>
      </c>
      <c r="AF150" s="8" t="str">
        <f>IF(AE150="","",AE150+COUNTIF(AE$2:AE150,AE150)-1)</f>
        <v/>
      </c>
    </row>
    <row r="151" spans="3:32">
      <c r="C151" s="8" t="str">
        <f>IF(B151="","",COUNTIF(B$1:B150,B151)=0)</f>
        <v/>
      </c>
      <c r="D151" s="8" t="str">
        <f>IF(B151="","",IF(C151,COUNTIF(C$2:C151,TRUE),""))</f>
        <v/>
      </c>
      <c r="AC151" s="8" t="str">
        <f t="shared" si="22"/>
        <v/>
      </c>
      <c r="AE151" s="8" t="str">
        <f t="shared" si="23"/>
        <v/>
      </c>
      <c r="AF151" s="8" t="str">
        <f>IF(AE151="","",AE151+COUNTIF(AE$2:AE151,AE151)-1)</f>
        <v/>
      </c>
    </row>
    <row r="152" spans="3:32">
      <c r="C152" s="8" t="str">
        <f>IF(B152="","",COUNTIF(B$1:B151,B152)=0)</f>
        <v/>
      </c>
      <c r="D152" s="8" t="str">
        <f>IF(B152="","",IF(C152,COUNTIF(C$2:C152,TRUE),""))</f>
        <v/>
      </c>
      <c r="AC152" s="8" t="str">
        <f t="shared" si="22"/>
        <v/>
      </c>
      <c r="AE152" s="8" t="str">
        <f t="shared" si="23"/>
        <v/>
      </c>
      <c r="AF152" s="8" t="str">
        <f>IF(AE152="","",AE152+COUNTIF(AE$2:AE152,AE152)-1)</f>
        <v/>
      </c>
    </row>
    <row r="153" spans="3:32">
      <c r="C153" s="8" t="str">
        <f>IF(B153="","",COUNTIF(B$1:B152,B153)=0)</f>
        <v/>
      </c>
      <c r="D153" s="8" t="str">
        <f>IF(B153="","",IF(C153,COUNTIF(C$2:C153,TRUE),""))</f>
        <v/>
      </c>
      <c r="AC153" s="8" t="str">
        <f t="shared" si="22"/>
        <v/>
      </c>
      <c r="AE153" s="8" t="str">
        <f t="shared" si="23"/>
        <v/>
      </c>
      <c r="AF153" s="8" t="str">
        <f>IF(AE153="","",AE153+COUNTIF(AE$2:AE153,AE153)-1)</f>
        <v/>
      </c>
    </row>
    <row r="154" spans="3:32">
      <c r="C154" s="8" t="str">
        <f>IF(B154="","",COUNTIF(B$1:B153,B154)=0)</f>
        <v/>
      </c>
      <c r="D154" s="8" t="str">
        <f>IF(B154="","",IF(C154,COUNTIF(C$2:C154,TRUE),""))</f>
        <v/>
      </c>
      <c r="AC154" s="8" t="str">
        <f t="shared" si="22"/>
        <v/>
      </c>
      <c r="AE154" s="8" t="str">
        <f t="shared" si="23"/>
        <v/>
      </c>
      <c r="AF154" s="8" t="str">
        <f>IF(AE154="","",AE154+COUNTIF(AE$2:AE154,AE154)-1)</f>
        <v/>
      </c>
    </row>
    <row r="155" spans="3:32">
      <c r="C155" s="8" t="str">
        <f>IF(B155="","",COUNTIF(B$1:B154,B155)=0)</f>
        <v/>
      </c>
      <c r="D155" s="8" t="str">
        <f>IF(B155="","",IF(C155,COUNTIF(C$2:C155,TRUE),""))</f>
        <v/>
      </c>
      <c r="AC155" s="8" t="str">
        <f t="shared" si="22"/>
        <v/>
      </c>
      <c r="AE155" s="8" t="str">
        <f t="shared" si="23"/>
        <v/>
      </c>
      <c r="AF155" s="8" t="str">
        <f>IF(AE155="","",AE155+COUNTIF(AE$2:AE155,AE155)-1)</f>
        <v/>
      </c>
    </row>
    <row r="156" spans="3:32">
      <c r="C156" s="8" t="str">
        <f>IF(B156="","",COUNTIF(B$1:B155,B156)=0)</f>
        <v/>
      </c>
      <c r="D156" s="8" t="str">
        <f>IF(B156="","",IF(C156,COUNTIF(C$2:C156,TRUE),""))</f>
        <v/>
      </c>
      <c r="AC156" s="8" t="str">
        <f t="shared" si="22"/>
        <v/>
      </c>
      <c r="AE156" s="8" t="str">
        <f t="shared" si="23"/>
        <v/>
      </c>
      <c r="AF156" s="8" t="str">
        <f>IF(AE156="","",AE156+COUNTIF(AE$2:AE156,AE156)-1)</f>
        <v/>
      </c>
    </row>
    <row r="157" spans="3:32">
      <c r="C157" s="8" t="str">
        <f>IF(B157="","",COUNTIF(B$1:B156,B157)=0)</f>
        <v/>
      </c>
      <c r="D157" s="8" t="str">
        <f>IF(B157="","",IF(C157,COUNTIF(C$2:C157,TRUE),""))</f>
        <v/>
      </c>
      <c r="AC157" s="8" t="str">
        <f t="shared" si="22"/>
        <v/>
      </c>
      <c r="AE157" s="8" t="str">
        <f t="shared" si="23"/>
        <v/>
      </c>
      <c r="AF157" s="8" t="str">
        <f>IF(AE157="","",AE157+COUNTIF(AE$2:AE157,AE157)-1)</f>
        <v/>
      </c>
    </row>
    <row r="158" spans="3:32">
      <c r="C158" s="8" t="str">
        <f>IF(B158="","",COUNTIF(B$1:B157,B158)=0)</f>
        <v/>
      </c>
      <c r="D158" s="8" t="str">
        <f>IF(B158="","",IF(C158,COUNTIF(C$2:C158,TRUE),""))</f>
        <v/>
      </c>
      <c r="AC158" s="8" t="str">
        <f t="shared" si="22"/>
        <v/>
      </c>
      <c r="AE158" s="8" t="str">
        <f t="shared" si="23"/>
        <v/>
      </c>
      <c r="AF158" s="8" t="str">
        <f>IF(AE158="","",AE158+COUNTIF(AE$2:AE158,AE158)-1)</f>
        <v/>
      </c>
    </row>
    <row r="159" spans="3:32">
      <c r="C159" s="8" t="str">
        <f>IF(B159="","",COUNTIF(B$1:B158,B159)=0)</f>
        <v/>
      </c>
      <c r="D159" s="8" t="str">
        <f>IF(B159="","",IF(C159,COUNTIF(C$2:C159,TRUE),""))</f>
        <v/>
      </c>
      <c r="AC159" s="8" t="str">
        <f t="shared" si="22"/>
        <v/>
      </c>
      <c r="AE159" s="8" t="str">
        <f t="shared" si="23"/>
        <v/>
      </c>
      <c r="AF159" s="8" t="str">
        <f>IF(AE159="","",AE159+COUNTIF(AE$2:AE159,AE159)-1)</f>
        <v/>
      </c>
    </row>
    <row r="160" spans="3:32">
      <c r="C160" s="8" t="str">
        <f>IF(B160="","",COUNTIF(B$1:B159,B160)=0)</f>
        <v/>
      </c>
      <c r="D160" s="8" t="str">
        <f>IF(B160="","",IF(C160,COUNTIF(C$2:C160,TRUE),""))</f>
        <v/>
      </c>
      <c r="AC160" s="8" t="str">
        <f t="shared" si="22"/>
        <v/>
      </c>
      <c r="AE160" s="8" t="str">
        <f t="shared" si="23"/>
        <v/>
      </c>
      <c r="AF160" s="8" t="str">
        <f>IF(AE160="","",AE160+COUNTIF(AE$2:AE160,AE160)-1)</f>
        <v/>
      </c>
    </row>
    <row r="161" spans="3:32">
      <c r="C161" s="8" t="str">
        <f>IF(B161="","",COUNTIF(B$1:B160,B161)=0)</f>
        <v/>
      </c>
      <c r="D161" s="8" t="str">
        <f>IF(B161="","",IF(C161,COUNTIF(C$2:C161,TRUE),""))</f>
        <v/>
      </c>
      <c r="AC161" s="8" t="str">
        <f t="shared" si="22"/>
        <v/>
      </c>
      <c r="AE161" s="8" t="str">
        <f t="shared" si="23"/>
        <v/>
      </c>
      <c r="AF161" s="8" t="str">
        <f>IF(AE161="","",AE161+COUNTIF(AE$2:AE161,AE161)-1)</f>
        <v/>
      </c>
    </row>
    <row r="162" spans="3:32">
      <c r="C162" s="8" t="str">
        <f>IF(B162="","",COUNTIF(B$1:B161,B162)=0)</f>
        <v/>
      </c>
      <c r="D162" s="8" t="str">
        <f>IF(B162="","",IF(C162,COUNTIF(C$2:C162,TRUE),""))</f>
        <v/>
      </c>
      <c r="AC162" s="8" t="str">
        <f t="shared" si="22"/>
        <v/>
      </c>
      <c r="AE162" s="8" t="str">
        <f t="shared" si="23"/>
        <v/>
      </c>
      <c r="AF162" s="8" t="str">
        <f>IF(AE162="","",AE162+COUNTIF(AE$2:AE162,AE162)-1)</f>
        <v/>
      </c>
    </row>
    <row r="163" spans="3:32">
      <c r="C163" s="8" t="str">
        <f>IF(B163="","",COUNTIF(B$1:B162,B163)=0)</f>
        <v/>
      </c>
      <c r="D163" s="8" t="str">
        <f>IF(B163="","",IF(C163,COUNTIF(C$2:C163,TRUE),""))</f>
        <v/>
      </c>
      <c r="AC163" s="8" t="str">
        <f t="shared" si="22"/>
        <v/>
      </c>
      <c r="AE163" s="8" t="str">
        <f t="shared" si="23"/>
        <v/>
      </c>
      <c r="AF163" s="8" t="str">
        <f>IF(AE163="","",AE163+COUNTIF(AE$2:AE163,AE163)-1)</f>
        <v/>
      </c>
    </row>
    <row r="164" spans="3:32">
      <c r="C164" s="8" t="str">
        <f>IF(B164="","",COUNTIF(B$1:B163,B164)=0)</f>
        <v/>
      </c>
      <c r="D164" s="8" t="str">
        <f>IF(B164="","",IF(C164,COUNTIF(C$2:C164,TRUE),""))</f>
        <v/>
      </c>
      <c r="AC164" s="8" t="str">
        <f t="shared" si="22"/>
        <v/>
      </c>
      <c r="AE164" s="8" t="str">
        <f t="shared" si="23"/>
        <v/>
      </c>
      <c r="AF164" s="8" t="str">
        <f>IF(AE164="","",AE164+COUNTIF(AE$2:AE164,AE164)-1)</f>
        <v/>
      </c>
    </row>
    <row r="165" spans="3:32">
      <c r="C165" s="8" t="str">
        <f>IF(B165="","",COUNTIF(B$1:B164,B165)=0)</f>
        <v/>
      </c>
      <c r="D165" s="8" t="str">
        <f>IF(B165="","",IF(C165,COUNTIF(C$2:C165,TRUE),""))</f>
        <v/>
      </c>
      <c r="AC165" s="8" t="str">
        <f t="shared" si="22"/>
        <v/>
      </c>
      <c r="AE165" s="8" t="str">
        <f t="shared" si="23"/>
        <v/>
      </c>
      <c r="AF165" s="8" t="str">
        <f>IF(AE165="","",AE165+COUNTIF(AE$2:AE165,AE165)-1)</f>
        <v/>
      </c>
    </row>
    <row r="166" spans="3:32">
      <c r="C166" s="8" t="str">
        <f>IF(B166="","",COUNTIF(B$1:B165,B166)=0)</f>
        <v/>
      </c>
      <c r="D166" s="8" t="str">
        <f>IF(B166="","",IF(C166,COUNTIF(C$2:C166,TRUE),""))</f>
        <v/>
      </c>
      <c r="AC166" s="8" t="str">
        <f t="shared" si="22"/>
        <v/>
      </c>
      <c r="AE166" s="8" t="str">
        <f t="shared" si="23"/>
        <v/>
      </c>
      <c r="AF166" s="8" t="str">
        <f>IF(AE166="","",AE166+COUNTIF(AE$2:AE166,AE166)-1)</f>
        <v/>
      </c>
    </row>
    <row r="167" spans="3:32">
      <c r="C167" s="8" t="str">
        <f>IF(B167="","",COUNTIF(B$1:B166,B167)=0)</f>
        <v/>
      </c>
      <c r="D167" s="8" t="str">
        <f>IF(B167="","",IF(C167,COUNTIF(C$2:C167,TRUE),""))</f>
        <v/>
      </c>
      <c r="AC167" s="8" t="str">
        <f t="shared" ref="AC167:AC230" si="24">IF(ISBLANK(AB167),"",COUNTIF(Z:Z,AB167))</f>
        <v/>
      </c>
      <c r="AE167" s="8" t="str">
        <f t="shared" si="23"/>
        <v/>
      </c>
      <c r="AF167" s="8" t="str">
        <f>IF(AE167="","",AE167+COUNTIF(AE$2:AE167,AE167)-1)</f>
        <v/>
      </c>
    </row>
    <row r="168" spans="3:32">
      <c r="C168" s="8" t="str">
        <f>IF(B168="","",COUNTIF(B$1:B167,B168)=0)</f>
        <v/>
      </c>
      <c r="D168" s="8" t="str">
        <f>IF(B168="","",IF(C168,COUNTIF(C$2:C168,TRUE),""))</f>
        <v/>
      </c>
      <c r="AC168" s="8" t="str">
        <f t="shared" si="24"/>
        <v/>
      </c>
      <c r="AE168" s="8" t="str">
        <f t="shared" si="23"/>
        <v/>
      </c>
      <c r="AF168" s="8" t="str">
        <f>IF(AE168="","",AE168+COUNTIF(AE$2:AE168,AE168)-1)</f>
        <v/>
      </c>
    </row>
    <row r="169" spans="3:32">
      <c r="C169" s="8" t="str">
        <f>IF(B169="","",COUNTIF(B$1:B168,B169)=0)</f>
        <v/>
      </c>
      <c r="D169" s="8" t="str">
        <f>IF(B169="","",IF(C169,COUNTIF(C$2:C169,TRUE),""))</f>
        <v/>
      </c>
      <c r="AC169" s="8" t="str">
        <f t="shared" si="24"/>
        <v/>
      </c>
      <c r="AE169" s="8" t="str">
        <f t="shared" si="23"/>
        <v/>
      </c>
      <c r="AF169" s="8" t="str">
        <f>IF(AE169="","",AE169+COUNTIF(AE$2:AE169,AE169)-1)</f>
        <v/>
      </c>
    </row>
    <row r="170" spans="3:32">
      <c r="C170" s="8" t="str">
        <f>IF(B170="","",COUNTIF(B$1:B169,B170)=0)</f>
        <v/>
      </c>
      <c r="D170" s="8" t="str">
        <f>IF(B170="","",IF(C170,COUNTIF(C$2:C170,TRUE),""))</f>
        <v/>
      </c>
      <c r="AC170" s="8" t="str">
        <f t="shared" si="24"/>
        <v/>
      </c>
      <c r="AE170" s="8" t="str">
        <f t="shared" si="23"/>
        <v/>
      </c>
      <c r="AF170" s="8" t="str">
        <f>IF(AE170="","",AE170+COUNTIF(AE$2:AE170,AE170)-1)</f>
        <v/>
      </c>
    </row>
    <row r="171" spans="3:32">
      <c r="C171" s="8" t="str">
        <f>IF(B171="","",COUNTIF(B$1:B170,B171)=0)</f>
        <v/>
      </c>
      <c r="D171" s="8" t="str">
        <f>IF(B171="","",IF(C171,COUNTIF(C$2:C171,TRUE),""))</f>
        <v/>
      </c>
      <c r="AC171" s="8" t="str">
        <f t="shared" si="24"/>
        <v/>
      </c>
      <c r="AE171" s="8" t="str">
        <f t="shared" si="23"/>
        <v/>
      </c>
      <c r="AF171" s="8" t="str">
        <f>IF(AE171="","",AE171+COUNTIF(AE$2:AE171,AE171)-1)</f>
        <v/>
      </c>
    </row>
    <row r="172" spans="3:32">
      <c r="C172" s="8" t="str">
        <f>IF(B172="","",COUNTIF(B$1:B171,B172)=0)</f>
        <v/>
      </c>
      <c r="D172" s="8" t="str">
        <f>IF(B172="","",IF(C172,COUNTIF(C$2:C172,TRUE),""))</f>
        <v/>
      </c>
      <c r="AC172" s="8" t="str">
        <f t="shared" si="24"/>
        <v/>
      </c>
      <c r="AE172" s="8" t="str">
        <f t="shared" si="23"/>
        <v/>
      </c>
      <c r="AF172" s="8" t="str">
        <f>IF(AE172="","",AE172+COUNTIF(AE$2:AE172,AE172)-1)</f>
        <v/>
      </c>
    </row>
    <row r="173" spans="3:32">
      <c r="C173" s="8" t="str">
        <f>IF(B173="","",COUNTIF(B$1:B172,B173)=0)</f>
        <v/>
      </c>
      <c r="D173" s="8" t="str">
        <f>IF(B173="","",IF(C173,COUNTIF(C$2:C173,TRUE),""))</f>
        <v/>
      </c>
      <c r="AC173" s="8" t="str">
        <f t="shared" si="24"/>
        <v/>
      </c>
      <c r="AE173" s="8" t="str">
        <f t="shared" si="23"/>
        <v/>
      </c>
      <c r="AF173" s="8" t="str">
        <f>IF(AE173="","",AE173+COUNTIF(AE$2:AE173,AE173)-1)</f>
        <v/>
      </c>
    </row>
    <row r="174" spans="3:32">
      <c r="C174" s="8" t="str">
        <f>IF(B174="","",COUNTIF(B$1:B173,B174)=0)</f>
        <v/>
      </c>
      <c r="D174" s="8" t="str">
        <f>IF(B174="","",IF(C174,COUNTIF(C$2:C174,TRUE),""))</f>
        <v/>
      </c>
      <c r="AC174" s="8" t="str">
        <f t="shared" si="24"/>
        <v/>
      </c>
      <c r="AE174" s="8" t="str">
        <f t="shared" si="23"/>
        <v/>
      </c>
      <c r="AF174" s="8" t="str">
        <f>IF(AE174="","",AE174+COUNTIF(AE$2:AE174,AE174)-1)</f>
        <v/>
      </c>
    </row>
    <row r="175" spans="3:32">
      <c r="C175" s="8" t="str">
        <f>IF(B175="","",COUNTIF(B$1:B174,B175)=0)</f>
        <v/>
      </c>
      <c r="D175" s="8" t="str">
        <f>IF(B175="","",IF(C175,COUNTIF(C$2:C175,TRUE),""))</f>
        <v/>
      </c>
      <c r="AC175" s="8" t="str">
        <f t="shared" si="24"/>
        <v/>
      </c>
      <c r="AE175" s="8" t="str">
        <f t="shared" si="23"/>
        <v/>
      </c>
      <c r="AF175" s="8" t="str">
        <f>IF(AE175="","",AE175+COUNTIF(AE$2:AE175,AE175)-1)</f>
        <v/>
      </c>
    </row>
    <row r="176" spans="3:32">
      <c r="C176" s="8" t="str">
        <f>IF(B176="","",COUNTIF(B$1:B175,B176)=0)</f>
        <v/>
      </c>
      <c r="D176" s="8" t="str">
        <f>IF(B176="","",IF(C176,COUNTIF(C$2:C176,TRUE),""))</f>
        <v/>
      </c>
      <c r="AC176" s="8" t="str">
        <f t="shared" si="24"/>
        <v/>
      </c>
      <c r="AE176" s="8" t="str">
        <f t="shared" si="23"/>
        <v/>
      </c>
      <c r="AF176" s="8" t="str">
        <f>IF(AE176="","",AE176+COUNTIF(AE$2:AE176,AE176)-1)</f>
        <v/>
      </c>
    </row>
    <row r="177" spans="3:32">
      <c r="C177" s="8" t="str">
        <f>IF(B177="","",COUNTIF(B$1:B176,B177)=0)</f>
        <v/>
      </c>
      <c r="D177" s="8" t="str">
        <f>IF(B177="","",IF(C177,COUNTIF(C$2:C177,TRUE),""))</f>
        <v/>
      </c>
      <c r="AC177" s="8" t="str">
        <f t="shared" si="24"/>
        <v/>
      </c>
      <c r="AE177" s="8" t="str">
        <f t="shared" si="23"/>
        <v/>
      </c>
      <c r="AF177" s="8" t="str">
        <f>IF(AE177="","",AE177+COUNTIF(AE$2:AE177,AE177)-1)</f>
        <v/>
      </c>
    </row>
    <row r="178" spans="3:32">
      <c r="C178" s="8" t="str">
        <f>IF(B178="","",COUNTIF(B$1:B177,B178)=0)</f>
        <v/>
      </c>
      <c r="D178" s="8" t="str">
        <f>IF(B178="","",IF(C178,COUNTIF(C$2:C178,TRUE),""))</f>
        <v/>
      </c>
      <c r="AC178" s="8" t="str">
        <f t="shared" si="24"/>
        <v/>
      </c>
      <c r="AE178" s="8" t="str">
        <f t="shared" si="23"/>
        <v/>
      </c>
      <c r="AF178" s="8" t="str">
        <f>IF(AE178="","",AE178+COUNTIF(AE$2:AE178,AE178)-1)</f>
        <v/>
      </c>
    </row>
    <row r="179" spans="3:32">
      <c r="C179" s="8" t="str">
        <f>IF(B179="","",COUNTIF(B$1:B178,B179)=0)</f>
        <v/>
      </c>
      <c r="D179" s="8" t="str">
        <f>IF(B179="","",IF(C179,COUNTIF(C$2:C179,TRUE),""))</f>
        <v/>
      </c>
      <c r="AC179" s="8" t="str">
        <f t="shared" si="24"/>
        <v/>
      </c>
      <c r="AE179" s="8" t="str">
        <f t="shared" si="23"/>
        <v/>
      </c>
      <c r="AF179" s="8" t="str">
        <f>IF(AE179="","",AE179+COUNTIF(AE$2:AE179,AE179)-1)</f>
        <v/>
      </c>
    </row>
    <row r="180" spans="3:32">
      <c r="C180" s="8" t="str">
        <f>IF(B180="","",COUNTIF(B$1:B179,B180)=0)</f>
        <v/>
      </c>
      <c r="D180" s="8" t="str">
        <f>IF(B180="","",IF(C180,COUNTIF(C$2:C180,TRUE),""))</f>
        <v/>
      </c>
      <c r="AC180" s="8" t="str">
        <f t="shared" si="24"/>
        <v/>
      </c>
      <c r="AE180" s="8" t="str">
        <f t="shared" si="23"/>
        <v/>
      </c>
      <c r="AF180" s="8" t="str">
        <f>IF(AE180="","",AE180+COUNTIF(AE$2:AE180,AE180)-1)</f>
        <v/>
      </c>
    </row>
    <row r="181" spans="3:32">
      <c r="C181" s="8" t="str">
        <f>IF(B181="","",COUNTIF(B$1:B180,B181)=0)</f>
        <v/>
      </c>
      <c r="D181" s="8" t="str">
        <f>IF(B181="","",IF(C181,COUNTIF(C$2:C181,TRUE),""))</f>
        <v/>
      </c>
      <c r="AC181" s="8" t="str">
        <f t="shared" si="24"/>
        <v/>
      </c>
      <c r="AE181" s="8" t="str">
        <f t="shared" si="23"/>
        <v/>
      </c>
      <c r="AF181" s="8" t="str">
        <f>IF(AE181="","",AE181+COUNTIF(AE$2:AE181,AE181)-1)</f>
        <v/>
      </c>
    </row>
    <row r="182" spans="3:32">
      <c r="C182" s="8" t="str">
        <f>IF(B182="","",COUNTIF(B$1:B181,B182)=0)</f>
        <v/>
      </c>
      <c r="D182" s="8" t="str">
        <f>IF(B182="","",IF(C182,COUNTIF(C$2:C182,TRUE),""))</f>
        <v/>
      </c>
      <c r="AC182" s="8" t="str">
        <f t="shared" si="24"/>
        <v/>
      </c>
      <c r="AE182" s="8" t="str">
        <f t="shared" si="23"/>
        <v/>
      </c>
      <c r="AF182" s="8" t="str">
        <f>IF(AE182="","",AE182+COUNTIF(AE$2:AE182,AE182)-1)</f>
        <v/>
      </c>
    </row>
    <row r="183" spans="3:32">
      <c r="C183" s="8" t="str">
        <f>IF(B183="","",COUNTIF(B$1:B182,B183)=0)</f>
        <v/>
      </c>
      <c r="D183" s="8" t="str">
        <f>IF(B183="","",IF(C183,COUNTIF(C$2:C183,TRUE),""))</f>
        <v/>
      </c>
      <c r="AC183" s="8" t="str">
        <f t="shared" si="24"/>
        <v/>
      </c>
      <c r="AE183" s="8" t="str">
        <f t="shared" si="23"/>
        <v/>
      </c>
      <c r="AF183" s="8" t="str">
        <f>IF(AE183="","",AE183+COUNTIF(AE$2:AE183,AE183)-1)</f>
        <v/>
      </c>
    </row>
    <row r="184" spans="3:32">
      <c r="C184" s="8" t="str">
        <f>IF(B184="","",COUNTIF(B$1:B183,B184)=0)</f>
        <v/>
      </c>
      <c r="D184" s="8" t="str">
        <f>IF(B184="","",IF(C184,COUNTIF(C$2:C184,TRUE),""))</f>
        <v/>
      </c>
      <c r="AC184" s="8" t="str">
        <f t="shared" si="24"/>
        <v/>
      </c>
      <c r="AE184" s="8" t="str">
        <f t="shared" si="23"/>
        <v/>
      </c>
      <c r="AF184" s="8" t="str">
        <f>IF(AE184="","",AE184+COUNTIF(AE$2:AE184,AE184)-1)</f>
        <v/>
      </c>
    </row>
    <row r="185" spans="3:32">
      <c r="C185" s="8" t="str">
        <f>IF(B185="","",COUNTIF(B$1:B184,B185)=0)</f>
        <v/>
      </c>
      <c r="D185" s="8" t="str">
        <f>IF(B185="","",IF(C185,COUNTIF(C$2:C185,TRUE),""))</f>
        <v/>
      </c>
      <c r="AC185" s="8" t="str">
        <f t="shared" si="24"/>
        <v/>
      </c>
      <c r="AE185" s="8" t="str">
        <f t="shared" si="23"/>
        <v/>
      </c>
      <c r="AF185" s="8" t="str">
        <f>IF(AE185="","",AE185+COUNTIF(AE$2:AE185,AE185)-1)</f>
        <v/>
      </c>
    </row>
    <row r="186" spans="3:32">
      <c r="C186" s="8" t="str">
        <f>IF(B186="","",COUNTIF(B$1:B185,B186)=0)</f>
        <v/>
      </c>
      <c r="D186" s="8" t="str">
        <f>IF(B186="","",IF(C186,COUNTIF(C$2:C186,TRUE),""))</f>
        <v/>
      </c>
      <c r="AC186" s="8" t="str">
        <f t="shared" si="24"/>
        <v/>
      </c>
      <c r="AE186" s="8" t="str">
        <f t="shared" si="23"/>
        <v/>
      </c>
      <c r="AF186" s="8" t="str">
        <f>IF(AE186="","",AE186+COUNTIF(AE$2:AE186,AE186)-1)</f>
        <v/>
      </c>
    </row>
    <row r="187" spans="3:32">
      <c r="C187" s="8" t="str">
        <f>IF(B187="","",COUNTIF(B$1:B186,B187)=0)</f>
        <v/>
      </c>
      <c r="D187" s="8" t="str">
        <f>IF(B187="","",IF(C187,COUNTIF(C$2:C187,TRUE),""))</f>
        <v/>
      </c>
      <c r="AC187" s="8" t="str">
        <f t="shared" si="24"/>
        <v/>
      </c>
      <c r="AE187" s="8" t="str">
        <f t="shared" si="23"/>
        <v/>
      </c>
      <c r="AF187" s="8" t="str">
        <f>IF(AE187="","",AE187+COUNTIF(AE$2:AE187,AE187)-1)</f>
        <v/>
      </c>
    </row>
    <row r="188" spans="3:32">
      <c r="C188" s="8" t="str">
        <f>IF(B188="","",COUNTIF(B$1:B187,B188)=0)</f>
        <v/>
      </c>
      <c r="D188" s="8" t="str">
        <f>IF(B188="","",IF(C188,COUNTIF(C$2:C188,TRUE),""))</f>
        <v/>
      </c>
      <c r="AC188" s="8" t="str">
        <f t="shared" si="24"/>
        <v/>
      </c>
      <c r="AE188" s="8" t="str">
        <f t="shared" si="23"/>
        <v/>
      </c>
      <c r="AF188" s="8" t="str">
        <f>IF(AE188="","",AE188+COUNTIF(AE$2:AE188,AE188)-1)</f>
        <v/>
      </c>
    </row>
    <row r="189" spans="3:32">
      <c r="C189" s="8" t="str">
        <f>IF(B189="","",COUNTIF(B$1:B188,B189)=0)</f>
        <v/>
      </c>
      <c r="D189" s="8" t="str">
        <f>IF(B189="","",IF(C189,COUNTIF(C$2:C189,TRUE),""))</f>
        <v/>
      </c>
      <c r="AC189" s="8" t="str">
        <f t="shared" si="24"/>
        <v/>
      </c>
      <c r="AE189" s="8" t="str">
        <f t="shared" si="23"/>
        <v/>
      </c>
      <c r="AF189" s="8" t="str">
        <f>IF(AE189="","",AE189+COUNTIF(AE$2:AE189,AE189)-1)</f>
        <v/>
      </c>
    </row>
    <row r="190" spans="3:32">
      <c r="C190" s="8" t="str">
        <f>IF(B190="","",COUNTIF(B$1:B189,B190)=0)</f>
        <v/>
      </c>
      <c r="D190" s="8" t="str">
        <f>IF(B190="","",IF(C190,COUNTIF(C$2:C190,TRUE),""))</f>
        <v/>
      </c>
      <c r="AC190" s="8" t="str">
        <f t="shared" si="24"/>
        <v/>
      </c>
      <c r="AE190" s="8" t="str">
        <f t="shared" si="23"/>
        <v/>
      </c>
      <c r="AF190" s="8" t="str">
        <f>IF(AE190="","",AE190+COUNTIF(AE$2:AE190,AE190)-1)</f>
        <v/>
      </c>
    </row>
    <row r="191" spans="3:32">
      <c r="C191" s="8" t="str">
        <f>IF(B191="","",COUNTIF(B$1:B190,B191)=0)</f>
        <v/>
      </c>
      <c r="D191" s="8" t="str">
        <f>IF(B191="","",IF(C191,COUNTIF(C$2:C191,TRUE),""))</f>
        <v/>
      </c>
      <c r="AC191" s="8" t="str">
        <f t="shared" si="24"/>
        <v/>
      </c>
      <c r="AE191" s="8" t="str">
        <f t="shared" si="23"/>
        <v/>
      </c>
      <c r="AF191" s="8" t="str">
        <f>IF(AE191="","",AE191+COUNTIF(AE$2:AE191,AE191)-1)</f>
        <v/>
      </c>
    </row>
    <row r="192" spans="3:32">
      <c r="C192" s="8" t="str">
        <f>IF(B192="","",COUNTIF(B$1:B191,B192)=0)</f>
        <v/>
      </c>
      <c r="D192" s="8" t="str">
        <f>IF(B192="","",IF(C192,COUNTIF(C$2:C192,TRUE),""))</f>
        <v/>
      </c>
      <c r="AC192" s="8" t="str">
        <f t="shared" si="24"/>
        <v/>
      </c>
      <c r="AE192" s="8" t="str">
        <f t="shared" si="23"/>
        <v/>
      </c>
      <c r="AF192" s="8" t="str">
        <f>IF(AE192="","",AE192+COUNTIF(AE$2:AE192,AE192)-1)</f>
        <v/>
      </c>
    </row>
    <row r="193" spans="3:32">
      <c r="C193" s="8" t="str">
        <f>IF(B193="","",COUNTIF(B$1:B192,B193)=0)</f>
        <v/>
      </c>
      <c r="D193" s="8" t="str">
        <f>IF(B193="","",IF(C193,COUNTIF(C$2:C193,TRUE),""))</f>
        <v/>
      </c>
      <c r="AC193" s="8" t="str">
        <f t="shared" si="24"/>
        <v/>
      </c>
      <c r="AE193" s="8" t="str">
        <f t="shared" si="23"/>
        <v/>
      </c>
      <c r="AF193" s="8" t="str">
        <f>IF(AE193="","",AE193+COUNTIF(AE$2:AE193,AE193)-1)</f>
        <v/>
      </c>
    </row>
    <row r="194" spans="3:32">
      <c r="C194" s="8" t="str">
        <f>IF(B194="","",COUNTIF(B$1:B193,B194)=0)</f>
        <v/>
      </c>
      <c r="D194" s="8" t="str">
        <f>IF(B194="","",IF(C194,COUNTIF(C$2:C194,TRUE),""))</f>
        <v/>
      </c>
      <c r="AC194" s="8" t="str">
        <f t="shared" si="24"/>
        <v/>
      </c>
      <c r="AE194" s="8" t="str">
        <f t="shared" ref="AE194:AE255" si="25">IF(ISBLANK(AD194),"",RANK(AD194,AD$2:AD$256,0))</f>
        <v/>
      </c>
      <c r="AF194" s="8" t="str">
        <f>IF(AE194="","",AE194+COUNTIF(AE$2:AE194,AE194)-1)</f>
        <v/>
      </c>
    </row>
    <row r="195" spans="3:32">
      <c r="C195" s="8" t="str">
        <f>IF(B195="","",COUNTIF(B$1:B194,B195)=0)</f>
        <v/>
      </c>
      <c r="D195" s="8" t="str">
        <f>IF(B195="","",IF(C195,COUNTIF(C$2:C195,TRUE),""))</f>
        <v/>
      </c>
      <c r="AC195" s="8" t="str">
        <f t="shared" si="24"/>
        <v/>
      </c>
      <c r="AE195" s="8" t="str">
        <f t="shared" si="25"/>
        <v/>
      </c>
      <c r="AF195" s="8" t="str">
        <f>IF(AE195="","",AE195+COUNTIF(AE$2:AE195,AE195)-1)</f>
        <v/>
      </c>
    </row>
    <row r="196" spans="3:32">
      <c r="C196" s="8" t="str">
        <f>IF(B196="","",COUNTIF(B$1:B195,B196)=0)</f>
        <v/>
      </c>
      <c r="D196" s="8" t="str">
        <f>IF(B196="","",IF(C196,COUNTIF(C$2:C196,TRUE),""))</f>
        <v/>
      </c>
      <c r="AC196" s="8" t="str">
        <f t="shared" si="24"/>
        <v/>
      </c>
      <c r="AE196" s="8" t="str">
        <f t="shared" si="25"/>
        <v/>
      </c>
      <c r="AF196" s="8" t="str">
        <f>IF(AE196="","",AE196+COUNTIF(AE$2:AE196,AE196)-1)</f>
        <v/>
      </c>
    </row>
    <row r="197" spans="3:32">
      <c r="C197" s="8" t="str">
        <f>IF(B197="","",COUNTIF(B$1:B196,B197)=0)</f>
        <v/>
      </c>
      <c r="D197" s="8" t="str">
        <f>IF(B197="","",IF(C197,COUNTIF(C$2:C197,TRUE),""))</f>
        <v/>
      </c>
      <c r="AC197" s="8" t="str">
        <f t="shared" si="24"/>
        <v/>
      </c>
      <c r="AE197" s="8" t="str">
        <f t="shared" si="25"/>
        <v/>
      </c>
      <c r="AF197" s="8" t="str">
        <f>IF(AE197="","",AE197+COUNTIF(AE$2:AE197,AE197)-1)</f>
        <v/>
      </c>
    </row>
    <row r="198" spans="3:32">
      <c r="C198" s="8" t="str">
        <f>IF(B198="","",COUNTIF(B$1:B197,B198)=0)</f>
        <v/>
      </c>
      <c r="D198" s="8" t="str">
        <f>IF(B198="","",IF(C198,COUNTIF(C$2:C198,TRUE),""))</f>
        <v/>
      </c>
      <c r="AC198" s="8" t="str">
        <f t="shared" si="24"/>
        <v/>
      </c>
      <c r="AE198" s="8" t="str">
        <f t="shared" si="25"/>
        <v/>
      </c>
      <c r="AF198" s="8" t="str">
        <f>IF(AE198="","",AE198+COUNTIF(AE$2:AE198,AE198)-1)</f>
        <v/>
      </c>
    </row>
    <row r="199" spans="3:32">
      <c r="C199" s="8" t="str">
        <f>IF(B199="","",COUNTIF(B$1:B198,B199)=0)</f>
        <v/>
      </c>
      <c r="D199" s="8" t="str">
        <f>IF(B199="","",IF(C199,COUNTIF(C$2:C199,TRUE),""))</f>
        <v/>
      </c>
      <c r="AC199" s="8" t="str">
        <f t="shared" si="24"/>
        <v/>
      </c>
      <c r="AE199" s="8" t="str">
        <f t="shared" si="25"/>
        <v/>
      </c>
      <c r="AF199" s="8" t="str">
        <f>IF(AE199="","",AE199+COUNTIF(AE$2:AE199,AE199)-1)</f>
        <v/>
      </c>
    </row>
    <row r="200" spans="3:32">
      <c r="C200" s="8" t="str">
        <f>IF(B200="","",COUNTIF(B$1:B199,B200)=0)</f>
        <v/>
      </c>
      <c r="D200" s="8" t="str">
        <f>IF(B200="","",IF(C200,COUNTIF(C$2:C200,TRUE),""))</f>
        <v/>
      </c>
      <c r="AC200" s="8" t="str">
        <f t="shared" si="24"/>
        <v/>
      </c>
      <c r="AE200" s="8" t="str">
        <f t="shared" si="25"/>
        <v/>
      </c>
      <c r="AF200" s="8" t="str">
        <f>IF(AE200="","",AE200+COUNTIF(AE$2:AE200,AE200)-1)</f>
        <v/>
      </c>
    </row>
    <row r="201" spans="3:32">
      <c r="C201" s="8" t="str">
        <f>IF(B201="","",COUNTIF(B$1:B200,B201)=0)</f>
        <v/>
      </c>
      <c r="D201" s="8" t="str">
        <f>IF(B201="","",IF(C201,COUNTIF(C$2:C201,TRUE),""))</f>
        <v/>
      </c>
      <c r="AC201" s="8" t="str">
        <f t="shared" si="24"/>
        <v/>
      </c>
      <c r="AE201" s="8" t="str">
        <f t="shared" si="25"/>
        <v/>
      </c>
      <c r="AF201" s="8" t="str">
        <f>IF(AE201="","",AE201+COUNTIF(AE$2:AE201,AE201)-1)</f>
        <v/>
      </c>
    </row>
    <row r="202" spans="3:32">
      <c r="C202" s="8" t="str">
        <f>IF(B202="","",COUNTIF(B$1:B201,B202)=0)</f>
        <v/>
      </c>
      <c r="D202" s="8" t="str">
        <f>IF(B202="","",IF(C202,COUNTIF(C$2:C202,TRUE),""))</f>
        <v/>
      </c>
      <c r="AC202" s="8" t="str">
        <f t="shared" si="24"/>
        <v/>
      </c>
      <c r="AE202" s="8" t="str">
        <f t="shared" si="25"/>
        <v/>
      </c>
      <c r="AF202" s="8" t="str">
        <f>IF(AE202="","",AE202+COUNTIF(AE$2:AE202,AE202)-1)</f>
        <v/>
      </c>
    </row>
    <row r="203" spans="3:32">
      <c r="C203" s="8" t="str">
        <f>IF(B203="","",COUNTIF(B$1:B202,B203)=0)</f>
        <v/>
      </c>
      <c r="D203" s="8" t="str">
        <f>IF(B203="","",IF(C203,COUNTIF(C$2:C203,TRUE),""))</f>
        <v/>
      </c>
      <c r="AC203" s="8" t="str">
        <f t="shared" si="24"/>
        <v/>
      </c>
      <c r="AE203" s="8" t="str">
        <f t="shared" si="25"/>
        <v/>
      </c>
      <c r="AF203" s="8" t="str">
        <f>IF(AE203="","",AE203+COUNTIF(AE$2:AE203,AE203)-1)</f>
        <v/>
      </c>
    </row>
    <row r="204" spans="3:32">
      <c r="C204" s="8" t="str">
        <f>IF(B204="","",COUNTIF(B$1:B203,B204)=0)</f>
        <v/>
      </c>
      <c r="D204" s="8" t="str">
        <f>IF(B204="","",IF(C204,COUNTIF(C$2:C204,TRUE),""))</f>
        <v/>
      </c>
      <c r="AC204" s="8" t="str">
        <f t="shared" si="24"/>
        <v/>
      </c>
      <c r="AE204" s="8" t="str">
        <f t="shared" si="25"/>
        <v/>
      </c>
      <c r="AF204" s="8" t="str">
        <f>IF(AE204="","",AE204+COUNTIF(AE$2:AE204,AE204)-1)</f>
        <v/>
      </c>
    </row>
    <row r="205" spans="3:32">
      <c r="C205" s="8" t="str">
        <f>IF(B205="","",COUNTIF(B$1:B204,B205)=0)</f>
        <v/>
      </c>
      <c r="D205" s="8" t="str">
        <f>IF(B205="","",IF(C205,COUNTIF(C$2:C205,TRUE),""))</f>
        <v/>
      </c>
      <c r="AC205" s="8" t="str">
        <f t="shared" si="24"/>
        <v/>
      </c>
      <c r="AE205" s="8" t="str">
        <f t="shared" si="25"/>
        <v/>
      </c>
      <c r="AF205" s="8" t="str">
        <f>IF(AE205="","",AE205+COUNTIF(AE$2:AE205,AE205)-1)</f>
        <v/>
      </c>
    </row>
    <row r="206" spans="3:32">
      <c r="C206" s="8" t="str">
        <f>IF(B206="","",COUNTIF(B$1:B205,B206)=0)</f>
        <v/>
      </c>
      <c r="D206" s="8" t="str">
        <f>IF(B206="","",IF(C206,COUNTIF(C$2:C206,TRUE),""))</f>
        <v/>
      </c>
      <c r="AC206" s="8" t="str">
        <f t="shared" si="24"/>
        <v/>
      </c>
      <c r="AE206" s="8" t="str">
        <f t="shared" si="25"/>
        <v/>
      </c>
      <c r="AF206" s="8" t="str">
        <f>IF(AE206="","",AE206+COUNTIF(AE$2:AE206,AE206)-1)</f>
        <v/>
      </c>
    </row>
    <row r="207" spans="3:32">
      <c r="C207" s="8" t="str">
        <f>IF(B207="","",COUNTIF(B$1:B206,B207)=0)</f>
        <v/>
      </c>
      <c r="D207" s="8" t="str">
        <f>IF(B207="","",IF(C207,COUNTIF(C$2:C207,TRUE),""))</f>
        <v/>
      </c>
      <c r="AC207" s="8" t="str">
        <f t="shared" si="24"/>
        <v/>
      </c>
      <c r="AE207" s="8" t="str">
        <f t="shared" si="25"/>
        <v/>
      </c>
      <c r="AF207" s="8" t="str">
        <f>IF(AE207="","",AE207+COUNTIF(AE$2:AE207,AE207)-1)</f>
        <v/>
      </c>
    </row>
    <row r="208" spans="3:32">
      <c r="C208" s="8" t="str">
        <f>IF(B208="","",COUNTIF(B$1:B207,B208)=0)</f>
        <v/>
      </c>
      <c r="D208" s="8" t="str">
        <f>IF(B208="","",IF(C208,COUNTIF(C$2:C208,TRUE),""))</f>
        <v/>
      </c>
      <c r="AC208" s="8" t="str">
        <f t="shared" si="24"/>
        <v/>
      </c>
      <c r="AE208" s="8" t="str">
        <f t="shared" si="25"/>
        <v/>
      </c>
      <c r="AF208" s="8" t="str">
        <f>IF(AE208="","",AE208+COUNTIF(AE$2:AE208,AE208)-1)</f>
        <v/>
      </c>
    </row>
    <row r="209" spans="3:32">
      <c r="C209" s="8" t="str">
        <f>IF(B209="","",COUNTIF(B$1:B208,B209)=0)</f>
        <v/>
      </c>
      <c r="D209" s="8" t="str">
        <f>IF(B209="","",IF(C209,COUNTIF(C$2:C209,TRUE),""))</f>
        <v/>
      </c>
      <c r="AC209" s="8" t="str">
        <f t="shared" si="24"/>
        <v/>
      </c>
      <c r="AE209" s="8" t="str">
        <f t="shared" si="25"/>
        <v/>
      </c>
      <c r="AF209" s="8" t="str">
        <f>IF(AE209="","",AE209+COUNTIF(AE$2:AE209,AE209)-1)</f>
        <v/>
      </c>
    </row>
    <row r="210" spans="3:32">
      <c r="C210" s="8" t="str">
        <f>IF(B210="","",COUNTIF(B$1:B209,B210)=0)</f>
        <v/>
      </c>
      <c r="D210" s="8" t="str">
        <f>IF(B210="","",IF(C210,COUNTIF(C$2:C210,TRUE),""))</f>
        <v/>
      </c>
      <c r="AC210" s="8" t="str">
        <f t="shared" si="24"/>
        <v/>
      </c>
      <c r="AE210" s="8" t="str">
        <f t="shared" si="25"/>
        <v/>
      </c>
      <c r="AF210" s="8" t="str">
        <f>IF(AE210="","",AE210+COUNTIF(AE$2:AE210,AE210)-1)</f>
        <v/>
      </c>
    </row>
    <row r="211" spans="3:32">
      <c r="C211" s="8" t="str">
        <f>IF(B211="","",COUNTIF(B$1:B210,B211)=0)</f>
        <v/>
      </c>
      <c r="D211" s="8" t="str">
        <f>IF(B211="","",IF(C211,COUNTIF(C$2:C211,TRUE),""))</f>
        <v/>
      </c>
      <c r="AC211" s="8" t="str">
        <f t="shared" si="24"/>
        <v/>
      </c>
      <c r="AE211" s="8" t="str">
        <f t="shared" si="25"/>
        <v/>
      </c>
      <c r="AF211" s="8" t="str">
        <f>IF(AE211="","",AE211+COUNTIF(AE$2:AE211,AE211)-1)</f>
        <v/>
      </c>
    </row>
    <row r="212" spans="3:32">
      <c r="C212" s="8" t="str">
        <f>IF(B212="","",COUNTIF(B$1:B211,B212)=0)</f>
        <v/>
      </c>
      <c r="D212" s="8" t="str">
        <f>IF(B212="","",IF(C212,COUNTIF(C$2:C212,TRUE),""))</f>
        <v/>
      </c>
      <c r="AC212" s="8" t="str">
        <f t="shared" si="24"/>
        <v/>
      </c>
      <c r="AE212" s="8" t="str">
        <f t="shared" si="25"/>
        <v/>
      </c>
      <c r="AF212" s="8" t="str">
        <f>IF(AE212="","",AE212+COUNTIF(AE$2:AE212,AE212)-1)</f>
        <v/>
      </c>
    </row>
    <row r="213" spans="3:32">
      <c r="C213" s="8" t="str">
        <f>IF(B213="","",COUNTIF(B$1:B212,B213)=0)</f>
        <v/>
      </c>
      <c r="D213" s="8" t="str">
        <f>IF(B213="","",IF(C213,COUNTIF(C$2:C213,TRUE),""))</f>
        <v/>
      </c>
      <c r="AC213" s="8" t="str">
        <f t="shared" si="24"/>
        <v/>
      </c>
      <c r="AE213" s="8" t="str">
        <f t="shared" si="25"/>
        <v/>
      </c>
      <c r="AF213" s="8" t="str">
        <f>IF(AE213="","",AE213+COUNTIF(AE$2:AE213,AE213)-1)</f>
        <v/>
      </c>
    </row>
    <row r="214" spans="3:32">
      <c r="C214" s="8" t="str">
        <f>IF(B214="","",COUNTIF(B$1:B213,B214)=0)</f>
        <v/>
      </c>
      <c r="D214" s="8" t="str">
        <f>IF(B214="","",IF(C214,COUNTIF(C$2:C214,TRUE),""))</f>
        <v/>
      </c>
      <c r="AC214" s="8" t="str">
        <f t="shared" si="24"/>
        <v/>
      </c>
      <c r="AE214" s="8" t="str">
        <f t="shared" si="25"/>
        <v/>
      </c>
      <c r="AF214" s="8" t="str">
        <f>IF(AE214="","",AE214+COUNTIF(AE$2:AE214,AE214)-1)</f>
        <v/>
      </c>
    </row>
    <row r="215" spans="3:32">
      <c r="C215" s="8" t="str">
        <f>IF(B215="","",COUNTIF(B$1:B214,B215)=0)</f>
        <v/>
      </c>
      <c r="D215" s="8" t="str">
        <f>IF(B215="","",IF(C215,COUNTIF(C$2:C215,TRUE),""))</f>
        <v/>
      </c>
      <c r="AC215" s="8" t="str">
        <f t="shared" si="24"/>
        <v/>
      </c>
      <c r="AE215" s="8" t="str">
        <f t="shared" si="25"/>
        <v/>
      </c>
      <c r="AF215" s="8" t="str">
        <f>IF(AE215="","",AE215+COUNTIF(AE$2:AE215,AE215)-1)</f>
        <v/>
      </c>
    </row>
    <row r="216" spans="3:32">
      <c r="C216" s="8" t="str">
        <f>IF(B216="","",COUNTIF(B$1:B215,B216)=0)</f>
        <v/>
      </c>
      <c r="D216" s="8" t="str">
        <f>IF(B216="","",IF(C216,COUNTIF(C$2:C216,TRUE),""))</f>
        <v/>
      </c>
      <c r="AC216" s="8" t="str">
        <f t="shared" si="24"/>
        <v/>
      </c>
      <c r="AE216" s="8" t="str">
        <f t="shared" si="25"/>
        <v/>
      </c>
      <c r="AF216" s="8" t="str">
        <f>IF(AE216="","",AE216+COUNTIF(AE$2:AE216,AE216)-1)</f>
        <v/>
      </c>
    </row>
    <row r="217" spans="3:32">
      <c r="C217" s="8" t="str">
        <f>IF(B217="","",COUNTIF(B$1:B216,B217)=0)</f>
        <v/>
      </c>
      <c r="D217" s="8" t="str">
        <f>IF(B217="","",IF(C217,COUNTIF(C$2:C217,TRUE),""))</f>
        <v/>
      </c>
      <c r="AC217" s="8" t="str">
        <f t="shared" si="24"/>
        <v/>
      </c>
      <c r="AE217" s="8" t="str">
        <f t="shared" si="25"/>
        <v/>
      </c>
      <c r="AF217" s="8" t="str">
        <f>IF(AE217="","",AE217+COUNTIF(AE$2:AE217,AE217)-1)</f>
        <v/>
      </c>
    </row>
    <row r="218" spans="3:32">
      <c r="C218" s="8" t="str">
        <f>IF(B218="","",COUNTIF(B$1:B217,B218)=0)</f>
        <v/>
      </c>
      <c r="D218" s="8" t="str">
        <f>IF(B218="","",IF(C218,COUNTIF(C$2:C218,TRUE),""))</f>
        <v/>
      </c>
      <c r="AC218" s="8" t="str">
        <f t="shared" si="24"/>
        <v/>
      </c>
      <c r="AE218" s="8" t="str">
        <f t="shared" si="25"/>
        <v/>
      </c>
      <c r="AF218" s="8" t="str">
        <f>IF(AE218="","",AE218+COUNTIF(AE$2:AE218,AE218)-1)</f>
        <v/>
      </c>
    </row>
    <row r="219" spans="3:32">
      <c r="C219" s="8" t="str">
        <f>IF(B219="","",COUNTIF(B$1:B218,B219)=0)</f>
        <v/>
      </c>
      <c r="D219" s="8" t="str">
        <f>IF(B219="","",IF(C219,COUNTIF(C$2:C219,TRUE),""))</f>
        <v/>
      </c>
      <c r="AC219" s="8" t="str">
        <f t="shared" si="24"/>
        <v/>
      </c>
      <c r="AE219" s="8" t="str">
        <f t="shared" si="25"/>
        <v/>
      </c>
      <c r="AF219" s="8" t="str">
        <f>IF(AE219="","",AE219+COUNTIF(AE$2:AE219,AE219)-1)</f>
        <v/>
      </c>
    </row>
    <row r="220" spans="3:32">
      <c r="C220" s="8" t="str">
        <f>IF(B220="","",COUNTIF(B$1:B219,B220)=0)</f>
        <v/>
      </c>
      <c r="D220" s="8" t="str">
        <f>IF(B220="","",IF(C220,COUNTIF(C$2:C220,TRUE),""))</f>
        <v/>
      </c>
      <c r="AC220" s="8" t="str">
        <f t="shared" si="24"/>
        <v/>
      </c>
      <c r="AE220" s="8" t="str">
        <f t="shared" si="25"/>
        <v/>
      </c>
      <c r="AF220" s="8" t="str">
        <f>IF(AE220="","",AE220+COUNTIF(AE$2:AE220,AE220)-1)</f>
        <v/>
      </c>
    </row>
    <row r="221" spans="3:32">
      <c r="C221" s="8" t="str">
        <f>IF(B221="","",COUNTIF(B$1:B220,B221)=0)</f>
        <v/>
      </c>
      <c r="D221" s="8" t="str">
        <f>IF(B221="","",IF(C221,COUNTIF(C$2:C221,TRUE),""))</f>
        <v/>
      </c>
      <c r="AC221" s="8" t="str">
        <f t="shared" si="24"/>
        <v/>
      </c>
      <c r="AE221" s="8" t="str">
        <f t="shared" si="25"/>
        <v/>
      </c>
      <c r="AF221" s="8" t="str">
        <f>IF(AE221="","",AE221+COUNTIF(AE$2:AE221,AE221)-1)</f>
        <v/>
      </c>
    </row>
    <row r="222" spans="3:32">
      <c r="C222" s="8" t="str">
        <f>IF(B222="","",COUNTIF(B$1:B221,B222)=0)</f>
        <v/>
      </c>
      <c r="D222" s="8" t="str">
        <f>IF(B222="","",IF(C222,COUNTIF(C$2:C222,TRUE),""))</f>
        <v/>
      </c>
      <c r="AC222" s="8" t="str">
        <f t="shared" si="24"/>
        <v/>
      </c>
      <c r="AE222" s="8" t="str">
        <f t="shared" si="25"/>
        <v/>
      </c>
      <c r="AF222" s="8" t="str">
        <f>IF(AE222="","",AE222+COUNTIF(AE$2:AE222,AE222)-1)</f>
        <v/>
      </c>
    </row>
    <row r="223" spans="3:32">
      <c r="C223" s="8" t="str">
        <f>IF(B223="","",COUNTIF(B$1:B222,B223)=0)</f>
        <v/>
      </c>
      <c r="D223" s="8" t="str">
        <f>IF(B223="","",IF(C223,COUNTIF(C$2:C223,TRUE),""))</f>
        <v/>
      </c>
      <c r="AC223" s="8" t="str">
        <f t="shared" si="24"/>
        <v/>
      </c>
      <c r="AE223" s="8" t="str">
        <f t="shared" si="25"/>
        <v/>
      </c>
      <c r="AF223" s="8" t="str">
        <f>IF(AE223="","",AE223+COUNTIF(AE$2:AE223,AE223)-1)</f>
        <v/>
      </c>
    </row>
    <row r="224" spans="3:32">
      <c r="C224" s="8" t="str">
        <f>IF(B224="","",COUNTIF(B$1:B223,B224)=0)</f>
        <v/>
      </c>
      <c r="D224" s="8" t="str">
        <f>IF(B224="","",IF(C224,COUNTIF(C$2:C224,TRUE),""))</f>
        <v/>
      </c>
      <c r="AC224" s="8" t="str">
        <f t="shared" si="24"/>
        <v/>
      </c>
      <c r="AE224" s="8" t="str">
        <f t="shared" si="25"/>
        <v/>
      </c>
      <c r="AF224" s="8" t="str">
        <f>IF(AE224="","",AE224+COUNTIF(AE$2:AE224,AE224)-1)</f>
        <v/>
      </c>
    </row>
    <row r="225" spans="3:32">
      <c r="C225" s="8" t="str">
        <f>IF(B225="","",COUNTIF(B$1:B224,B225)=0)</f>
        <v/>
      </c>
      <c r="D225" s="8" t="str">
        <f>IF(B225="","",IF(C225,COUNTIF(C$2:C225,TRUE),""))</f>
        <v/>
      </c>
      <c r="AC225" s="8" t="str">
        <f t="shared" si="24"/>
        <v/>
      </c>
      <c r="AE225" s="8" t="str">
        <f t="shared" si="25"/>
        <v/>
      </c>
      <c r="AF225" s="8" t="str">
        <f>IF(AE225="","",AE225+COUNTIF(AE$2:AE225,AE225)-1)</f>
        <v/>
      </c>
    </row>
    <row r="226" spans="3:32">
      <c r="C226" s="8" t="str">
        <f>IF(B226="","",COUNTIF(B$1:B225,B226)=0)</f>
        <v/>
      </c>
      <c r="D226" s="8" t="str">
        <f>IF(B226="","",IF(C226,COUNTIF(C$2:C226,TRUE),""))</f>
        <v/>
      </c>
      <c r="AC226" s="8" t="str">
        <f t="shared" si="24"/>
        <v/>
      </c>
      <c r="AE226" s="8" t="str">
        <f t="shared" si="25"/>
        <v/>
      </c>
      <c r="AF226" s="8" t="str">
        <f>IF(AE226="","",AE226+COUNTIF(AE$2:AE226,AE226)-1)</f>
        <v/>
      </c>
    </row>
    <row r="227" spans="3:32">
      <c r="C227" s="8" t="str">
        <f>IF(B227="","",COUNTIF(B$1:B226,B227)=0)</f>
        <v/>
      </c>
      <c r="D227" s="8" t="str">
        <f>IF(B227="","",IF(C227,COUNTIF(C$2:C227,TRUE),""))</f>
        <v/>
      </c>
      <c r="AC227" s="8" t="str">
        <f t="shared" si="24"/>
        <v/>
      </c>
      <c r="AE227" s="8" t="str">
        <f t="shared" si="25"/>
        <v/>
      </c>
      <c r="AF227" s="8" t="str">
        <f>IF(AE227="","",AE227+COUNTIF(AE$2:AE227,AE227)-1)</f>
        <v/>
      </c>
    </row>
    <row r="228" spans="3:32">
      <c r="C228" s="8" t="str">
        <f>IF(B228="","",COUNTIF(B$1:B227,B228)=0)</f>
        <v/>
      </c>
      <c r="D228" s="8" t="str">
        <f>IF(B228="","",IF(C228,COUNTIF(C$2:C228,TRUE),""))</f>
        <v/>
      </c>
      <c r="AC228" s="8" t="str">
        <f t="shared" si="24"/>
        <v/>
      </c>
      <c r="AE228" s="8" t="str">
        <f t="shared" si="25"/>
        <v/>
      </c>
      <c r="AF228" s="8" t="str">
        <f>IF(AE228="","",AE228+COUNTIF(AE$2:AE228,AE228)-1)</f>
        <v/>
      </c>
    </row>
    <row r="229" spans="3:32">
      <c r="C229" s="8" t="str">
        <f>IF(B229="","",COUNTIF(B$1:B228,B229)=0)</f>
        <v/>
      </c>
      <c r="D229" s="8" t="str">
        <f>IF(B229="","",IF(C229,COUNTIF(C$2:C229,TRUE),""))</f>
        <v/>
      </c>
      <c r="AC229" s="8" t="str">
        <f t="shared" si="24"/>
        <v/>
      </c>
      <c r="AE229" s="8" t="str">
        <f t="shared" si="25"/>
        <v/>
      </c>
      <c r="AF229" s="8" t="str">
        <f>IF(AE229="","",AE229+COUNTIF(AE$2:AE229,AE229)-1)</f>
        <v/>
      </c>
    </row>
    <row r="230" spans="3:32">
      <c r="C230" s="8" t="str">
        <f>IF(B230="","",COUNTIF(B$1:B229,B230)=0)</f>
        <v/>
      </c>
      <c r="D230" s="8" t="str">
        <f>IF(B230="","",IF(C230,COUNTIF(C$2:C230,TRUE),""))</f>
        <v/>
      </c>
      <c r="AC230" s="8" t="str">
        <f t="shared" si="24"/>
        <v/>
      </c>
      <c r="AE230" s="8" t="str">
        <f t="shared" si="25"/>
        <v/>
      </c>
      <c r="AF230" s="8" t="str">
        <f>IF(AE230="","",AE230+COUNTIF(AE$2:AE230,AE230)-1)</f>
        <v/>
      </c>
    </row>
    <row r="231" spans="3:32">
      <c r="C231" s="8" t="str">
        <f>IF(B231="","",COUNTIF(B$1:B230,B231)=0)</f>
        <v/>
      </c>
      <c r="D231" s="8" t="str">
        <f>IF(B231="","",IF(C231,COUNTIF(C$2:C231,TRUE),""))</f>
        <v/>
      </c>
      <c r="AC231" s="8" t="str">
        <f t="shared" ref="AC231:AC256" si="26">IF(ISBLANK(AB231),"",COUNTIF(Z:Z,AB231))</f>
        <v/>
      </c>
      <c r="AE231" s="8" t="str">
        <f t="shared" si="25"/>
        <v/>
      </c>
      <c r="AF231" s="8" t="str">
        <f>IF(AE231="","",AE231+COUNTIF(AE$2:AE231,AE231)-1)</f>
        <v/>
      </c>
    </row>
    <row r="232" spans="3:32">
      <c r="C232" s="8" t="str">
        <f>IF(B232="","",COUNTIF(B$1:B231,B232)=0)</f>
        <v/>
      </c>
      <c r="D232" s="8" t="str">
        <f>IF(B232="","",IF(C232,COUNTIF(C$2:C232,TRUE),""))</f>
        <v/>
      </c>
      <c r="AC232" s="8" t="str">
        <f t="shared" si="26"/>
        <v/>
      </c>
      <c r="AE232" s="8" t="str">
        <f t="shared" si="25"/>
        <v/>
      </c>
      <c r="AF232" s="8" t="str">
        <f>IF(AE232="","",AE232+COUNTIF(AE$2:AE232,AE232)-1)</f>
        <v/>
      </c>
    </row>
    <row r="233" spans="3:32">
      <c r="C233" s="8" t="str">
        <f>IF(B233="","",COUNTIF(B$1:B232,B233)=0)</f>
        <v/>
      </c>
      <c r="D233" s="8" t="str">
        <f>IF(B233="","",IF(C233,COUNTIF(C$2:C233,TRUE),""))</f>
        <v/>
      </c>
      <c r="AC233" s="8" t="str">
        <f t="shared" si="26"/>
        <v/>
      </c>
      <c r="AE233" s="8" t="str">
        <f t="shared" si="25"/>
        <v/>
      </c>
      <c r="AF233" s="8" t="str">
        <f>IF(AE233="","",AE233+COUNTIF(AE$2:AE233,AE233)-1)</f>
        <v/>
      </c>
    </row>
    <row r="234" spans="3:32">
      <c r="C234" s="8" t="str">
        <f>IF(B234="","",COUNTIF(B$1:B233,B234)=0)</f>
        <v/>
      </c>
      <c r="D234" s="8" t="str">
        <f>IF(B234="","",IF(C234,COUNTIF(C$2:C234,TRUE),""))</f>
        <v/>
      </c>
      <c r="AC234" s="8" t="str">
        <f t="shared" si="26"/>
        <v/>
      </c>
      <c r="AE234" s="8" t="str">
        <f t="shared" si="25"/>
        <v/>
      </c>
      <c r="AF234" s="8" t="str">
        <f>IF(AE234="","",AE234+COUNTIF(AE$2:AE234,AE234)-1)</f>
        <v/>
      </c>
    </row>
    <row r="235" spans="3:32">
      <c r="C235" s="8" t="str">
        <f>IF(B235="","",COUNTIF(B$1:B234,B235)=0)</f>
        <v/>
      </c>
      <c r="D235" s="8" t="str">
        <f>IF(B235="","",IF(C235,COUNTIF(C$2:C235,TRUE),""))</f>
        <v/>
      </c>
      <c r="AC235" s="8" t="str">
        <f t="shared" si="26"/>
        <v/>
      </c>
      <c r="AE235" s="8" t="str">
        <f t="shared" si="25"/>
        <v/>
      </c>
      <c r="AF235" s="8" t="str">
        <f>IF(AE235="","",AE235+COUNTIF(AE$2:AE235,AE235)-1)</f>
        <v/>
      </c>
    </row>
    <row r="236" spans="3:32">
      <c r="C236" s="8" t="str">
        <f>IF(B236="","",COUNTIF(B$1:B235,B236)=0)</f>
        <v/>
      </c>
      <c r="D236" s="8" t="str">
        <f>IF(B236="","",IF(C236,COUNTIF(C$2:C236,TRUE),""))</f>
        <v/>
      </c>
      <c r="AC236" s="8" t="str">
        <f t="shared" si="26"/>
        <v/>
      </c>
      <c r="AE236" s="8" t="str">
        <f t="shared" si="25"/>
        <v/>
      </c>
      <c r="AF236" s="8" t="str">
        <f>IF(AE236="","",AE236+COUNTIF(AE$2:AE236,AE236)-1)</f>
        <v/>
      </c>
    </row>
    <row r="237" spans="3:32">
      <c r="C237" s="8" t="str">
        <f>IF(B237="","",COUNTIF(B$1:B236,B237)=0)</f>
        <v/>
      </c>
      <c r="D237" s="8" t="str">
        <f>IF(B237="","",IF(C237,COUNTIF(C$2:C237,TRUE),""))</f>
        <v/>
      </c>
      <c r="AC237" s="8" t="str">
        <f t="shared" si="26"/>
        <v/>
      </c>
      <c r="AE237" s="8" t="str">
        <f t="shared" si="25"/>
        <v/>
      </c>
      <c r="AF237" s="8" t="str">
        <f>IF(AE237="","",AE237+COUNTIF(AE$2:AE237,AE237)-1)</f>
        <v/>
      </c>
    </row>
    <row r="238" spans="3:32">
      <c r="C238" s="8" t="str">
        <f>IF(B238="","",COUNTIF(B$1:B237,B238)=0)</f>
        <v/>
      </c>
      <c r="D238" s="8" t="str">
        <f>IF(B238="","",IF(C238,COUNTIF(C$2:C238,TRUE),""))</f>
        <v/>
      </c>
      <c r="AC238" s="8" t="str">
        <f t="shared" si="26"/>
        <v/>
      </c>
      <c r="AE238" s="8" t="str">
        <f t="shared" si="25"/>
        <v/>
      </c>
      <c r="AF238" s="8" t="str">
        <f>IF(AE238="","",AE238+COUNTIF(AE$2:AE238,AE238)-1)</f>
        <v/>
      </c>
    </row>
    <row r="239" spans="3:32">
      <c r="C239" s="8" t="str">
        <f>IF(B239="","",COUNTIF(B$1:B238,B239)=0)</f>
        <v/>
      </c>
      <c r="D239" s="8" t="str">
        <f>IF(B239="","",IF(C239,COUNTIF(C$2:C239,TRUE),""))</f>
        <v/>
      </c>
      <c r="AC239" s="8" t="str">
        <f t="shared" si="26"/>
        <v/>
      </c>
      <c r="AE239" s="8" t="str">
        <f t="shared" si="25"/>
        <v/>
      </c>
      <c r="AF239" s="8" t="str">
        <f>IF(AE239="","",AE239+COUNTIF(AE$2:AE239,AE239)-1)</f>
        <v/>
      </c>
    </row>
    <row r="240" spans="3:32">
      <c r="C240" s="8" t="str">
        <f>IF(B240="","",COUNTIF(B$1:B239,B240)=0)</f>
        <v/>
      </c>
      <c r="D240" s="8" t="str">
        <f>IF(B240="","",IF(C240,COUNTIF(C$2:C240,TRUE),""))</f>
        <v/>
      </c>
      <c r="AC240" s="8" t="str">
        <f t="shared" si="26"/>
        <v/>
      </c>
      <c r="AE240" s="8" t="str">
        <f t="shared" si="25"/>
        <v/>
      </c>
      <c r="AF240" s="8" t="str">
        <f>IF(AE240="","",AE240+COUNTIF(AE$2:AE240,AE240)-1)</f>
        <v/>
      </c>
    </row>
    <row r="241" spans="3:32">
      <c r="C241" s="8" t="str">
        <f>IF(B241="","",COUNTIF(B$1:B240,B241)=0)</f>
        <v/>
      </c>
      <c r="D241" s="8" t="str">
        <f>IF(B241="","",IF(C241,COUNTIF(C$2:C241,TRUE),""))</f>
        <v/>
      </c>
      <c r="AC241" s="8" t="str">
        <f t="shared" si="26"/>
        <v/>
      </c>
      <c r="AE241" s="8" t="str">
        <f t="shared" si="25"/>
        <v/>
      </c>
      <c r="AF241" s="8" t="str">
        <f>IF(AE241="","",AE241+COUNTIF(AE$2:AE241,AE241)-1)</f>
        <v/>
      </c>
    </row>
    <row r="242" spans="3:32">
      <c r="C242" s="8" t="str">
        <f>IF(B242="","",COUNTIF(B$1:B241,B242)=0)</f>
        <v/>
      </c>
      <c r="D242" s="8" t="str">
        <f>IF(B242="","",IF(C242,COUNTIF(C$2:C242,TRUE),""))</f>
        <v/>
      </c>
      <c r="AC242" s="8" t="str">
        <f t="shared" si="26"/>
        <v/>
      </c>
      <c r="AE242" s="8" t="str">
        <f t="shared" si="25"/>
        <v/>
      </c>
      <c r="AF242" s="8" t="str">
        <f>IF(AE242="","",AE242+COUNTIF(AE$2:AE242,AE242)-1)</f>
        <v/>
      </c>
    </row>
    <row r="243" spans="3:32">
      <c r="C243" s="8" t="str">
        <f>IF(B243="","",COUNTIF(B$1:B242,B243)=0)</f>
        <v/>
      </c>
      <c r="D243" s="8" t="str">
        <f>IF(B243="","",IF(C243,COUNTIF(C$2:C243,TRUE),""))</f>
        <v/>
      </c>
      <c r="AC243" s="8" t="str">
        <f t="shared" si="26"/>
        <v/>
      </c>
      <c r="AE243" s="8" t="str">
        <f t="shared" si="25"/>
        <v/>
      </c>
      <c r="AF243" s="8" t="str">
        <f>IF(AE243="","",AE243+COUNTIF(AE$2:AE243,AE243)-1)</f>
        <v/>
      </c>
    </row>
    <row r="244" spans="3:32">
      <c r="C244" s="8" t="str">
        <f>IF(B244="","",COUNTIF(B$1:B243,B244)=0)</f>
        <v/>
      </c>
      <c r="D244" s="8" t="str">
        <f>IF(B244="","",IF(C244,COUNTIF(C$2:C244,TRUE),""))</f>
        <v/>
      </c>
      <c r="AC244" s="8" t="str">
        <f t="shared" si="26"/>
        <v/>
      </c>
      <c r="AE244" s="8" t="str">
        <f t="shared" si="25"/>
        <v/>
      </c>
      <c r="AF244" s="8" t="str">
        <f>IF(AE244="","",AE244+COUNTIF(AE$2:AE244,AE244)-1)</f>
        <v/>
      </c>
    </row>
    <row r="245" spans="3:32">
      <c r="C245" s="8" t="str">
        <f>IF(B245="","",COUNTIF(B$1:B244,B245)=0)</f>
        <v/>
      </c>
      <c r="D245" s="8" t="str">
        <f>IF(B245="","",IF(C245,COUNTIF(C$2:C245,TRUE),""))</f>
        <v/>
      </c>
      <c r="AC245" s="8" t="str">
        <f t="shared" si="26"/>
        <v/>
      </c>
      <c r="AE245" s="8" t="str">
        <f t="shared" si="25"/>
        <v/>
      </c>
      <c r="AF245" s="8" t="str">
        <f>IF(AE245="","",AE245+COUNTIF(AE$2:AE245,AE245)-1)</f>
        <v/>
      </c>
    </row>
    <row r="246" spans="3:32">
      <c r="C246" s="8" t="str">
        <f>IF(B246="","",COUNTIF(B$1:B245,B246)=0)</f>
        <v/>
      </c>
      <c r="D246" s="8" t="str">
        <f>IF(B246="","",IF(C246,COUNTIF(C$2:C246,TRUE),""))</f>
        <v/>
      </c>
      <c r="AC246" s="8" t="str">
        <f t="shared" si="26"/>
        <v/>
      </c>
      <c r="AE246" s="8" t="str">
        <f t="shared" si="25"/>
        <v/>
      </c>
      <c r="AF246" s="8" t="str">
        <f>IF(AE246="","",AE246+COUNTIF(AE$2:AE246,AE246)-1)</f>
        <v/>
      </c>
    </row>
    <row r="247" spans="3:32">
      <c r="C247" s="8" t="str">
        <f>IF(B247="","",COUNTIF(B$1:B246,B247)=0)</f>
        <v/>
      </c>
      <c r="D247" s="8" t="str">
        <f>IF(B247="","",IF(C247,COUNTIF(C$2:C247,TRUE),""))</f>
        <v/>
      </c>
      <c r="AC247" s="8" t="str">
        <f t="shared" si="26"/>
        <v/>
      </c>
      <c r="AE247" s="8" t="str">
        <f t="shared" si="25"/>
        <v/>
      </c>
      <c r="AF247" s="8" t="str">
        <f>IF(AE247="","",AE247+COUNTIF(AE$2:AE247,AE247)-1)</f>
        <v/>
      </c>
    </row>
    <row r="248" spans="3:32">
      <c r="C248" s="8" t="str">
        <f>IF(B248="","",COUNTIF(B$1:B247,B248)=0)</f>
        <v/>
      </c>
      <c r="D248" s="8" t="str">
        <f>IF(B248="","",IF(C248,COUNTIF(C$2:C248,TRUE),""))</f>
        <v/>
      </c>
      <c r="AC248" s="8" t="str">
        <f t="shared" si="26"/>
        <v/>
      </c>
      <c r="AE248" s="8" t="str">
        <f t="shared" si="25"/>
        <v/>
      </c>
      <c r="AF248" s="8" t="str">
        <f>IF(AE248="","",AE248+COUNTIF(AE$2:AE248,AE248)-1)</f>
        <v/>
      </c>
    </row>
    <row r="249" spans="3:32">
      <c r="C249" s="8" t="str">
        <f>IF(B249="","",COUNTIF(B$1:B248,B249)=0)</f>
        <v/>
      </c>
      <c r="D249" s="8" t="str">
        <f>IF(B249="","",IF(C249,COUNTIF(C$2:C249,TRUE),""))</f>
        <v/>
      </c>
      <c r="AC249" s="8" t="str">
        <f t="shared" si="26"/>
        <v/>
      </c>
      <c r="AE249" s="8" t="str">
        <f t="shared" si="25"/>
        <v/>
      </c>
      <c r="AF249" s="8" t="str">
        <f>IF(AE249="","",AE249+COUNTIF(AE$2:AE249,AE249)-1)</f>
        <v/>
      </c>
    </row>
    <row r="250" spans="3:32">
      <c r="C250" s="8" t="str">
        <f>IF(B250="","",COUNTIF(B$1:B249,B250)=0)</f>
        <v/>
      </c>
      <c r="D250" s="8" t="str">
        <f>IF(B250="","",IF(C250,COUNTIF(C$2:C250,TRUE),""))</f>
        <v/>
      </c>
      <c r="AC250" s="8" t="str">
        <f t="shared" si="26"/>
        <v/>
      </c>
      <c r="AE250" s="8" t="str">
        <f t="shared" si="25"/>
        <v/>
      </c>
      <c r="AF250" s="8" t="str">
        <f>IF(AE250="","",AE250+COUNTIF(AE$2:AE250,AE250)-1)</f>
        <v/>
      </c>
    </row>
    <row r="251" spans="3:32">
      <c r="C251" s="8" t="str">
        <f>IF(B251="","",COUNTIF(B$1:B250,B251)=0)</f>
        <v/>
      </c>
      <c r="D251" s="8" t="str">
        <f>IF(B251="","",IF(C251,COUNTIF(C$2:C251,TRUE),""))</f>
        <v/>
      </c>
      <c r="AC251" s="8" t="str">
        <f t="shared" si="26"/>
        <v/>
      </c>
      <c r="AE251" s="8" t="str">
        <f t="shared" si="25"/>
        <v/>
      </c>
      <c r="AF251" s="8" t="str">
        <f>IF(AE251="","",AE251+COUNTIF(AE$2:AE251,AE251)-1)</f>
        <v/>
      </c>
    </row>
    <row r="252" spans="3:32">
      <c r="C252" s="8" t="str">
        <f>IF(B252="","",COUNTIF(B$1:B251,B252)=0)</f>
        <v/>
      </c>
      <c r="D252" s="8" t="str">
        <f>IF(B252="","",IF(C252,COUNTIF(C$2:C252,TRUE),""))</f>
        <v/>
      </c>
      <c r="AC252" s="8" t="str">
        <f t="shared" si="26"/>
        <v/>
      </c>
      <c r="AE252" s="8" t="str">
        <f t="shared" si="25"/>
        <v/>
      </c>
      <c r="AF252" s="8" t="str">
        <f>IF(AE252="","",AE252+COUNTIF(AE$2:AE252,AE252)-1)</f>
        <v/>
      </c>
    </row>
    <row r="253" spans="3:32">
      <c r="C253" s="8" t="str">
        <f>IF(B253="","",COUNTIF(B$1:B252,B253)=0)</f>
        <v/>
      </c>
      <c r="D253" s="8" t="str">
        <f>IF(B253="","",IF(C253,COUNTIF(C$2:C253,TRUE),""))</f>
        <v/>
      </c>
      <c r="AC253" s="8" t="str">
        <f t="shared" si="26"/>
        <v/>
      </c>
      <c r="AE253" s="8" t="str">
        <f t="shared" si="25"/>
        <v/>
      </c>
      <c r="AF253" s="8" t="str">
        <f>IF(AE253="","",AE253+COUNTIF(AE$2:AE253,AE253)-1)</f>
        <v/>
      </c>
    </row>
    <row r="254" spans="3:32">
      <c r="C254" s="8" t="str">
        <f>IF(B254="","",COUNTIF(B$1:B253,B254)=0)</f>
        <v/>
      </c>
      <c r="D254" s="8" t="str">
        <f>IF(B254="","",IF(C254,COUNTIF(C$2:C254,TRUE),""))</f>
        <v/>
      </c>
      <c r="AC254" s="8" t="str">
        <f t="shared" si="26"/>
        <v/>
      </c>
      <c r="AE254" s="8" t="str">
        <f t="shared" si="25"/>
        <v/>
      </c>
      <c r="AF254" s="8" t="str">
        <f>IF(AE254="","",AE254+COUNTIF(AE$2:AE254,AE254)-1)</f>
        <v/>
      </c>
    </row>
    <row r="255" spans="3:32">
      <c r="C255" s="8" t="str">
        <f>IF(B255="","",COUNTIF(B$1:B254,B255)=0)</f>
        <v/>
      </c>
      <c r="D255" s="8" t="str">
        <f>IF(B255="","",IF(C255,COUNTIF(C$2:C255,TRUE),""))</f>
        <v/>
      </c>
      <c r="AC255" s="8" t="str">
        <f t="shared" si="26"/>
        <v/>
      </c>
      <c r="AE255" s="8" t="str">
        <f t="shared" si="25"/>
        <v/>
      </c>
      <c r="AF255" s="8" t="str">
        <f>IF(AE255="","",AE255+COUNTIF(AE$2:AE255,AE255)-1)</f>
        <v/>
      </c>
    </row>
    <row r="256" spans="3:32">
      <c r="C256" s="8" t="str">
        <f>IF(B256="","",COUNTIF(B$1:B255,B256)=0)</f>
        <v/>
      </c>
      <c r="D256" s="8" t="str">
        <f>IF(B256="","",IF(C256,COUNTIF(C$2:C256,TRUE),""))</f>
        <v/>
      </c>
      <c r="AC256" s="8" t="str">
        <f t="shared" si="26"/>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1" priority="2" operator="lessThanOrEqual">
      <formula>MAX($AG:$AG)</formula>
    </cfRule>
  </conditionalFormatting>
  <conditionalFormatting sqref="AE2:AE255">
    <cfRule type="cellIs" dxfId="0"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zoomScale="90" zoomScaleNormal="85" zoomScaleSheetLayoutView="90" workbookViewId="0">
      <selection activeCell="E1" sqref="E1"/>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42" t="s">
        <v>1210</v>
      </c>
      <c r="C4" s="143"/>
      <c r="D4" s="144"/>
      <c r="E4" s="148" t="s">
        <v>1211</v>
      </c>
      <c r="F4" s="148" t="s">
        <v>1212</v>
      </c>
    </row>
    <row r="5" spans="2:7" ht="14.25" thickBot="1">
      <c r="B5" s="145"/>
      <c r="C5" s="146"/>
      <c r="D5" s="147"/>
      <c r="E5" s="149"/>
      <c r="F5" s="149"/>
    </row>
    <row r="6" spans="2:7" s="72" customFormat="1" ht="14.25" customHeight="1" thickTop="1">
      <c r="B6" s="150" t="s">
        <v>1213</v>
      </c>
      <c r="C6" s="151"/>
      <c r="D6" s="69"/>
      <c r="E6" s="13" t="s">
        <v>1214</v>
      </c>
      <c r="F6" s="70" t="s">
        <v>1215</v>
      </c>
      <c r="G6" s="71"/>
    </row>
    <row r="7" spans="2:7" s="72" customFormat="1">
      <c r="B7" s="73"/>
      <c r="C7" s="74" t="s">
        <v>1216</v>
      </c>
      <c r="D7" s="75"/>
      <c r="E7" s="18" t="s">
        <v>1072</v>
      </c>
      <c r="F7" s="76" t="s">
        <v>1217</v>
      </c>
      <c r="G7" s="71"/>
    </row>
    <row r="8" spans="2:7" s="72" customFormat="1">
      <c r="B8" s="73"/>
      <c r="C8" s="74" t="s">
        <v>1218</v>
      </c>
      <c r="D8" s="75"/>
      <c r="E8" s="18" t="s">
        <v>1074</v>
      </c>
      <c r="F8" s="76" t="s">
        <v>1219</v>
      </c>
      <c r="G8" s="71"/>
    </row>
    <row r="9" spans="2:7" s="72" customFormat="1">
      <c r="B9" s="73"/>
      <c r="C9" s="74" t="s">
        <v>1220</v>
      </c>
      <c r="D9" s="75"/>
      <c r="E9" s="18" t="s">
        <v>1075</v>
      </c>
      <c r="F9" s="76" t="s">
        <v>1221</v>
      </c>
      <c r="G9" s="71"/>
    </row>
    <row r="10" spans="2:7" s="72" customFormat="1">
      <c r="B10" s="73"/>
      <c r="C10" s="74" t="s">
        <v>1222</v>
      </c>
      <c r="D10" s="75"/>
      <c r="E10" s="18" t="s">
        <v>1078</v>
      </c>
      <c r="F10" s="76" t="s">
        <v>1223</v>
      </c>
      <c r="G10" s="71"/>
    </row>
    <row r="11" spans="2:7" s="72" customFormat="1">
      <c r="B11" s="73"/>
      <c r="C11" s="77" t="s">
        <v>1224</v>
      </c>
      <c r="D11" s="75"/>
      <c r="E11" s="18" t="s">
        <v>1079</v>
      </c>
      <c r="F11" s="76" t="s">
        <v>1225</v>
      </c>
      <c r="G11" s="71"/>
    </row>
    <row r="12" spans="2:7" s="72" customFormat="1">
      <c r="B12" s="73"/>
      <c r="C12" s="78"/>
      <c r="D12" s="79" t="s">
        <v>1226</v>
      </c>
      <c r="E12" s="18" t="s">
        <v>1081</v>
      </c>
      <c r="F12" s="76" t="s">
        <v>1227</v>
      </c>
      <c r="G12" s="71"/>
    </row>
    <row r="13" spans="2:7" s="72" customFormat="1">
      <c r="B13" s="73"/>
      <c r="C13" s="80" t="s">
        <v>1228</v>
      </c>
      <c r="D13" s="75"/>
      <c r="E13" s="18" t="s">
        <v>1082</v>
      </c>
      <c r="F13" s="76" t="s">
        <v>1229</v>
      </c>
      <c r="G13" s="71"/>
    </row>
    <row r="14" spans="2:7" s="72" customFormat="1">
      <c r="B14" s="73"/>
      <c r="C14" s="74" t="s">
        <v>1230</v>
      </c>
      <c r="D14" s="75"/>
      <c r="E14" s="18" t="s">
        <v>886</v>
      </c>
      <c r="F14" s="76" t="s">
        <v>1231</v>
      </c>
      <c r="G14" s="71"/>
    </row>
    <row r="15" spans="2:7" s="72" customFormat="1">
      <c r="B15" s="73"/>
      <c r="C15" s="74" t="s">
        <v>1232</v>
      </c>
      <c r="D15" s="75"/>
      <c r="E15" s="18" t="s">
        <v>604</v>
      </c>
      <c r="F15" s="76" t="s">
        <v>1233</v>
      </c>
      <c r="G15" s="71"/>
    </row>
    <row r="16" spans="2:7" s="72" customFormat="1">
      <c r="B16" s="73"/>
      <c r="C16" s="74" t="s">
        <v>1234</v>
      </c>
      <c r="D16" s="75"/>
      <c r="E16" s="18" t="s">
        <v>408</v>
      </c>
      <c r="F16" s="76" t="s">
        <v>1235</v>
      </c>
      <c r="G16" s="71"/>
    </row>
    <row r="17" spans="2:7" s="72" customFormat="1">
      <c r="B17" s="73"/>
      <c r="C17" s="74" t="s">
        <v>1236</v>
      </c>
      <c r="D17" s="75"/>
      <c r="E17" s="18" t="s">
        <v>1086</v>
      </c>
      <c r="F17" s="76" t="s">
        <v>1237</v>
      </c>
      <c r="G17" s="71"/>
    </row>
    <row r="18" spans="2:7" s="72" customFormat="1">
      <c r="B18" s="73"/>
      <c r="C18" s="77" t="s">
        <v>1238</v>
      </c>
      <c r="D18" s="81"/>
      <c r="E18" s="22" t="s">
        <v>1087</v>
      </c>
      <c r="F18" s="82" t="s">
        <v>1239</v>
      </c>
      <c r="G18" s="71"/>
    </row>
    <row r="19" spans="2:7" s="72" customFormat="1" ht="14.25" thickBot="1">
      <c r="B19" s="73"/>
      <c r="C19" s="77" t="s">
        <v>1240</v>
      </c>
      <c r="D19" s="81"/>
      <c r="E19" s="22" t="s">
        <v>1089</v>
      </c>
      <c r="F19" s="82" t="s">
        <v>1241</v>
      </c>
      <c r="G19" s="71"/>
    </row>
    <row r="20" spans="2:7" s="72" customFormat="1">
      <c r="B20" s="83" t="s">
        <v>1242</v>
      </c>
      <c r="C20" s="84"/>
      <c r="D20" s="85"/>
      <c r="E20" s="23" t="s">
        <v>1243</v>
      </c>
      <c r="F20" s="86" t="s">
        <v>1244</v>
      </c>
      <c r="G20" s="71"/>
    </row>
    <row r="21" spans="2:7" s="72" customFormat="1">
      <c r="B21" s="73"/>
      <c r="C21" s="74" t="s">
        <v>1245</v>
      </c>
      <c r="D21" s="75"/>
      <c r="E21" s="18" t="s">
        <v>1090</v>
      </c>
      <c r="F21" s="76" t="s">
        <v>1246</v>
      </c>
      <c r="G21" s="71"/>
    </row>
    <row r="22" spans="2:7" s="72" customFormat="1">
      <c r="B22" s="73"/>
      <c r="C22" s="74" t="s">
        <v>1247</v>
      </c>
      <c r="D22" s="75"/>
      <c r="E22" s="18" t="s">
        <v>1092</v>
      </c>
      <c r="F22" s="76" t="s">
        <v>1248</v>
      </c>
      <c r="G22" s="71"/>
    </row>
    <row r="23" spans="2:7" s="72" customFormat="1">
      <c r="B23" s="73"/>
      <c r="C23" s="74" t="s">
        <v>1249</v>
      </c>
      <c r="D23" s="75"/>
      <c r="E23" s="18" t="s">
        <v>1093</v>
      </c>
      <c r="F23" s="76" t="s">
        <v>1250</v>
      </c>
      <c r="G23" s="71"/>
    </row>
    <row r="24" spans="2:7" s="72" customFormat="1" ht="13.5" customHeight="1">
      <c r="B24" s="73"/>
      <c r="C24" s="152" t="s">
        <v>1251</v>
      </c>
      <c r="D24" s="153"/>
      <c r="E24" s="24" t="s">
        <v>1094</v>
      </c>
      <c r="F24" s="76" t="s">
        <v>1252</v>
      </c>
      <c r="G24" s="71"/>
    </row>
    <row r="25" spans="2:7" s="72" customFormat="1">
      <c r="B25" s="73"/>
      <c r="C25" s="87" t="s">
        <v>1253</v>
      </c>
      <c r="D25" s="88"/>
      <c r="E25" s="24" t="s">
        <v>1096</v>
      </c>
      <c r="F25" s="89" t="s">
        <v>1254</v>
      </c>
      <c r="G25" s="71"/>
    </row>
    <row r="26" spans="2:7" s="72" customFormat="1">
      <c r="B26" s="73"/>
      <c r="C26" s="87" t="s">
        <v>1255</v>
      </c>
      <c r="D26" s="88"/>
      <c r="E26" s="24" t="s">
        <v>1097</v>
      </c>
      <c r="F26" s="89" t="s">
        <v>1256</v>
      </c>
      <c r="G26" s="71"/>
    </row>
    <row r="27" spans="2:7" s="72" customFormat="1">
      <c r="B27" s="73"/>
      <c r="C27" s="87" t="s">
        <v>1257</v>
      </c>
      <c r="D27" s="90"/>
      <c r="E27" s="25" t="s">
        <v>1098</v>
      </c>
      <c r="F27" s="91" t="s">
        <v>1258</v>
      </c>
      <c r="G27" s="71"/>
    </row>
    <row r="28" spans="2:7" s="72" customFormat="1" ht="14.25" thickBot="1">
      <c r="B28" s="73"/>
      <c r="C28" s="77" t="s">
        <v>1259</v>
      </c>
      <c r="D28" s="81"/>
      <c r="E28" s="22" t="s">
        <v>1099</v>
      </c>
      <c r="F28" s="82" t="s">
        <v>1241</v>
      </c>
      <c r="G28" s="71"/>
    </row>
    <row r="29" spans="2:7" s="72" customFormat="1">
      <c r="B29" s="83" t="s">
        <v>1260</v>
      </c>
      <c r="C29" s="84"/>
      <c r="D29" s="85"/>
      <c r="E29" s="23" t="s">
        <v>1261</v>
      </c>
      <c r="F29" s="86" t="s">
        <v>1262</v>
      </c>
      <c r="G29" s="71"/>
    </row>
    <row r="30" spans="2:7" s="72" customFormat="1">
      <c r="B30" s="73"/>
      <c r="C30" s="74" t="s">
        <v>1263</v>
      </c>
      <c r="D30" s="75"/>
      <c r="E30" s="18" t="s">
        <v>1101</v>
      </c>
      <c r="F30" s="76" t="s">
        <v>1264</v>
      </c>
      <c r="G30" s="71"/>
    </row>
    <row r="31" spans="2:7" s="72" customFormat="1" ht="13.5" customHeight="1">
      <c r="B31" s="73"/>
      <c r="C31" s="77" t="s">
        <v>1245</v>
      </c>
      <c r="D31" s="75"/>
      <c r="E31" s="18" t="s">
        <v>47</v>
      </c>
      <c r="F31" s="76" t="s">
        <v>1246</v>
      </c>
      <c r="G31" s="71"/>
    </row>
    <row r="32" spans="2:7" s="72" customFormat="1" ht="14.25">
      <c r="B32" s="73"/>
      <c r="C32" s="92"/>
      <c r="D32" s="93" t="s">
        <v>1265</v>
      </c>
      <c r="E32" s="18" t="s">
        <v>1102</v>
      </c>
      <c r="F32" s="76" t="s">
        <v>1266</v>
      </c>
      <c r="G32" s="71"/>
    </row>
    <row r="33" spans="2:7" s="72" customFormat="1" ht="14.25">
      <c r="B33" s="73"/>
      <c r="C33" s="78"/>
      <c r="D33" s="93" t="s">
        <v>1267</v>
      </c>
      <c r="E33" s="18" t="s">
        <v>1103</v>
      </c>
      <c r="F33" s="76" t="s">
        <v>1268</v>
      </c>
      <c r="G33" s="71"/>
    </row>
    <row r="34" spans="2:7" s="72" customFormat="1">
      <c r="B34" s="73"/>
      <c r="C34" s="74" t="s">
        <v>1269</v>
      </c>
      <c r="D34" s="75"/>
      <c r="E34" s="18" t="s">
        <v>1104</v>
      </c>
      <c r="F34" s="76" t="s">
        <v>1270</v>
      </c>
      <c r="G34" s="71"/>
    </row>
    <row r="35" spans="2:7" s="72" customFormat="1">
      <c r="B35" s="73"/>
      <c r="C35" s="74" t="s">
        <v>1271</v>
      </c>
      <c r="D35" s="75"/>
      <c r="E35" s="18" t="s">
        <v>101</v>
      </c>
      <c r="F35" s="76" t="s">
        <v>1272</v>
      </c>
      <c r="G35" s="71"/>
    </row>
    <row r="36" spans="2:7" s="72" customFormat="1">
      <c r="B36" s="73"/>
      <c r="C36" s="74" t="s">
        <v>1273</v>
      </c>
      <c r="D36" s="75"/>
      <c r="E36" s="18" t="s">
        <v>1105</v>
      </c>
      <c r="F36" s="76" t="s">
        <v>1274</v>
      </c>
      <c r="G36" s="71"/>
    </row>
    <row r="37" spans="2:7" s="72" customFormat="1">
      <c r="B37" s="73"/>
      <c r="C37" s="74" t="s">
        <v>1275</v>
      </c>
      <c r="D37" s="75"/>
      <c r="E37" s="18" t="s">
        <v>32</v>
      </c>
      <c r="F37" s="76" t="s">
        <v>1276</v>
      </c>
      <c r="G37" s="71"/>
    </row>
    <row r="38" spans="2:7" s="72" customFormat="1">
      <c r="B38" s="73"/>
      <c r="C38" s="74" t="s">
        <v>1277</v>
      </c>
      <c r="D38" s="75"/>
      <c r="E38" s="18" t="s">
        <v>128</v>
      </c>
      <c r="F38" s="76" t="s">
        <v>1278</v>
      </c>
      <c r="G38" s="71"/>
    </row>
    <row r="39" spans="2:7" s="72" customFormat="1">
      <c r="B39" s="73"/>
      <c r="C39" s="77" t="s">
        <v>1279</v>
      </c>
      <c r="D39" s="75"/>
      <c r="E39" s="18" t="s">
        <v>1106</v>
      </c>
      <c r="F39" s="76" t="s">
        <v>1280</v>
      </c>
      <c r="G39" s="71"/>
    </row>
    <row r="40" spans="2:7" s="72" customFormat="1" ht="14.25">
      <c r="B40" s="73"/>
      <c r="C40" s="78"/>
      <c r="D40" s="93" t="s">
        <v>1281</v>
      </c>
      <c r="E40" s="18" t="s">
        <v>1107</v>
      </c>
      <c r="F40" s="76" t="s">
        <v>1282</v>
      </c>
      <c r="G40" s="71"/>
    </row>
    <row r="41" spans="2:7" s="72" customFormat="1" ht="14.25">
      <c r="B41" s="73"/>
      <c r="C41" s="94" t="s">
        <v>1283</v>
      </c>
      <c r="D41" s="95"/>
      <c r="E41" s="18" t="s">
        <v>1108</v>
      </c>
      <c r="F41" s="76" t="s">
        <v>1284</v>
      </c>
      <c r="G41" s="71"/>
    </row>
    <row r="42" spans="2:7" s="72" customFormat="1">
      <c r="B42" s="73"/>
      <c r="C42" s="74" t="s">
        <v>1285</v>
      </c>
      <c r="D42" s="75"/>
      <c r="E42" s="18" t="s">
        <v>1109</v>
      </c>
      <c r="F42" s="76" t="s">
        <v>1286</v>
      </c>
      <c r="G42" s="71"/>
    </row>
    <row r="43" spans="2:7" s="72" customFormat="1" ht="14.25" thickBot="1">
      <c r="B43" s="96"/>
      <c r="C43" s="97" t="s">
        <v>1240</v>
      </c>
      <c r="D43" s="98"/>
      <c r="E43" s="29" t="s">
        <v>1110</v>
      </c>
      <c r="F43" s="99" t="s">
        <v>1241</v>
      </c>
      <c r="G43" s="71"/>
    </row>
    <row r="44" spans="2:7" s="72" customFormat="1">
      <c r="B44" s="100" t="s">
        <v>1287</v>
      </c>
      <c r="C44" s="101"/>
      <c r="D44" s="102"/>
      <c r="E44" s="30" t="s">
        <v>1288</v>
      </c>
      <c r="F44" s="103" t="s">
        <v>1289</v>
      </c>
      <c r="G44" s="71"/>
    </row>
    <row r="45" spans="2:7" s="72" customFormat="1">
      <c r="B45" s="73"/>
      <c r="C45" s="74" t="s">
        <v>1290</v>
      </c>
      <c r="D45" s="75"/>
      <c r="E45" s="24" t="s">
        <v>1111</v>
      </c>
      <c r="F45" s="76" t="s">
        <v>1291</v>
      </c>
      <c r="G45" s="71"/>
    </row>
    <row r="46" spans="2:7" s="72" customFormat="1">
      <c r="B46" s="73"/>
      <c r="C46" s="74" t="s">
        <v>1292</v>
      </c>
      <c r="D46" s="75"/>
      <c r="E46" s="18" t="s">
        <v>1112</v>
      </c>
      <c r="F46" s="104" t="s">
        <v>1293</v>
      </c>
      <c r="G46" s="71"/>
    </row>
    <row r="47" spans="2:7" s="72" customFormat="1">
      <c r="B47" s="73"/>
      <c r="C47" s="74" t="s">
        <v>1294</v>
      </c>
      <c r="D47" s="75"/>
      <c r="E47" s="18" t="s">
        <v>1113</v>
      </c>
      <c r="F47" s="76" t="s">
        <v>1295</v>
      </c>
      <c r="G47" s="71"/>
    </row>
    <row r="48" spans="2:7" s="72" customFormat="1" ht="14.25" thickBot="1">
      <c r="B48" s="73"/>
      <c r="C48" s="77" t="s">
        <v>1240</v>
      </c>
      <c r="D48" s="81"/>
      <c r="E48" s="22" t="s">
        <v>1114</v>
      </c>
      <c r="F48" s="99" t="s">
        <v>1241</v>
      </c>
      <c r="G48" s="71"/>
    </row>
    <row r="49" spans="2:7" s="72" customFormat="1">
      <c r="B49" s="83" t="s">
        <v>1296</v>
      </c>
      <c r="C49" s="84"/>
      <c r="D49" s="85"/>
      <c r="E49" s="23" t="s">
        <v>1297</v>
      </c>
      <c r="F49" s="86" t="s">
        <v>1298</v>
      </c>
      <c r="G49" s="71"/>
    </row>
    <row r="50" spans="2:7" s="72" customFormat="1">
      <c r="B50" s="73"/>
      <c r="C50" s="74" t="s">
        <v>1299</v>
      </c>
      <c r="D50" s="75"/>
      <c r="E50" s="24" t="s">
        <v>1115</v>
      </c>
      <c r="F50" s="76" t="s">
        <v>1300</v>
      </c>
      <c r="G50" s="71"/>
    </row>
    <row r="51" spans="2:7" s="72" customFormat="1">
      <c r="B51" s="73"/>
      <c r="C51" s="74" t="s">
        <v>1301</v>
      </c>
      <c r="D51" s="75"/>
      <c r="E51" s="18" t="s">
        <v>368</v>
      </c>
      <c r="F51" s="76" t="s">
        <v>1302</v>
      </c>
      <c r="G51" s="71"/>
    </row>
    <row r="52" spans="2:7" s="72" customFormat="1">
      <c r="B52" s="73"/>
      <c r="C52" s="74" t="s">
        <v>1303</v>
      </c>
      <c r="D52" s="75"/>
      <c r="E52" s="18" t="s">
        <v>1116</v>
      </c>
      <c r="F52" s="76" t="s">
        <v>1304</v>
      </c>
      <c r="G52" s="71"/>
    </row>
    <row r="53" spans="2:7" s="72" customFormat="1" ht="14.25" thickBot="1">
      <c r="B53" s="96"/>
      <c r="C53" s="97" t="s">
        <v>1240</v>
      </c>
      <c r="D53" s="98"/>
      <c r="E53" s="29" t="s">
        <v>1117</v>
      </c>
      <c r="F53" s="99" t="s">
        <v>1241</v>
      </c>
      <c r="G53" s="71"/>
    </row>
    <row r="54" spans="2:7" s="72" customFormat="1">
      <c r="B54" s="100" t="s">
        <v>1305</v>
      </c>
      <c r="C54" s="101"/>
      <c r="D54" s="102"/>
      <c r="E54" s="30" t="s">
        <v>1306</v>
      </c>
      <c r="F54" s="103" t="s">
        <v>1307</v>
      </c>
      <c r="G54" s="71"/>
    </row>
    <row r="55" spans="2:7" s="72" customFormat="1">
      <c r="B55" s="73"/>
      <c r="C55" s="74" t="s">
        <v>1308</v>
      </c>
      <c r="D55" s="75"/>
      <c r="E55" s="18" t="s">
        <v>1118</v>
      </c>
      <c r="F55" s="76" t="s">
        <v>1309</v>
      </c>
      <c r="G55" s="71"/>
    </row>
    <row r="56" spans="2:7" s="72" customFormat="1">
      <c r="B56" s="73"/>
      <c r="C56" s="74" t="s">
        <v>1310</v>
      </c>
      <c r="D56" s="75"/>
      <c r="E56" s="18" t="s">
        <v>1119</v>
      </c>
      <c r="F56" s="76" t="s">
        <v>1311</v>
      </c>
      <c r="G56" s="71"/>
    </row>
    <row r="57" spans="2:7" s="72" customFormat="1">
      <c r="B57" s="73"/>
      <c r="C57" s="105" t="s">
        <v>1312</v>
      </c>
      <c r="D57" s="88"/>
      <c r="E57" s="18" t="s">
        <v>1120</v>
      </c>
      <c r="F57" s="76" t="s">
        <v>1313</v>
      </c>
      <c r="G57" s="71"/>
    </row>
    <row r="58" spans="2:7" s="72" customFormat="1">
      <c r="B58" s="73"/>
      <c r="C58" s="74" t="s">
        <v>1314</v>
      </c>
      <c r="D58" s="75"/>
      <c r="E58" s="18" t="s">
        <v>1121</v>
      </c>
      <c r="F58" s="76" t="s">
        <v>1315</v>
      </c>
      <c r="G58" s="71"/>
    </row>
    <row r="59" spans="2:7" s="72" customFormat="1">
      <c r="B59" s="73"/>
      <c r="C59" s="74" t="s">
        <v>1316</v>
      </c>
      <c r="D59" s="75"/>
      <c r="E59" s="18" t="s">
        <v>1122</v>
      </c>
      <c r="F59" s="76" t="s">
        <v>1317</v>
      </c>
      <c r="G59" s="71"/>
    </row>
    <row r="60" spans="2:7" s="72" customFormat="1" ht="14.25" thickBot="1">
      <c r="B60" s="73"/>
      <c r="C60" s="106" t="s">
        <v>1259</v>
      </c>
      <c r="D60" s="107"/>
      <c r="E60" s="22" t="s">
        <v>1123</v>
      </c>
      <c r="F60" s="82" t="s">
        <v>1241</v>
      </c>
      <c r="G60" s="71"/>
    </row>
    <row r="61" spans="2:7" s="72" customFormat="1">
      <c r="B61" s="83" t="s">
        <v>1318</v>
      </c>
      <c r="C61" s="84"/>
      <c r="D61" s="85"/>
      <c r="E61" s="23" t="s">
        <v>1319</v>
      </c>
      <c r="F61" s="86" t="s">
        <v>1320</v>
      </c>
      <c r="G61" s="71"/>
    </row>
    <row r="62" spans="2:7" s="72" customFormat="1">
      <c r="B62" s="73"/>
      <c r="C62" s="108" t="s">
        <v>1321</v>
      </c>
      <c r="D62" s="109"/>
      <c r="E62" s="18" t="s">
        <v>1124</v>
      </c>
      <c r="F62" s="76" t="s">
        <v>1322</v>
      </c>
      <c r="G62" s="71"/>
    </row>
    <row r="63" spans="2:7" s="72" customFormat="1">
      <c r="B63" s="73"/>
      <c r="C63" s="74" t="s">
        <v>1323</v>
      </c>
      <c r="D63" s="75"/>
      <c r="E63" s="18" t="s">
        <v>1125</v>
      </c>
      <c r="F63" s="76" t="s">
        <v>1324</v>
      </c>
      <c r="G63" s="71"/>
    </row>
    <row r="64" spans="2:7" s="72" customFormat="1">
      <c r="B64" s="73"/>
      <c r="C64" s="74" t="s">
        <v>1325</v>
      </c>
      <c r="D64" s="75"/>
      <c r="E64" s="18" t="s">
        <v>1126</v>
      </c>
      <c r="F64" s="76" t="s">
        <v>1326</v>
      </c>
      <c r="G64" s="71"/>
    </row>
    <row r="65" spans="2:7" s="72" customFormat="1">
      <c r="B65" s="73"/>
      <c r="C65" s="87" t="s">
        <v>1327</v>
      </c>
      <c r="D65" s="90"/>
      <c r="E65" s="24" t="s">
        <v>1127</v>
      </c>
      <c r="F65" s="91" t="s">
        <v>1328</v>
      </c>
      <c r="G65" s="71"/>
    </row>
    <row r="66" spans="2:7" s="72" customFormat="1">
      <c r="B66" s="73"/>
      <c r="C66" s="106" t="s">
        <v>1329</v>
      </c>
      <c r="D66" s="107"/>
      <c r="E66" s="22" t="s">
        <v>1128</v>
      </c>
      <c r="F66" s="82" t="s">
        <v>1330</v>
      </c>
      <c r="G66" s="71"/>
    </row>
    <row r="67" spans="2:7" s="72" customFormat="1" ht="14.25" thickBot="1">
      <c r="B67" s="73"/>
      <c r="C67" s="106" t="s">
        <v>1259</v>
      </c>
      <c r="D67" s="107"/>
      <c r="E67" s="22" t="s">
        <v>1129</v>
      </c>
      <c r="F67" s="82" t="s">
        <v>1331</v>
      </c>
      <c r="G67" s="71"/>
    </row>
    <row r="68" spans="2:7" s="72" customFormat="1">
      <c r="B68" s="83" t="s">
        <v>1332</v>
      </c>
      <c r="C68" s="84"/>
      <c r="D68" s="85"/>
      <c r="E68" s="23" t="s">
        <v>1333</v>
      </c>
      <c r="F68" s="86" t="s">
        <v>1334</v>
      </c>
      <c r="G68" s="71"/>
    </row>
    <row r="69" spans="2:7" s="72" customFormat="1">
      <c r="B69" s="73"/>
      <c r="C69" s="74" t="s">
        <v>1335</v>
      </c>
      <c r="D69" s="75"/>
      <c r="E69" s="18" t="s">
        <v>1130</v>
      </c>
      <c r="F69" s="76" t="s">
        <v>1336</v>
      </c>
      <c r="G69" s="71"/>
    </row>
    <row r="70" spans="2:7" s="72" customFormat="1">
      <c r="B70" s="73"/>
      <c r="C70" s="74" t="s">
        <v>1337</v>
      </c>
      <c r="D70" s="75"/>
      <c r="E70" s="18" t="s">
        <v>1131</v>
      </c>
      <c r="F70" s="76" t="s">
        <v>1338</v>
      </c>
      <c r="G70" s="71"/>
    </row>
    <row r="71" spans="2:7" s="72" customFormat="1">
      <c r="B71" s="73"/>
      <c r="C71" s="74" t="s">
        <v>1339</v>
      </c>
      <c r="D71" s="75"/>
      <c r="E71" s="18" t="s">
        <v>1132</v>
      </c>
      <c r="F71" s="104" t="s">
        <v>1340</v>
      </c>
      <c r="G71" s="71"/>
    </row>
    <row r="72" spans="2:7" s="72" customFormat="1" ht="14.25" thickBot="1">
      <c r="B72" s="96"/>
      <c r="C72" s="110" t="s">
        <v>1259</v>
      </c>
      <c r="D72" s="111"/>
      <c r="E72" s="29" t="s">
        <v>1133</v>
      </c>
      <c r="F72" s="99" t="s">
        <v>1241</v>
      </c>
      <c r="G72" s="71"/>
    </row>
    <row r="73" spans="2:7" s="72" customFormat="1">
      <c r="B73" s="100" t="s">
        <v>1341</v>
      </c>
      <c r="C73" s="101"/>
      <c r="D73" s="102"/>
      <c r="E73" s="30" t="s">
        <v>1342</v>
      </c>
      <c r="F73" s="103" t="s">
        <v>1343</v>
      </c>
      <c r="G73" s="71"/>
    </row>
    <row r="74" spans="2:7" s="72" customFormat="1">
      <c r="B74" s="73"/>
      <c r="C74" s="108" t="s">
        <v>1344</v>
      </c>
      <c r="D74" s="109"/>
      <c r="E74" s="18" t="s">
        <v>1134</v>
      </c>
      <c r="F74" s="76" t="s">
        <v>1345</v>
      </c>
      <c r="G74" s="71"/>
    </row>
    <row r="75" spans="2:7" s="72" customFormat="1">
      <c r="B75" s="73"/>
      <c r="C75" s="74" t="s">
        <v>1346</v>
      </c>
      <c r="D75" s="75"/>
      <c r="E75" s="18" t="s">
        <v>1135</v>
      </c>
      <c r="F75" s="76" t="s">
        <v>1347</v>
      </c>
      <c r="G75" s="71"/>
    </row>
    <row r="76" spans="2:7" s="72" customFormat="1">
      <c r="B76" s="73"/>
      <c r="C76" s="74" t="s">
        <v>1348</v>
      </c>
      <c r="D76" s="75"/>
      <c r="E76" s="18" t="s">
        <v>1136</v>
      </c>
      <c r="F76" s="76" t="s">
        <v>1349</v>
      </c>
      <c r="G76" s="71"/>
    </row>
    <row r="77" spans="2:7" s="72" customFormat="1" ht="14.25" thickBot="1">
      <c r="B77" s="73"/>
      <c r="C77" s="106" t="s">
        <v>1259</v>
      </c>
      <c r="D77" s="107"/>
      <c r="E77" s="22" t="s">
        <v>1137</v>
      </c>
      <c r="F77" s="82" t="s">
        <v>1241</v>
      </c>
      <c r="G77" s="71"/>
    </row>
    <row r="78" spans="2:7" s="72" customFormat="1">
      <c r="B78" s="83" t="s">
        <v>1350</v>
      </c>
      <c r="C78" s="84"/>
      <c r="D78" s="85"/>
      <c r="E78" s="31" t="s">
        <v>1351</v>
      </c>
      <c r="F78" s="112" t="s">
        <v>1352</v>
      </c>
      <c r="G78" s="71"/>
    </row>
    <row r="79" spans="2:7" s="72" customFormat="1">
      <c r="B79" s="73"/>
      <c r="C79" s="108" t="s">
        <v>1353</v>
      </c>
      <c r="D79" s="109"/>
      <c r="E79" s="25" t="s">
        <v>1138</v>
      </c>
      <c r="F79" s="91" t="s">
        <v>1354</v>
      </c>
      <c r="G79" s="71"/>
    </row>
    <row r="80" spans="2:7" s="72" customFormat="1" ht="14.25" thickBot="1">
      <c r="B80" s="73"/>
      <c r="C80" s="108" t="s">
        <v>1355</v>
      </c>
      <c r="D80" s="109"/>
      <c r="E80" s="32" t="s">
        <v>1139</v>
      </c>
      <c r="F80" s="113" t="s">
        <v>1331</v>
      </c>
      <c r="G80" s="71"/>
    </row>
    <row r="81" spans="2:7" s="72" customFormat="1">
      <c r="B81" s="83" t="s">
        <v>1356</v>
      </c>
      <c r="C81" s="84"/>
      <c r="D81" s="85"/>
      <c r="E81" s="23" t="s">
        <v>1357</v>
      </c>
      <c r="F81" s="86" t="s">
        <v>1358</v>
      </c>
      <c r="G81" s="71"/>
    </row>
    <row r="82" spans="2:7" s="72" customFormat="1">
      <c r="B82" s="73"/>
      <c r="C82" s="74" t="s">
        <v>1359</v>
      </c>
      <c r="D82" s="75"/>
      <c r="E82" s="18" t="s">
        <v>1140</v>
      </c>
      <c r="F82" s="76" t="s">
        <v>1360</v>
      </c>
      <c r="G82" s="71"/>
    </row>
    <row r="83" spans="2:7" s="72" customFormat="1">
      <c r="B83" s="73"/>
      <c r="C83" s="77" t="s">
        <v>1361</v>
      </c>
      <c r="D83" s="81"/>
      <c r="E83" s="22" t="s">
        <v>1141</v>
      </c>
      <c r="F83" s="91" t="s">
        <v>1362</v>
      </c>
      <c r="G83" s="71"/>
    </row>
    <row r="84" spans="2:7" s="72" customFormat="1">
      <c r="B84" s="73"/>
      <c r="C84" s="77" t="s">
        <v>1363</v>
      </c>
      <c r="D84" s="81"/>
      <c r="E84" s="22" t="s">
        <v>1142</v>
      </c>
      <c r="F84" s="91" t="s">
        <v>1364</v>
      </c>
      <c r="G84" s="71"/>
    </row>
    <row r="85" spans="2:7" s="72" customFormat="1">
      <c r="B85" s="73"/>
      <c r="C85" s="77" t="s">
        <v>1365</v>
      </c>
      <c r="D85" s="81"/>
      <c r="E85" s="22" t="s">
        <v>1143</v>
      </c>
      <c r="F85" s="91" t="s">
        <v>1366</v>
      </c>
      <c r="G85" s="71"/>
    </row>
    <row r="86" spans="2:7" s="72" customFormat="1" ht="14.25" thickBot="1">
      <c r="B86" s="96"/>
      <c r="C86" s="110" t="s">
        <v>1259</v>
      </c>
      <c r="D86" s="111"/>
      <c r="E86" s="29" t="s">
        <v>1144</v>
      </c>
      <c r="F86" s="99" t="s">
        <v>1241</v>
      </c>
      <c r="G86" s="71"/>
    </row>
    <row r="87" spans="2:7" s="72" customFormat="1" ht="14.25" thickBot="1">
      <c r="B87" s="114" t="s">
        <v>1367</v>
      </c>
      <c r="C87" s="115"/>
      <c r="D87" s="116"/>
      <c r="E87" s="33" t="s">
        <v>1368</v>
      </c>
      <c r="F87" s="117" t="s">
        <v>1369</v>
      </c>
      <c r="G87" s="71"/>
    </row>
    <row r="88" spans="2:7" s="72" customFormat="1">
      <c r="B88" s="83" t="s">
        <v>1370</v>
      </c>
      <c r="C88" s="84"/>
      <c r="D88" s="85"/>
      <c r="E88" s="31" t="s">
        <v>1371</v>
      </c>
      <c r="F88" s="112" t="s">
        <v>1372</v>
      </c>
      <c r="G88" s="71"/>
    </row>
    <row r="89" spans="2:7" s="72" customFormat="1">
      <c r="B89" s="73"/>
      <c r="C89" s="105" t="s">
        <v>1373</v>
      </c>
      <c r="D89" s="88"/>
      <c r="E89" s="25" t="s">
        <v>1145</v>
      </c>
      <c r="F89" s="91" t="s">
        <v>1322</v>
      </c>
      <c r="G89" s="71"/>
    </row>
    <row r="90" spans="2:7" s="72" customFormat="1">
      <c r="B90" s="73"/>
      <c r="C90" s="105" t="s">
        <v>1374</v>
      </c>
      <c r="D90" s="88"/>
      <c r="E90" s="25" t="s">
        <v>1146</v>
      </c>
      <c r="F90" s="91" t="s">
        <v>1264</v>
      </c>
      <c r="G90" s="71"/>
    </row>
    <row r="91" spans="2:7" s="72" customFormat="1" ht="14.25" thickBot="1">
      <c r="B91" s="73"/>
      <c r="C91" s="106" t="s">
        <v>1355</v>
      </c>
      <c r="D91" s="107"/>
      <c r="E91" s="25" t="s">
        <v>1147</v>
      </c>
      <c r="F91" s="113" t="s">
        <v>1331</v>
      </c>
      <c r="G91" s="71"/>
    </row>
    <row r="92" spans="2:7" s="72" customFormat="1">
      <c r="B92" s="83" t="s">
        <v>1375</v>
      </c>
      <c r="C92" s="118"/>
      <c r="D92" s="119"/>
      <c r="E92" s="31" t="s">
        <v>1376</v>
      </c>
      <c r="F92" s="120" t="s">
        <v>1377</v>
      </c>
      <c r="G92" s="71"/>
    </row>
    <row r="93" spans="2:7" s="72" customFormat="1">
      <c r="B93" s="73"/>
      <c r="C93" s="74" t="s">
        <v>1378</v>
      </c>
      <c r="D93" s="75"/>
      <c r="E93" s="18" t="s">
        <v>1148</v>
      </c>
      <c r="F93" s="76" t="s">
        <v>1379</v>
      </c>
      <c r="G93" s="71"/>
    </row>
    <row r="94" spans="2:7" s="72" customFormat="1">
      <c r="B94" s="73"/>
      <c r="C94" s="74" t="s">
        <v>1380</v>
      </c>
      <c r="D94" s="75"/>
      <c r="E94" s="18" t="s">
        <v>1149</v>
      </c>
      <c r="F94" s="76" t="s">
        <v>1381</v>
      </c>
      <c r="G94" s="71"/>
    </row>
    <row r="95" spans="2:7" s="72" customFormat="1">
      <c r="B95" s="73"/>
      <c r="C95" s="77" t="s">
        <v>1382</v>
      </c>
      <c r="D95" s="75"/>
      <c r="E95" s="18" t="s">
        <v>1150</v>
      </c>
      <c r="F95" s="76" t="s">
        <v>1383</v>
      </c>
      <c r="G95" s="71"/>
    </row>
    <row r="96" spans="2:7" s="72" customFormat="1" ht="14.25" thickBot="1">
      <c r="B96" s="96"/>
      <c r="C96" s="97" t="s">
        <v>1384</v>
      </c>
      <c r="D96" s="98"/>
      <c r="E96" s="29" t="s">
        <v>1151</v>
      </c>
      <c r="F96" s="99" t="s">
        <v>1241</v>
      </c>
      <c r="G96" s="71"/>
    </row>
    <row r="97" spans="2:9" s="72" customFormat="1" ht="14.25" thickBot="1">
      <c r="B97" s="100" t="s">
        <v>1385</v>
      </c>
      <c r="C97" s="121"/>
      <c r="D97" s="122"/>
      <c r="E97" s="34" t="s">
        <v>1386</v>
      </c>
      <c r="F97" s="120" t="s">
        <v>1387</v>
      </c>
      <c r="G97" s="71"/>
    </row>
    <row r="98" spans="2:9" s="72" customFormat="1">
      <c r="B98" s="83" t="s">
        <v>1388</v>
      </c>
      <c r="C98" s="84"/>
      <c r="D98" s="85"/>
      <c r="E98" s="23" t="s">
        <v>1389</v>
      </c>
      <c r="F98" s="86" t="s">
        <v>1390</v>
      </c>
      <c r="G98" s="71"/>
    </row>
    <row r="99" spans="2:9" s="72" customFormat="1">
      <c r="B99" s="73"/>
      <c r="C99" s="108" t="s">
        <v>1391</v>
      </c>
      <c r="D99" s="109"/>
      <c r="E99" s="18" t="s">
        <v>1152</v>
      </c>
      <c r="F99" s="76" t="s">
        <v>1392</v>
      </c>
      <c r="G99" s="71"/>
      <c r="I99" s="62"/>
    </row>
    <row r="100" spans="2:9" s="72" customFormat="1">
      <c r="B100" s="73"/>
      <c r="C100" s="108" t="s">
        <v>1393</v>
      </c>
      <c r="D100" s="109"/>
      <c r="E100" s="18" t="s">
        <v>1153</v>
      </c>
      <c r="F100" s="76" t="s">
        <v>1394</v>
      </c>
      <c r="G100" s="71"/>
    </row>
    <row r="101" spans="2:9" s="72" customFormat="1">
      <c r="B101" s="73"/>
      <c r="C101" s="106" t="s">
        <v>1395</v>
      </c>
      <c r="D101" s="107"/>
      <c r="E101" s="18" t="s">
        <v>1154</v>
      </c>
      <c r="F101" s="76" t="s">
        <v>1396</v>
      </c>
      <c r="G101" s="71"/>
    </row>
    <row r="102" spans="2:9" s="72" customFormat="1" ht="14.25" thickBot="1">
      <c r="B102" s="96"/>
      <c r="C102" s="110" t="s">
        <v>1397</v>
      </c>
      <c r="D102" s="111"/>
      <c r="E102" s="29" t="s">
        <v>1155</v>
      </c>
      <c r="F102" s="99" t="s">
        <v>1398</v>
      </c>
      <c r="G102" s="71"/>
    </row>
    <row r="103" spans="2:9" s="72" customFormat="1">
      <c r="B103" s="100" t="s">
        <v>1209</v>
      </c>
      <c r="C103" s="101"/>
      <c r="D103" s="102"/>
      <c r="E103" s="30" t="s">
        <v>1399</v>
      </c>
      <c r="F103" s="103" t="s">
        <v>1400</v>
      </c>
      <c r="G103" s="71"/>
    </row>
    <row r="104" spans="2:9" s="72" customFormat="1">
      <c r="B104" s="73"/>
      <c r="C104" s="108" t="s">
        <v>1401</v>
      </c>
      <c r="D104" s="109"/>
      <c r="E104" s="18" t="s">
        <v>1156</v>
      </c>
      <c r="F104" s="76" t="s">
        <v>1402</v>
      </c>
      <c r="G104" s="71"/>
    </row>
    <row r="105" spans="2:9" s="72" customFormat="1">
      <c r="B105" s="73"/>
      <c r="C105" s="105" t="s">
        <v>1403</v>
      </c>
      <c r="D105" s="88"/>
      <c r="E105" s="24" t="s">
        <v>1157</v>
      </c>
      <c r="F105" s="89" t="s">
        <v>1404</v>
      </c>
      <c r="G105" s="71"/>
    </row>
    <row r="106" spans="2:9" s="72" customFormat="1">
      <c r="B106" s="73"/>
      <c r="C106" s="105" t="s">
        <v>1405</v>
      </c>
      <c r="D106" s="88"/>
      <c r="E106" s="24" t="s">
        <v>1158</v>
      </c>
      <c r="F106" s="89" t="s">
        <v>1406</v>
      </c>
      <c r="G106" s="71"/>
    </row>
    <row r="107" spans="2:9" s="72" customFormat="1">
      <c r="B107" s="73"/>
      <c r="C107" s="105" t="s">
        <v>1407</v>
      </c>
      <c r="D107" s="88"/>
      <c r="E107" s="24" t="s">
        <v>1159</v>
      </c>
      <c r="F107" s="89" t="s">
        <v>1322</v>
      </c>
      <c r="G107" s="71"/>
    </row>
    <row r="108" spans="2:9" s="72" customFormat="1">
      <c r="B108" s="73"/>
      <c r="C108" s="108" t="s">
        <v>1408</v>
      </c>
      <c r="D108" s="109"/>
      <c r="E108" s="18" t="s">
        <v>1160</v>
      </c>
      <c r="F108" s="76" t="s">
        <v>1409</v>
      </c>
      <c r="G108" s="71"/>
    </row>
    <row r="109" spans="2:9" s="72" customFormat="1">
      <c r="B109" s="73"/>
      <c r="C109" s="74" t="s">
        <v>1410</v>
      </c>
      <c r="D109" s="75"/>
      <c r="E109" s="18" t="s">
        <v>1411</v>
      </c>
      <c r="F109" s="76" t="s">
        <v>1412</v>
      </c>
      <c r="G109" s="71"/>
    </row>
    <row r="110" spans="2:9" s="72" customFormat="1">
      <c r="B110" s="73"/>
      <c r="C110" s="74" t="s">
        <v>1413</v>
      </c>
      <c r="D110" s="75"/>
      <c r="E110" s="18" t="s">
        <v>1161</v>
      </c>
      <c r="F110" s="76" t="s">
        <v>1414</v>
      </c>
      <c r="G110" s="71"/>
    </row>
    <row r="111" spans="2:9" s="72" customFormat="1">
      <c r="B111" s="73"/>
      <c r="C111" s="77" t="s">
        <v>1415</v>
      </c>
      <c r="D111" s="81"/>
      <c r="E111" s="22" t="s">
        <v>1162</v>
      </c>
      <c r="F111" s="82" t="s">
        <v>1416</v>
      </c>
      <c r="G111" s="71"/>
    </row>
    <row r="112" spans="2:9" s="72" customFormat="1" ht="14.25" thickBot="1">
      <c r="B112" s="73"/>
      <c r="C112" s="77" t="s">
        <v>1417</v>
      </c>
      <c r="D112" s="81"/>
      <c r="E112" s="22" t="s">
        <v>1163</v>
      </c>
      <c r="F112" s="82" t="s">
        <v>1418</v>
      </c>
      <c r="G112" s="71"/>
    </row>
    <row r="113" spans="1:7" s="72" customFormat="1">
      <c r="B113" s="83" t="s">
        <v>1419</v>
      </c>
      <c r="C113" s="84"/>
      <c r="D113" s="85"/>
      <c r="E113" s="23" t="s">
        <v>1420</v>
      </c>
      <c r="F113" s="86" t="s">
        <v>1421</v>
      </c>
      <c r="G113" s="71"/>
    </row>
    <row r="114" spans="1:7">
      <c r="A114" s="72"/>
      <c r="B114" s="73"/>
      <c r="C114" s="74" t="s">
        <v>1422</v>
      </c>
      <c r="D114" s="75"/>
      <c r="E114" s="18" t="s">
        <v>1164</v>
      </c>
      <c r="F114" s="76" t="s">
        <v>1423</v>
      </c>
      <c r="G114" s="71"/>
    </row>
    <row r="115" spans="1:7">
      <c r="A115" s="72"/>
      <c r="B115" s="73"/>
      <c r="C115" s="74" t="s">
        <v>1424</v>
      </c>
      <c r="D115" s="75"/>
      <c r="E115" s="18" t="s">
        <v>1165</v>
      </c>
      <c r="F115" s="76" t="s">
        <v>1425</v>
      </c>
      <c r="G115" s="71"/>
    </row>
    <row r="116" spans="1:7">
      <c r="A116" s="72"/>
      <c r="B116" s="73"/>
      <c r="C116" s="74" t="s">
        <v>1426</v>
      </c>
      <c r="D116" s="75"/>
      <c r="E116" s="18" t="s">
        <v>1166</v>
      </c>
      <c r="F116" s="76" t="s">
        <v>1427</v>
      </c>
      <c r="G116" s="71"/>
    </row>
    <row r="117" spans="1:7" ht="14.25" thickBot="1">
      <c r="A117" s="72"/>
      <c r="B117" s="73"/>
      <c r="C117" s="77" t="s">
        <v>1428</v>
      </c>
      <c r="D117" s="81"/>
      <c r="E117" s="22" t="s">
        <v>1167</v>
      </c>
      <c r="F117" s="82" t="s">
        <v>1429</v>
      </c>
      <c r="G117" s="71"/>
    </row>
    <row r="118" spans="1:7">
      <c r="A118" s="72"/>
      <c r="B118" s="83" t="s">
        <v>1430</v>
      </c>
      <c r="C118" s="84"/>
      <c r="D118" s="85"/>
      <c r="E118" s="23" t="s">
        <v>545</v>
      </c>
      <c r="F118" s="86" t="s">
        <v>1431</v>
      </c>
      <c r="G118" s="71"/>
    </row>
    <row r="119" spans="1:7" ht="14.25" thickBot="1">
      <c r="A119" s="72"/>
      <c r="B119" s="96"/>
      <c r="C119" s="97" t="s">
        <v>1432</v>
      </c>
      <c r="D119" s="98"/>
      <c r="E119" s="29" t="s">
        <v>1168</v>
      </c>
      <c r="F119" s="99" t="s">
        <v>1433</v>
      </c>
      <c r="G119" s="71"/>
    </row>
    <row r="120" spans="1:7" ht="14.25" thickBot="1">
      <c r="A120" s="72"/>
      <c r="B120" s="100" t="s">
        <v>1434</v>
      </c>
      <c r="C120" s="121"/>
      <c r="D120" s="122"/>
      <c r="E120" s="34" t="s">
        <v>1435</v>
      </c>
      <c r="F120" s="120" t="s">
        <v>1436</v>
      </c>
      <c r="G120" s="71"/>
    </row>
    <row r="121" spans="1:7" ht="14.25" thickBot="1">
      <c r="A121" s="72"/>
      <c r="B121" s="114" t="s">
        <v>1437</v>
      </c>
      <c r="C121" s="115"/>
      <c r="D121" s="116"/>
      <c r="E121" s="33" t="s">
        <v>1438</v>
      </c>
      <c r="F121" s="117" t="s">
        <v>1439</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40" t="s">
        <v>1172</v>
      </c>
      <c r="D2" s="140"/>
      <c r="E2" s="37">
        <f>E8-E7</f>
        <v>18</v>
      </c>
      <c r="H2">
        <v>13</v>
      </c>
      <c r="M2" s="36"/>
      <c r="N2" s="140" t="s">
        <v>1172</v>
      </c>
      <c r="O2" s="140"/>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39" t="s">
        <v>1179</v>
      </c>
      <c r="D7" s="141"/>
      <c r="E7" s="40">
        <v>87</v>
      </c>
      <c r="F7" t="s">
        <v>1063</v>
      </c>
      <c r="G7">
        <f t="shared" si="0"/>
        <v>180</v>
      </c>
      <c r="M7" s="38"/>
      <c r="N7" s="139" t="s">
        <v>1179</v>
      </c>
      <c r="O7" s="141"/>
      <c r="P7" s="40">
        <v>93</v>
      </c>
    </row>
    <row r="8" spans="1:18">
      <c r="B8" s="138" t="s">
        <v>1180</v>
      </c>
      <c r="C8" s="139"/>
      <c r="D8" s="141"/>
      <c r="E8" s="40">
        <v>105</v>
      </c>
      <c r="F8" t="s">
        <v>1176</v>
      </c>
      <c r="G8">
        <f t="shared" si="0"/>
        <v>210</v>
      </c>
      <c r="M8" s="138" t="s">
        <v>1180</v>
      </c>
      <c r="N8" s="139"/>
      <c r="O8" s="141"/>
      <c r="P8" s="40">
        <v>105</v>
      </c>
    </row>
    <row r="9" spans="1:18">
      <c r="B9" s="38"/>
      <c r="C9" s="39"/>
      <c r="D9" s="39"/>
      <c r="E9" s="41"/>
      <c r="G9">
        <f t="shared" si="0"/>
        <v>0</v>
      </c>
      <c r="M9" s="38"/>
      <c r="N9" s="39"/>
      <c r="O9" s="39"/>
      <c r="P9" s="41"/>
    </row>
    <row r="10" spans="1:18">
      <c r="B10" s="138" t="s">
        <v>1181</v>
      </c>
      <c r="C10" s="139"/>
      <c r="D10" s="139"/>
      <c r="E10" s="40">
        <v>1</v>
      </c>
      <c r="G10">
        <f t="shared" si="0"/>
        <v>81</v>
      </c>
      <c r="M10" s="138" t="s">
        <v>1181</v>
      </c>
      <c r="N10" s="139"/>
      <c r="O10" s="139"/>
      <c r="P10" s="40">
        <v>80</v>
      </c>
    </row>
    <row r="11" spans="1:18" ht="19.5" thickBot="1">
      <c r="B11" s="136" t="s">
        <v>1182</v>
      </c>
      <c r="C11" s="137"/>
      <c r="D11" s="137"/>
      <c r="E11" s="42">
        <f>G17</f>
        <v>279</v>
      </c>
      <c r="G11">
        <f t="shared" si="0"/>
        <v>542</v>
      </c>
      <c r="M11" s="136" t="s">
        <v>1182</v>
      </c>
      <c r="N11" s="137"/>
      <c r="O11" s="137"/>
      <c r="P11" s="42">
        <v>263</v>
      </c>
    </row>
    <row r="12" spans="1:18" ht="19.5" thickTop="1"/>
    <row r="13" spans="1:18">
      <c r="B13" s="138" t="s">
        <v>1183</v>
      </c>
      <c r="C13" s="139"/>
      <c r="D13" s="139"/>
      <c r="E13" s="40">
        <f>185+E8+E10</f>
        <v>291</v>
      </c>
      <c r="M13" s="138" t="s">
        <v>1183</v>
      </c>
      <c r="N13" s="139"/>
      <c r="O13" s="139"/>
      <c r="P13" s="40">
        <f>P8+P10</f>
        <v>185</v>
      </c>
    </row>
    <row r="14" spans="1:18" ht="19.5" thickBot="1">
      <c r="B14" s="136" t="s">
        <v>1184</v>
      </c>
      <c r="C14" s="137"/>
      <c r="D14" s="137"/>
      <c r="E14" s="42">
        <f>368+E11+E8</f>
        <v>752</v>
      </c>
      <c r="M14" s="136" t="s">
        <v>1184</v>
      </c>
      <c r="N14" s="137"/>
      <c r="O14" s="137"/>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3" priority="2">
      <formula>$Q$8</formula>
    </cfRule>
  </conditionalFormatting>
  <conditionalFormatting sqref="G21">
    <cfRule type="expression" dxfId="2" priority="1">
      <formula>$Q$9</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1486</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1440</v>
      </c>
      <c r="C1" s="124" t="s">
        <v>1441</v>
      </c>
      <c r="D1" s="125" t="s">
        <v>1442</v>
      </c>
      <c r="E1" s="125" t="s">
        <v>1443</v>
      </c>
      <c r="F1" s="125" t="s">
        <v>1444</v>
      </c>
      <c r="G1" s="5" t="s">
        <v>1065</v>
      </c>
      <c r="I1" s="126" t="s">
        <v>1445</v>
      </c>
      <c r="J1" s="125" t="s">
        <v>1446</v>
      </c>
    </row>
    <row r="2" spans="1:10" s="127" customFormat="1">
      <c r="B2" s="123" t="s">
        <v>1447</v>
      </c>
      <c r="C2" s="128"/>
      <c r="D2" s="129"/>
      <c r="E2" s="129"/>
      <c r="F2" s="129"/>
      <c r="G2" s="130"/>
      <c r="I2" s="131"/>
      <c r="J2" s="129"/>
    </row>
    <row r="3" spans="1:10">
      <c r="A3" s="123" t="s">
        <v>1447</v>
      </c>
      <c r="B3" s="132"/>
      <c r="C3" s="132" t="s">
        <v>1448</v>
      </c>
      <c r="D3" s="132" t="s">
        <v>1442</v>
      </c>
      <c r="E3" s="132" t="s">
        <v>1449</v>
      </c>
      <c r="F3" s="132" t="s">
        <v>1450</v>
      </c>
      <c r="G3" s="132" t="s">
        <v>1451</v>
      </c>
      <c r="H3" s="132" t="s">
        <v>1452</v>
      </c>
      <c r="I3" s="132" t="s">
        <v>1453</v>
      </c>
      <c r="J3" s="132" t="s">
        <v>1454</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1455</v>
      </c>
      <c r="B17" s="123" t="s">
        <v>1455</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1456</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1457</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18</vt:i4>
      </vt:variant>
    </vt:vector>
  </HeadingPairs>
  <TitlesOfParts>
    <vt:vector size="24" baseType="lpstr">
      <vt:lpstr>yushutsu_kobetsu</vt:lpstr>
      <vt:lpstr>中間処理シート</vt:lpstr>
      <vt:lpstr>組織名称・略称・英文呼称</vt:lpstr>
      <vt:lpstr>審査件数</vt:lpstr>
      <vt:lpstr>別表１～３</vt:lpstr>
      <vt:lpstr>包括・特例</vt:lpstr>
      <vt:lpstr>BU抽出</vt:lpstr>
      <vt:lpstr>組織名称・略称・英文呼称!Print_Area</vt:lpstr>
      <vt:lpstr>組織名称・略称・英文呼称!Print_Titles</vt:lpstr>
      <vt:lpstr>管理番号</vt:lpstr>
      <vt:lpstr>期間＿開始</vt:lpstr>
      <vt:lpstr>期間＿終了</vt:lpstr>
      <vt:lpstr>期間の審査数</vt:lpstr>
      <vt:lpstr>金額_円</vt:lpstr>
      <vt:lpstr>区分抽出</vt:lpstr>
      <vt:lpstr>件名</vt:lpstr>
      <vt:lpstr>顧客・契約先</vt:lpstr>
      <vt:lpstr>最終需要者</vt:lpstr>
      <vt:lpstr>仕向地</vt:lpstr>
      <vt:lpstr>仕向地抽出</vt:lpstr>
      <vt:lpstr>申請者所属</vt:lpstr>
      <vt:lpstr>特例抽出</vt:lpstr>
      <vt:lpstr>非許可特例抽出</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2020-10-22T08:15:19Z</dcterms:modified>
</cp:coreProperties>
</file>