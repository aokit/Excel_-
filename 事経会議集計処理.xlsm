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73D9D83D-3FED-40FB-9AE9-DBC885118370}" xr6:coauthVersionLast="46" xr6:coauthVersionMax="46" xr10:uidLastSave="{00000000-0000-0000-0000-000000000000}"/>
  <bookViews>
    <workbookView xWindow="0" yWindow="0" windowWidth="23400" windowHeight="1296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組織辞書!$D$2:$R$22</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ダッシュボード!$B$28</definedName>
    <definedName name="管理番号">yushutsu_kobetsu!$A:$A</definedName>
    <definedName name="期間＿開始">中間処理シート!$A$3</definedName>
    <definedName name="期間＿終了">中間処理シート!$A$5</definedName>
    <definedName name="期間の審査件数">ダッシュボード!$B$22</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ダッシュボード!$B$25</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ダッシュボード!$B$20</definedName>
    <definedName name="集計名例外解決">ダッシュボード!$B$21</definedName>
    <definedName name="少額特例適用件数">ダッシュボード!$B$24</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ダッシュボード!$B$23</definedName>
    <definedName name="包括抽出">中間処理シート!$A$13</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9" i="11" l="1"/>
  <c r="B18" i="11"/>
  <c r="B17" i="11"/>
  <c r="B16" i="11"/>
  <c r="B15" i="11"/>
  <c r="B14" i="11"/>
  <c r="B13" i="11"/>
  <c r="B12" i="11"/>
  <c r="B11" i="11"/>
  <c r="B10" i="11"/>
  <c r="B9" i="11"/>
  <c r="B8" i="11"/>
  <c r="B7" i="11"/>
  <c r="B6"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40" i="3"/>
  <c r="AL22" i="3"/>
  <c r="AL75" i="3"/>
  <c r="AL19" i="3"/>
  <c r="AL126" i="3"/>
  <c r="AL28" i="3"/>
  <c r="AL41" i="3"/>
  <c r="AL57" i="3"/>
  <c r="AL65" i="3"/>
  <c r="AL128" i="3"/>
  <c r="AL130" i="3"/>
  <c r="AL59" i="3"/>
  <c r="AL103" i="3"/>
  <c r="AL72" i="3"/>
  <c r="AL33" i="3"/>
  <c r="AL43" i="3"/>
  <c r="AL42" i="3"/>
  <c r="AL97" i="3"/>
  <c r="AL86" i="3"/>
  <c r="AL12" i="3"/>
  <c r="AL24" i="3"/>
  <c r="AL54" i="3"/>
  <c r="AL109" i="3"/>
  <c r="AL93" i="3"/>
  <c r="AL112" i="3"/>
  <c r="AL16" i="3"/>
  <c r="AL35" i="3"/>
  <c r="AL133" i="3"/>
  <c r="AL104" i="3"/>
  <c r="AL69" i="3"/>
  <c r="AL45" i="3"/>
  <c r="AL118" i="3"/>
  <c r="AL68" i="3"/>
  <c r="AL102" i="3"/>
  <c r="AL127" i="3"/>
  <c r="AL18" i="3"/>
  <c r="AL31" i="3"/>
  <c r="AL111" i="3"/>
  <c r="AL62" i="3"/>
  <c r="AL99" i="3"/>
  <c r="AL114" i="3"/>
  <c r="AL129" i="3"/>
  <c r="AL73" i="3"/>
  <c r="AL98" i="3"/>
  <c r="AL34" i="3"/>
  <c r="AL26" i="3"/>
  <c r="AL84" i="3"/>
  <c r="AL85" i="3"/>
  <c r="AL21" i="3"/>
  <c r="AL120" i="3"/>
  <c r="AL7" i="3"/>
  <c r="AL87" i="3"/>
  <c r="AL6" i="3"/>
  <c r="AL44" i="3"/>
  <c r="AL66" i="3"/>
  <c r="AL90" i="3"/>
  <c r="AL88" i="3"/>
  <c r="AL47" i="3"/>
  <c r="AL107" i="3"/>
  <c r="AL78" i="3"/>
  <c r="AL123" i="3"/>
  <c r="AL27" i="3"/>
  <c r="AL108" i="3"/>
  <c r="AL74" i="3"/>
  <c r="AL131" i="3"/>
  <c r="AL100" i="3"/>
  <c r="AL8" i="3"/>
  <c r="AL14" i="3"/>
  <c r="AL106" i="3"/>
  <c r="AL115" i="3"/>
  <c r="AL110" i="3"/>
  <c r="AL37" i="3"/>
  <c r="AL92" i="3"/>
  <c r="AL53" i="3"/>
  <c r="AL15" i="3"/>
  <c r="AL60" i="3"/>
  <c r="AL71" i="3"/>
  <c r="AL67" i="3"/>
  <c r="AL9" i="3"/>
  <c r="AL81" i="3"/>
  <c r="AL55" i="3"/>
  <c r="AL117" i="3"/>
  <c r="AL101" i="3"/>
  <c r="AL30" i="3"/>
  <c r="AL25" i="3"/>
  <c r="AL125" i="3"/>
  <c r="AL50" i="3"/>
  <c r="AL49" i="3"/>
  <c r="AL77" i="3"/>
  <c r="AL32" i="3"/>
  <c r="AL39" i="3"/>
  <c r="AL89" i="3"/>
  <c r="AL52" i="3"/>
  <c r="AL46" i="3"/>
  <c r="AL83" i="3"/>
  <c r="AL113" i="3"/>
  <c r="AL36" i="3"/>
  <c r="AL91" i="3"/>
  <c r="AL13" i="3"/>
  <c r="AL64" i="3"/>
  <c r="AL58" i="3"/>
  <c r="AL132" i="3"/>
  <c r="AL82" i="3"/>
  <c r="AL79" i="3"/>
  <c r="AL23" i="3"/>
  <c r="AL20" i="3"/>
  <c r="AL51" i="3"/>
  <c r="AL38" i="3"/>
  <c r="AL29" i="3"/>
  <c r="AL121" i="3"/>
  <c r="AL17" i="3"/>
  <c r="AL135" i="3"/>
  <c r="AL61" i="3"/>
  <c r="AL94" i="3"/>
  <c r="AL116" i="3"/>
  <c r="AL105" i="3"/>
  <c r="AL95" i="3"/>
  <c r="AL80" i="3"/>
  <c r="AL11" i="3"/>
  <c r="AL76" i="3"/>
  <c r="AL56" i="3"/>
  <c r="AL48" i="3"/>
  <c r="AL10" i="3"/>
  <c r="AL63" i="3"/>
  <c r="AL134" i="3"/>
  <c r="AL124" i="3"/>
  <c r="AL122" i="3"/>
  <c r="AL119" i="3"/>
  <c r="AL96" i="3"/>
  <c r="AL70"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F20" i="9"/>
  <c r="F9" i="9"/>
  <c r="E23" i="9"/>
  <c r="J27" i="9"/>
  <c r="E16" i="9"/>
  <c r="E8" i="9"/>
  <c r="F30" i="9"/>
  <c r="E29" i="9"/>
  <c r="I30" i="9"/>
  <c r="I14" i="9"/>
  <c r="J9" i="9"/>
  <c r="J16" i="9"/>
  <c r="F10" i="9"/>
  <c r="F24" i="9"/>
  <c r="I31" i="9"/>
  <c r="I23" i="9"/>
  <c r="F7" i="9"/>
  <c r="J4" i="9"/>
  <c r="C24" i="9"/>
  <c r="J19" i="9"/>
  <c r="I7" i="9"/>
  <c r="F16" i="9"/>
  <c r="J20" i="9"/>
  <c r="I26" i="9"/>
  <c r="J31" i="9"/>
  <c r="E27" i="9"/>
  <c r="C33" i="9"/>
  <c r="E18" i="9"/>
  <c r="C28" i="9"/>
  <c r="C16" i="9"/>
  <c r="F29" i="9"/>
  <c r="D28" i="9"/>
  <c r="J12" i="9"/>
  <c r="D6" i="9"/>
  <c r="J30" i="9"/>
  <c r="F12" i="9"/>
  <c r="I20" i="9"/>
  <c r="C4" i="9"/>
  <c r="D24" i="9"/>
  <c r="C21" i="9"/>
  <c r="I24" i="9"/>
  <c r="C19" i="9"/>
  <c r="A14" i="3"/>
  <c r="F8" i="9"/>
  <c r="C18" i="9"/>
  <c r="C8" i="9"/>
  <c r="F33" i="9"/>
  <c r="I18" i="9"/>
  <c r="I28" i="9"/>
  <c r="F23" i="9"/>
  <c r="E33" i="9"/>
  <c r="D9" i="9"/>
  <c r="I12" i="9"/>
  <c r="A17" i="3"/>
  <c r="I33" i="9"/>
  <c r="D20" i="9"/>
  <c r="E13" i="9"/>
  <c r="C13" i="9"/>
  <c r="I27" i="9"/>
  <c r="F11" i="9"/>
  <c r="D29" i="9"/>
  <c r="E25" i="9"/>
  <c r="F6" i="9"/>
  <c r="D5" i="9"/>
  <c r="J5" i="9"/>
  <c r="I25" i="9"/>
  <c r="I6" i="9"/>
  <c r="J8" i="9"/>
  <c r="J21" i="9"/>
  <c r="F22" i="9"/>
  <c r="D22" i="9"/>
  <c r="D16" i="9"/>
  <c r="I29" i="9"/>
  <c r="I16" i="9"/>
  <c r="F26" i="9"/>
  <c r="D25" i="9"/>
  <c r="F21" i="9"/>
  <c r="F13" i="9"/>
  <c r="E31" i="9"/>
  <c r="C6" i="9"/>
  <c r="D14" i="9"/>
  <c r="D12" i="9"/>
  <c r="D7" i="9"/>
  <c r="E10" i="9"/>
  <c r="J23" i="9"/>
  <c r="D11" i="9"/>
  <c r="D13" i="9"/>
  <c r="D19" i="9"/>
  <c r="E28" i="9"/>
  <c r="D4" i="9"/>
  <c r="I19" i="9"/>
  <c r="I13" i="9"/>
  <c r="C27" i="9"/>
  <c r="J33" i="9"/>
  <c r="D33" i="9"/>
  <c r="D31" i="9"/>
  <c r="F28" i="9"/>
  <c r="J28" i="9"/>
  <c r="E20" i="9"/>
  <c r="E9" i="9"/>
  <c r="J15" i="9"/>
  <c r="D26" i="9"/>
  <c r="J29" i="9"/>
  <c r="I8" i="9"/>
  <c r="E22" i="9"/>
  <c r="C30" i="9"/>
  <c r="J6" i="9"/>
  <c r="C15" i="9"/>
  <c r="J18" i="9"/>
  <c r="D18" i="9"/>
  <c r="I11" i="9"/>
  <c r="I21" i="9"/>
  <c r="F27" i="9"/>
  <c r="J14" i="9"/>
  <c r="F19" i="9"/>
  <c r="D23" i="9"/>
  <c r="E15" i="9"/>
  <c r="F31" i="9"/>
  <c r="J26" i="9"/>
  <c r="D15" i="9"/>
  <c r="E19" i="9"/>
  <c r="E4" i="9"/>
  <c r="E21" i="9"/>
  <c r="D27" i="9"/>
  <c r="E24" i="9"/>
  <c r="F5" i="9"/>
  <c r="F18" i="9"/>
  <c r="C29" i="9"/>
  <c r="E7" i="9"/>
  <c r="C25" i="9"/>
  <c r="A20" i="3"/>
  <c r="I9" i="9"/>
  <c r="I4" i="9"/>
  <c r="C10" i="9"/>
  <c r="D21" i="9"/>
  <c r="E11" i="9"/>
  <c r="I22" i="9"/>
  <c r="F14" i="9"/>
  <c r="F25" i="9"/>
  <c r="J10" i="9"/>
  <c r="D30" i="9"/>
  <c r="C7" i="9"/>
  <c r="F15" i="9"/>
  <c r="J13" i="9"/>
  <c r="C22" i="9"/>
  <c r="E12" i="9"/>
  <c r="E26" i="9"/>
  <c r="E14" i="9"/>
  <c r="J7" i="9"/>
  <c r="D8" i="9"/>
  <c r="I5" i="9"/>
  <c r="E5" i="9"/>
  <c r="D10" i="9"/>
  <c r="E30" i="9"/>
  <c r="C14" i="9"/>
  <c r="E6" i="9"/>
  <c r="C12" i="9"/>
  <c r="C26" i="9"/>
  <c r="C31" i="9"/>
  <c r="J11" i="9"/>
  <c r="F4" i="9"/>
  <c r="C5" i="9"/>
  <c r="C11" i="9"/>
  <c r="C9" i="9"/>
  <c r="I10" i="9"/>
  <c r="C23" i="9"/>
  <c r="I15" i="9"/>
  <c r="J25" i="9"/>
  <c r="J24" i="9"/>
  <c r="C20"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3" i="6"/>
  <c r="D10" i="6" s="1"/>
  <c r="C3" i="6"/>
  <c r="C10" i="6" l="1"/>
  <c r="C26" i="6" s="1"/>
  <c r="D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1C4863EF-35A8-4266-BC61-9BA1C9B8441C}">
      <text>
        <r>
          <rPr>
            <b/>
            <sz val="9"/>
            <color indexed="81"/>
            <rFont val="ＭＳ Ｐゴシック"/>
            <family val="3"/>
            <charset val="128"/>
          </rPr>
          <t>年間集計と合算したいところ</t>
        </r>
      </text>
    </comment>
    <comment ref="P2" authorId="0" shapeId="0" xr:uid="{7565DCBA-7B34-47C8-BA76-6209EEE4257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5B41D0A4-0EF9-4838-900F-198BF12930A7}">
      <text>
        <r>
          <rPr>
            <b/>
            <sz val="9"/>
            <color indexed="81"/>
            <rFont val="ＭＳ Ｐゴシック"/>
            <family val="3"/>
            <charset val="128"/>
          </rPr>
          <t>書式設定済</t>
        </r>
      </text>
    </comment>
    <comment ref="S2" authorId="0" shapeId="0" xr:uid="{0F2D64AD-384F-4E24-BE02-76CDF9B34BDA}">
      <text>
        <r>
          <rPr>
            <b/>
            <sz val="9"/>
            <color indexed="81"/>
            <rFont val="ＭＳ Ｐゴシック"/>
            <family val="3"/>
            <charset val="128"/>
          </rPr>
          <t>書式設定済</t>
        </r>
      </text>
    </comment>
    <comment ref="T2" authorId="0" shapeId="0" xr:uid="{30D9890F-9DD8-4612-A064-838A75173478}">
      <text>
        <r>
          <rPr>
            <b/>
            <sz val="9"/>
            <color indexed="81"/>
            <rFont val="ＭＳ Ｐゴシック"/>
            <family val="3"/>
            <charset val="128"/>
          </rPr>
          <t>書式設定済</t>
        </r>
      </text>
    </comment>
    <comment ref="M3" authorId="0" shapeId="0" xr:uid="{DE1EF137-33E4-4D06-B761-0DBC9493F954}">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782E10E1-F88D-4AFC-AC7B-DC73B43E1D51}">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<sst xmlns="http://schemas.openxmlformats.org/spreadsheetml/2006/main" count="6147" uniqueCount="1862">
  <si>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</si>
  <si>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</si>
  <si>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</si>
  <si>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</si>
  <si>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</si>
  <si>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</si>
  <si>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</si>
  <si>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</si>
  <si>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</si>
  <si>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</si>
  <si>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</si>
  <si>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</si>
  <si>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</si>
  <si>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</si>
  <si>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</si>
  <si>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</si>
  <si>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</si>
  <si>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</si>
  <si>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</si>
  <si>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</si>
  <si>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</si>
  <si>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</si>
  <si>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</si>
  <si>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</si>
  <si>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</si>
  <si>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</si>
  <si>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</si>
  <si>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</si>
  <si>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</si>
  <si>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</si>
  <si>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</si>
  <si>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</si>
  <si>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</si>
  <si>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</si>
  <si>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</si>
  <si>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</si>
  <si>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</si>
  <si>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</si>
  <si>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</si>
  <si>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</si>
  <si>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</si>
  <si>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</si>
  <si>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</si>
  <si>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</si>
  <si>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</si>
  <si>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</si>
  <si>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</si>
  <si>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</si>
  <si>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</si>
  <si>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</si>
  <si>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</si>
  <si>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</si>
  <si>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</si>
  <si>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</si>
  <si>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</si>
  <si>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</si>
  <si>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</si>
  <si>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</si>
  <si>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</si>
  <si>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</si>
  <si>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</si>
  <si>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</si>
  <si>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</si>
  <si>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</si>
  <si>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</si>
  <si>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</si>
  <si>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</si>
  <si>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</si>
  <si>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</si>
  <si>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</si>
  <si>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</si>
  <si>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</si>
  <si>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</si>
  <si>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</si>
  <si>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</si>
  <si>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</si>
  <si>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</si>
  <si>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</si>
  <si>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</si>
  <si>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</si>
  <si>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</si>
  <si>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</si>
  <si>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</si>
  <si>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</si>
  <si>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</si>
  <si>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</si>
  <si>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</si>
  <si>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</si>
  <si>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</si>
  <si>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</si>
  <si>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</si>
  <si>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</si>
  <si>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</si>
  <si>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</si>
  <si>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</si>
  <si>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</si>
  <si>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</si>
  <si>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</si>
  <si>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</si>
  <si>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</si>
  <si>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</si>
  <si>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</si>
  <si>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</si>
  <si>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</si>
  <si>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</si>
  <si>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</si>
  <si>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</si>
  <si>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</si>
  <si>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</si>
  <si>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</si>
  <si>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</si>
  <si>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</si>
  <si>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</si>
  <si>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</si>
  <si>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</si>
  <si>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</si>
  <si>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</si>
  <si>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</si>
  <si>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</si>
  <si>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</si>
  <si>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</si>
  <si>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</si>
  <si>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</si>
  <si>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</si>
  <si>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</si>
  <si>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</si>
  <si>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</si>
  <si>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</si>
  <si>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</si>
  <si>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</si>
  <si>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</si>
  <si>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</si>
  <si>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</si>
  <si>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</si>
  <si>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</si>
  <si>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</si>
  <si>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</si>
  <si>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</si>
  <si>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</si>
  <si>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</si>
  <si>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</si>
  <si>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</si>
  <si>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</si>
  <si>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</si>
  <si>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</si>
  <si>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</si>
  <si>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</si>
  <si>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</si>
  <si>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</si>
  <si>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</si>
  <si>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</si>
  <si>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</si>
  <si>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</si>
  <si>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</si>
  <si>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</si>
  <si>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</si>
  <si>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</si>
  <si>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</si>
  <si>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</si>
  <si>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</si>
  <si>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</si>
  <si>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</si>
  <si>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</si>
  <si>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</si>
  <si>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</si>
  <si>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</si>
  <si>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</si>
  <si>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</si>
  <si>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</si>
  <si>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</si>
  <si>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</si>
  <si>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</si>
  <si>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</si>
  <si>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</si>
  <si>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</si>
  <si>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</si>
  <si>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</si>
  <si>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</si>
  <si>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</si>
  <si>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</si>
  <si>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</si>
  <si>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</si>
  <si>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</si>
  <si>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</si>
  <si>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</si>
  <si>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</si>
  <si>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</si>
  <si>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</si>
  <si>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</si>
  <si>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</si>
  <si>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</si>
  <si>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</si>
  <si>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</si>
  <si>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</si>
  <si>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</si>
  <si>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</si>
  <si>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</si>
  <si>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</si>
  <si>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</si>
  <si>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</si>
  <si>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</si>
  <si>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</si>
  <si>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</si>
  <si>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</si>
  <si>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</si>
  <si>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</si>
  <si>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</si>
  <si>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</si>
  <si>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</si>
  <si>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</si>
  <si>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</si>
  <si>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</si>
  <si>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</si>
  <si>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</si>
  <si>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</si>
  <si>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</si>
  <si>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</si>
  <si>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</si>
  <si>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</si>
  <si>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</si>
  <si>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</si>
  <si>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</si>
  <si>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</si>
  <si>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</si>
  <si>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</si>
  <si>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</si>
  <si>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</si>
  <si>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</si>
  <si>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</si>
  <si>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</si>
  <si>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</si>
  <si>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</si>
  <si>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</si>
  <si>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</si>
  <si>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</si>
  <si>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</si>
  <si>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</si>
  <si>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</si>
  <si>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</si>
  <si>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</si>
  <si>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</si>
  <si>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</si>
  <si>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</si>
  <si>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</si>
  <si>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</si>
  <si>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</si>
  <si>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</si>
  <si>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</si>
  <si>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</si>
  <si>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</si>
  <si>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</si>
  <si>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</si>
  <si>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</si>
  <si>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</si>
  <si>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</si>
  <si>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</si>
  <si>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</si>
  <si>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</si>
  <si>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</si>
  <si>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</si>
  <si>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</si>
  <si>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</si>
  <si>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</si>
  <si>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</si>
  <si>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</si>
  <si>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</si>
  <si>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</si>
  <si>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</si>
  <si>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</si>
  <si>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</si>
  <si>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</si>
  <si>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</si>
  <si>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</si>
  <si>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</si>
  <si>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</si>
  <si>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</si>
  <si>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</si>
  <si>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</si>
  <si>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</si>
  <si>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</si>
  <si>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</si>
  <si>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</si>
  <si>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</si>
  <si>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</si>
  <si>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</si>
  <si>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</si>
  <si>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</si>
  <si>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</si>
  <si>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</si>
  <si>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</si>
  <si>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</si>
  <si>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</si>
  <si>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</si>
  <si>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</si>
  <si>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</si>
  <si>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</si>
  <si>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</si>
  <si>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</si>
  <si>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</si>
  <si>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</si>
  <si>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</si>
  <si>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</si>
  <si>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</si>
  <si>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</si>
  <si>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</si>
  <si>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</si>
  <si>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</si>
  <si>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</si>
  <si>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</si>
  <si>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</si>
  <si>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</si>
  <si>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</si>
  <si>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</si>
  <si>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</si>
  <si>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</si>
  <si>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</si>
  <si>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</si>
  <si>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</si>
  <si>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</si>
  <si>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</si>
  <si>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</si>
  <si>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</si>
  <si>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</si>
  <si>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</si>
  <si>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</si>
  <si>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</si>
  <si>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</si>
  <si>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</si>
  <si>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</si>
  <si>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</si>
  <si>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</si>
  <si>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</si>
  <si>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</si>
  <si>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</si>
  <si>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</si>
  <si>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</si>
  <si>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</si>
  <si>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</si>
  <si>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</si>
  <si>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</si>
  <si>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</si>
  <si>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</si>
  <si>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</si>
  <si>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</si>
  <si>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</si>
  <si>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</si>
  <si>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</si>
  <si>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</si>
  <si>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</si>
  <si>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</si>
  <si>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</si>
  <si>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</si>
  <si>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</si>
  <si>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</si>
  <si>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</si>
  <si>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</si>
  <si>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</si>
  <si>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</si>
  <si>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</si>
  <si>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</si>
  <si>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</si>
  <si>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</si>
  <si>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</si>
  <si>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</si>
  <si>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</si>
  <si>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</si>
  <si>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</si>
  <si>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</si>
  <si>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</si>
  <si>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</si>
  <si>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</si>
  <si>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</si>
  <si>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</si>
  <si>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</si>
  <si>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</si>
  <si>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</si>
  <si>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</si>
  <si>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</si>
  <si>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</si>
  <si>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</si>
  <si>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</si>
  <si>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</si>
  <si>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</si>
  <si>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</si>
  <si>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</si>
  <si>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</si>
  <si>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</si>
  <si>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</si>
  <si>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</si>
  <si>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</si>
  <si>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</si>
  <si>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</si>
  <si>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</si>
  <si>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</si>
  <si>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</si>
  <si>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</si>
  <si>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</si>
  <si>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</si>
  <si>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</si>
  <si>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</si>
  <si>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</si>
  <si>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</si>
  <si>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</si>
  <si>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</si>
  <si>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</si>
  <si>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</si>
  <si>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</si>
  <si>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</si>
  <si>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</si>
  <si>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</si>
  <si>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</si>
  <si>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</si>
  <si>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</si>
  <si>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</si>
  <si>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</si>
  <si>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</si>
  <si>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</si>
  <si>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</si>
  <si>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</si>
  <si>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</si>
  <si>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</si>
  <si>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</si>
  <si>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</si>
  <si>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</si>
  <si>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</si>
  <si>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</si>
  <si>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</si>
  <si>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</si>
  <si>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</si>
  <si>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</si>
  <si>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</si>
  <si>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</si>
  <si>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</si>
  <si>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</si>
  <si>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</si>
  <si>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</si>
  <si>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</si>
  <si>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</si>
  <si>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</si>
  <si>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</si>
  <si>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</si>
  <si>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</si>
  <si>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</si>
  <si>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</si>
  <si>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</si>
  <si>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</si>
  <si>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</si>
  <si>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</si>
  <si>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</si>
  <si>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</si>
  <si>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</si>
  <si>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</si>
  <si>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</si>
  <si>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</si>
  <si>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</si>
  <si>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</si>
  <si>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</si>
  <si>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</si>
  <si>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</si>
  <si>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</si>
  <si>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</si>
  <si>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</si>
  <si>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</si>
  <si>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</si>
  <si>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</si>
  <si>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</si>
  <si>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</si>
  <si>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</si>
  <si>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</si>
  <si>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</si>
  <si>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</si>
  <si>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</si>
  <si>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</si>
  <si>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</si>
  <si>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</si>
  <si>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</si>
  <si>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</si>
  <si>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</si>
  <si>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</si>
  <si>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</si>
  <si>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</si>
  <si>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</si>
  <si>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</si>
  <si>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</si>
  <si>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</si>
  <si>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</si>
  <si>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</si>
  <si>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</si>
  <si>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</si>
  <si>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</si>
  <si>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</si>
  <si>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</si>
  <si>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</si>
  <si>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</si>
  <si>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</si>
  <si>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</si>
  <si>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</si>
  <si>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</si>
  <si>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</si>
  <si>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</si>
  <si>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</si>
  <si>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</si>
  <si>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</si>
  <si>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</si>
  <si>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</si>
  <si>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</si>
  <si>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</si>
  <si>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</si>
  <si>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</si>
  <si>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</si>
  <si>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</si>
  <si>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</si>
  <si>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</si>
  <si>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</si>
  <si>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</si>
  <si>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</si>
  <si>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</si>
  <si>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</si>
  <si>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</si>
  <si>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</si>
  <si>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</si>
  <si>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</si>
  <si>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</si>
  <si>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</si>
  <si>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</si>
  <si>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</si>
  <si>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</si>
  <si>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</si>
  <si>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</si>
  <si>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</si>
  <si>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</si>
  <si>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</si>
  <si>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</si>
  <si>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</si>
  <si>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</si>
  <si>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</si>
  <si>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</si>
  <si>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</si>
  <si>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</si>
  <si>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</si>
  <si>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</si>
  <si>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</si>
  <si>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</si>
  <si>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</si>
  <si>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</si>
  <si>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</si>
  <si>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</si>
  <si>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</si>
  <si>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</si>
  <si>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</si>
  <si>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</si>
  <si>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</si>
  <si>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</si>
  <si>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</si>
  <si>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</si>
  <si>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</si>
  <si>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</si>
  <si>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</si>
  <si>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</si>
  <si>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</si>
  <si>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</si>
  <si>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</si>
  <si>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</si>
  <si>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</si>
  <si>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</si>
  <si>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</si>
  <si>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</si>
  <si>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</si>
  <si>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</si>
  <si>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</si>
  <si>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</si>
  <si>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</si>
  <si>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</si>
  <si>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</si>
  <si>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</si>
  <si>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</si>
  <si>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</si>
  <si>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</si>
  <si>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</si>
  <si>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</si>
  <si>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</si>
  <si>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</si>
  <si>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</si>
  <si>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</si>
  <si>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</si>
  <si>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</si>
  <si>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</si>
  <si>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</si>
  <si>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</si>
  <si>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</si>
  <si>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</si>
  <si>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</si>
  <si>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</si>
  <si>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</si>
  <si>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</si>
  <si>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</si>
  <si>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</si>
  <si>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</si>
  <si>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</si>
  <si>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</si>
  <si>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</si>
  <si>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</si>
  <si>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</si>
  <si>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</si>
  <si>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</si>
  <si>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</si>
  <si>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</si>
  <si>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</si>
  <si>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</si>
  <si>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</si>
  <si>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</si>
  <si>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</si>
  <si>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</si>
  <si>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</si>
  <si>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</si>
  <si>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</si>
  <si>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</si>
  <si>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</si>
  <si>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</si>
  <si>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</si>
  <si>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</si>
  <si>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</si>
  <si>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</si>
  <si>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</si>
  <si>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</si>
  <si>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</si>
  <si>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</si>
  <si>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</si>
  <si>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</si>
  <si>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</si>
  <si>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</si>
  <si>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</si>
  <si>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</si>
  <si>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</si>
  <si>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</si>
  <si>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</si>
  <si>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</si>
  <si>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</si>
  <si>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</si>
  <si>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</si>
  <si>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</si>
  <si>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</si>
  <si>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</si>
  <si>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</si>
  <si>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</si>
  <si>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</si>
  <si>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</si>
  <si>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</si>
  <si>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</si>
  <si>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</si>
  <si>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</si>
  <si>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</si>
  <si>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</si>
  <si>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</si>
  <si>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</si>
  <si>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</si>
  <si>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</si>
  <si>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</si>
  <si>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</si>
  <si>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</si>
  <si>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</si>
  <si>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</si>
  <si>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</si>
  <si>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</si>
  <si>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</si>
  <si>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</si>
  <si>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</si>
  <si>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</si>
  <si>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</si>
  <si>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</si>
  <si>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</si>
  <si>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</si>
  <si>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</si>
  <si>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</si>
  <si>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</si>
  <si>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</si>
  <si>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</si>
  <si>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</si>
  <si>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</si>
  <si>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</si>
  <si>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</si>
  <si>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</si>
  <si>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</si>
  <si>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</si>
  <si>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</si>
  <si>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</si>
  <si>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</si>
  <si>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</si>
  <si>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</si>
  <si>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</si>
  <si>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</si>
  <si>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</si>
  <si>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</si>
  <si>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</si>
  <si>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</si>
  <si>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</si>
  <si>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</si>
  <si>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</si>
  <si>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</si>
  <si>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</si>
  <si>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</si>
  <si>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</si>
  <si>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</si>
  <si>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</si>
  <si>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</si>
  <si>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</si>
  <si>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</si>
  <si>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</si>
  <si>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</si>
  <si>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</si>
  <si>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</si>
  <si>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</si>
  <si>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</si>
  <si>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</si>
  <si>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</si>
  <si>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</si>
  <si>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</si>
  <si>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</si>
  <si>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</si>
  <si>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</si>
  <si>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</si>
  <si>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</si>
  <si>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</si>
  <si>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</si>
  <si>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</si>
  <si>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</si>
  <si>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</si>
  <si>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</si>
  <si>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</si>
  <si>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</si>
  <si>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</si>
  <si>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</si>
  <si>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</si>
  <si>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</si>
  <si>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</si>
  <si>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</si>
  <si>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</si>
  <si>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</si>
  <si>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</si>
  <si>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</si>
  <si>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</si>
  <si>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</si>
  <si>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</si>
  <si>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</si>
  <si>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</si>
  <si>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</si>
  <si>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</si>
  <si>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</si>
  <si>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</si>
  <si>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</si>
  <si>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</si>
  <si>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</si>
  <si>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</si>
  <si>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</si>
  <si>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</si>
  <si>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</si>
  <si>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</si>
  <si>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</si>
  <si>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</si>
  <si>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</si>
  <si>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</si>
  <si>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</si>
  <si>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</si>
  <si>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</si>
  <si>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</si>
  <si>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</si>
  <si>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</si>
  <si>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</si>
  <si>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</si>
  <si>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</si>
  <si>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</si>
  <si>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</si>
  <si>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</si>
  <si>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</si>
  <si>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</si>
  <si>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</si>
  <si>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</si>
  <si>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</si>
  <si>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</si>
  <si>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</si>
  <si>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</si>
  <si>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</si>
  <si>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</si>
  <si>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</si>
  <si>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</si>
  <si>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</si>
  <si>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</si>
  <si>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</si>
  <si>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</si>
  <si>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</si>
  <si>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</si>
  <si>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</si>
  <si>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</si>
  <si>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</si>
  <si>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</si>
  <si>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</si>
  <si>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</si>
  <si>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</si>
  <si>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</si>
  <si>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</si>
  <si>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</si>
  <si>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</si>
  <si>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</si>
  <si>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</si>
  <si>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</si>
  <si>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</si>
  <si>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</si>
  <si>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</si>
  <si>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</si>
  <si>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</si>
  <si>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</si>
  <si>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</si>
  <si>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</si>
  <si>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</si>
  <si>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</si>
  <si>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</si>
  <si>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</si>
  <si>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</si>
  <si>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</si>
  <si>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</si>
  <si>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</si>
  <si>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</si>
  <si>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</si>
  <si>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</si>
  <si>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</si>
  <si>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</si>
  <si>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</si>
  <si>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</si>
  <si>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</si>
  <si>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</si>
  <si>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</si>
  <si>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</si>
  <si>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</si>
  <si>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</si>
  <si>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</si>
  <si>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</si>
  <si>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</si>
  <si>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</si>
  <si>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</si>
  <si>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</si>
  <si>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</si>
  <si>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</si>
  <si>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</si>
  <si>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</si>
  <si>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</si>
  <si>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</si>
  <si>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</si>
  <si>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</si>
  <si>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</si>
  <si>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</si>
  <si>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</si>
  <si>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</si>
  <si>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</si>
  <si>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</si>
  <si>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</si>
  <si>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</si>
  <si>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</si>
  <si>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</si>
  <si>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</si>
  <si>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</si>
  <si>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</si>
  <si>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</si>
  <si>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</si>
  <si>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</si>
  <si>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</si>
  <si>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</si>
  <si>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</si>
  <si>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</si>
  <si>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</si>
  <si>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</si>
  <si>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</si>
  <si>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</si>
  <si>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</si>
  <si>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</si>
  <si>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</si>
  <si>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</si>
  <si>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</si>
  <si>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</si>
  <si>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</si>
  <si>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</si>
  <si>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</si>
  <si>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</si>
  <si>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</si>
  <si>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</si>
  <si>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</si>
  <si>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</si>
  <si>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</si>
  <si>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</si>
  <si>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</si>
  <si>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</si>
  <si>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</si>
  <si>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</si>
  <si>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</si>
  <si>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</si>
  <si>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</si>
  <si>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</si>
  <si>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</si>
  <si>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</si>
  <si>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</si>
  <si>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</si>
  <si>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</si>
  <si>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</si>
  <si>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</si>
  <si>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</si>
  <si>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</si>
  <si>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</si>
  <si>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</si>
  <si>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</si>
  <si>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</si>
  <si>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</si>
  <si>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</si>
  <si>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</si>
  <si>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</si>
  <si>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</si>
  <si>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</si>
  <si>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</si>
  <si>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</si>
  <si>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</si>
  <si>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</si>
  <si>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</si>
  <si>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</si>
  <si>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</si>
  <si>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</si>
  <si>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</si>
  <si>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</si>
  <si>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</si>
  <si>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</si>
  <si>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</si>
  <si>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</si>
  <si>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</si>
  <si>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</si>
  <si>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</si>
  <si>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</si>
  <si>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</si>
  <si>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</si>
  <si>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</si>
  <si>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</si>
  <si>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</si>
  <si>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</si>
  <si>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</si>
  <si>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</si>
  <si>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</si>
  <si>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</si>
  <si>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</si>
  <si>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</si>
  <si>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</si>
  <si>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</si>
  <si>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</si>
  <si>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</si>
  <si>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</si>
  <si>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</si>
  <si>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</si>
  <si>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</si>
  <si>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</si>
  <si>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</si>
  <si>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</si>
  <si>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</si>
  <si>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</si>
  <si>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</si>
  <si>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</si>
  <si>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</si>
  <si>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</si>
  <si>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</si>
  <si>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</si>
  <si>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</si>
  <si>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</si>
  <si>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</si>
  <si>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</si>
  <si>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</si>
  <si>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</si>
  <si>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</si>
  <si>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</si>
  <si>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</si>
  <si>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</si>
  <si>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</si>
  <si>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</si>
  <si>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</si>
  <si>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</si>
  <si>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</si>
  <si>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</si>
  <si>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</si>
  <si>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</si>
  <si>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</si>
  <si>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</si>
  <si>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</si>
  <si>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</si>
  <si>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</si>
  <si>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</si>
  <si>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</si>
  <si>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</si>
  <si>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</si>
  <si>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</si>
  <si>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</si>
  <si>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</si>
  <si>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</si>
  <si>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</si>
  <si>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</si>
  <si>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</si>
  <si>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</si>
  <si>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</si>
  <si>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</si>
  <si>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</si>
  <si>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</si>
  <si>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</si>
  <si>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</si>
  <si>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</si>
  <si>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</si>
  <si>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</si>
  <si>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</si>
  <si>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</si>
  <si>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</si>
  <si>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</si>
  <si>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</si>
  <si>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</si>
  <si>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</si>
  <si>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</si>
  <si>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</si>
  <si>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</si>
  <si>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</si>
  <si>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</si>
  <si>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</si>
  <si>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</si>
  <si>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</si>
  <si>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</si>
  <si>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</si>
  <si>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</si>
  <si>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</si>
  <si>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</si>
  <si>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</si>
  <si>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</si>
  <si>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</si>
  <si>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</si>
  <si>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</si>
  <si>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</si>
  <si>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</si>
  <si>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</si>
  <si>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</si>
  <si>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</si>
  <si>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</si>
  <si>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</si>
  <si>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</si>
  <si>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</si>
  <si>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</si>
  <si>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</si>
  <si>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</si>
  <si>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</si>
  <si>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</si>
  <si>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</si>
  <si>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</si>
  <si>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</si>
  <si>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</si>
  <si>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</si>
  <si>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</si>
  <si>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</si>
  <si>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</si>
  <si>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</si>
  <si>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</si>
  <si>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</si>
  <si>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</si>
  <si>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</si>
  <si>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</si>
  <si>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</si>
  <si>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</si>
  <si>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</si>
  <si>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</si>
  <si>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</si>
  <si>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</si>
  <si>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</si>
  <si>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</si>
  <si>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</si>
  <si>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</si>
  <si>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</si>
  <si>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</si>
  <si>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</si>
  <si>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</si>
  <si>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</si>
  <si>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</si>
  <si>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</si>
  <si>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</si>
  <si>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</si>
  <si>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</si>
  <si>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</si>
  <si>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</si>
  <si>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</si>
  <si>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</si>
  <si>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</si>
  <si>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</si>
  <si>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</si>
  <si>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</si>
  <si>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</si>
  <si>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</si>
  <si>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</si>
  <si>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</si>
  <si>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</si>
  <si>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</si>
  <si>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</si>
  <si>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</si>
  <si>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</si>
  <si>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</si>
  <si>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</si>
  <si>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</si>
  <si>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</si>
  <si>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</si>
  <si>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</si>
  <si>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</si>
  <si>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</si>
  <si>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</si>
  <si>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</si>
  <si>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</si>
  <si>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</si>
  <si>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</si>
  <si>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</si>
  <si>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</si>
  <si>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</si>
  <si>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</si>
  <si>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</si>
  <si>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</si>
  <si>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</si>
  <si>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</si>
  <si>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</si>
  <si>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</si>
  <si>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</si>
  <si>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</si>
  <si>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</si>
  <si>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</si>
  <si>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</si>
  <si>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</si>
  <si>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</si>
  <si>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</si>
  <si>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</si>
  <si>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</si>
  <si>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</si>
  <si>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</si>
  <si>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</si>
  <si>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</si>
  <si>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</si>
  <si>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</si>
  <si>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</si>
  <si>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</si>
  <si>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</si>
  <si>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</si>
  <si>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</si>
  <si>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</si>
  <si>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</si>
  <si>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</si>
  <si>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</si>
  <si>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</si>
  <si>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</si>
  <si>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</si>
  <si>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</si>
  <si>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</si>
  <si>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</si>
  <si>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</si>
  <si>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</si>
  <si>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</si>
  <si>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</si>
  <si>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</si>
  <si>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</si>
  <si>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</si>
  <si>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</si>
  <si>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</si>
  <si>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</si>
  <si>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</si>
  <si>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</si>
  <si>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</si>
  <si>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</si>
  <si>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</si>
  <si>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</si>
  <si>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</si>
  <si>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</si>
  <si>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</si>
  <si>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</si>
  <si>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</si>
  <si>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</si>
  <si>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</si>
  <si>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</si>
  <si>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</si>
  <si>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</si>
  <si>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</si>
  <si>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</si>
  <si>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</si>
  <si>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</si>
  <si>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</si>
  <si>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</si>
  <si>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</si>
  <si>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</si>
  <si>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</si>
  <si>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</si>
  <si>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</si>
  <si>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</si>
  <si>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</si>
  <si>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</si>
  <si>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</si>
  <si>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</si>
  <si>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</si>
  <si>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</si>
  <si>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</si>
  <si>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</si>
  <si>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</si>
  <si>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</si>
  <si>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</si>
  <si>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</si>
  <si>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</si>
  <si>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</si>
  <si>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</si>
  <si>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</si>
  <si>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</si>
  <si>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</si>
  <si>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</si>
  <si>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</si>
  <si>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</si>
  <si>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</si>
  <si>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</si>
  <si>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</si>
  <si>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</si>
  <si>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</si>
  <si>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</si>
  <si>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</si>
  <si>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</si>
  <si>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</si>
  <si>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</si>
  <si>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</si>
  <si>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</si>
  <si>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</si>
  <si>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</si>
  <si>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</si>
  <si>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</si>
  <si>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</si>
  <si>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</si>
  <si>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</si>
  <si>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</si>
  <si>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</si>
  <si>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</si>
  <si>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</si>
  <si>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</si>
  <si>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</si>
  <si>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</si>
  <si>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</si>
  <si>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</si>
  <si>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</si>
  <si>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</si>
  <si>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</si>
  <si>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</si>
  <si>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</si>
  <si>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</si>
  <si>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</si>
  <si>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</si>
  <si>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</si>
  <si>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</si>
  <si>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</si>
  <si>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</si>
  <si>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</si>
  <si>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</si>
  <si>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</si>
  <si>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</si>
  <si>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</si>
  <si>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</si>
  <si>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</si>
  <si>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</si>
  <si>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</si>
  <si>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</si>
  <si>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</si>
  <si>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</si>
  <si>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</si>
  <si>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</si>
  <si>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</si>
  <si>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</si>
  <si>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</si>
  <si>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</si>
  <si>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</si>
  <si>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</si>
  <si>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</si>
  <si>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</si>
  <si>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</si>
  <si>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</si>
  <si>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</si>
  <si>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</si>
  <si>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</si>
  <si>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</si>
  <si>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</si>
  <si>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</si>
  <si>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</si>
  <si>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</si>
  <si>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</si>
  <si>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</si>
  <si>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</si>
  <si>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</si>
  <si>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</si>
  <si>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</si>
  <si>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</si>
  <si>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</si>
  <si>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</si>
  <si>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</si>
  <si>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</si>
  <si>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</si>
  <si>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</si>
  <si>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</si>
  <si>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</si>
  <si>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</si>
  <si>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</si>
  <si>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</si>
  <si>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</si>
  <si>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</si>
  <si>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</si>
  <si>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</si>
  <si>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</si>
  <si>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</si>
  <si>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</si>
  <si>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</si>
  <si>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</si>
  <si>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</si>
  <si>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</si>
  <si>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</si>
  <si>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</si>
  <si>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</si>
  <si>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</si>
  <si>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</si>
  <si>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</si>
  <si>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</si>
  <si>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</si>
  <si>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</si>
  <si>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</si>
  <si>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</si>
  <si>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</si>
  <si>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</si>
  <si>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</si>
  <si>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</si>
  <si>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</si>
  <si>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</si>
  <si>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</si>
  <si>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</si>
  <si>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</si>
  <si>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</si>
  <si>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</si>
  <si>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</si>
  <si>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</si>
  <si>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</si>
  <si>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</si>
  <si>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</si>
  <si>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</si>
  <si>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</si>
  <si>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</si>
  <si>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</si>
  <si>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</si>
  <si>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</si>
  <si>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</si>
  <si>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</si>
  <si>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</si>
  <si>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</si>
  <si>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</si>
  <si>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</si>
  <si>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</si>
  <si>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</si>
  <si>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</si>
  <si>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</si>
  <si>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</si>
  <si>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</si>
  <si>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</si>
  <si>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</si>
  <si>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</si>
  <si>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</si>
  <si>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</si>
  <si>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</si>
  <si>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</si>
  <si>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</si>
  <si>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</si>
  <si>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</si>
  <si>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</si>
  <si>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</si>
  <si>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</si>
  <si>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</si>
  <si>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</si>
  <si>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</si>
  <si>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</si>
  <si>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</si>
  <si>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</si>
  <si>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</si>
  <si>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</si>
  <si>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</si>
  <si>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</si>
  <si>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</si>
  <si>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</si>
  <si>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</si>
  <si>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</si>
  <si>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</si>
  <si>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</si>
  <si>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</si>
  <si>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</si>
  <si>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</si>
  <si>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</si>
  <si>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</si>
  <si>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</si>
  <si>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</si>
  <si>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</si>
  <si>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</si>
  <si>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</si>
  <si>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</si>
  <si>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</si>
  <si>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</si>
  <si>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</si>
  <si>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</si>
  <si>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</si>
  <si>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</si>
  <si>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</si>
  <si>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</si>
  <si>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</si>
  <si>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</si>
  <si>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</si>
  <si>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</si>
  <si>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</si>
  <si>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</si>
  <si>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</si>
  <si>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</si>
  <si>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</si>
  <si>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</si>
  <si>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</si>
  <si>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</si>
  <si>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</si>
  <si>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</si>
  <si>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</si>
  <si>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</si>
  <si>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</si>
  <si>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</si>
  <si>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</si>
  <si>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</si>
  <si>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</si>
  <si>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</si>
  <si>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</si>
  <si>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</si>
  <si>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</si>
  <si>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</si>
  <si>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</si>
  <si>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</si>
  <si>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</si>
  <si>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</si>
  <si>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</si>
  <si>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</si>
  <si>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</si>
  <si>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</si>
  <si>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</si>
  <si>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</si>
  <si>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</si>
  <si>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</si>
  <si>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</si>
  <si>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</si>
  <si>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</si>
  <si>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</si>
  <si>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</si>
  <si>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</si>
  <si>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</si>
  <si>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</si>
  <si>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</si>
  <si>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</si>
  <si>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</si>
  <si>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</si>
  <si>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</si>
  <si>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</si>
  <si>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</si>
  <si>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</si>
  <si>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</si>
  <si>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</si>
  <si>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</si>
  <si>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</si>
  <si>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</si>
  <si>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</si>
  <si>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</si>
  <si>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</si>
  <si>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</si>
  <si>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</si>
  <si>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</si>
  <si>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</si>
  <si>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</si>
  <si>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</si>
  <si>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</si>
  <si>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</si>
  <si>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</si>
  <si>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</si>
  <si>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</si>
  <si>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</si>
  <si>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</si>
  <si>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</si>
  <si>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</si>
  <si>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</si>
  <si>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</si>
  <si>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</si>
  <si>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</si>
  <si>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</si>
  <si>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</si>
  <si>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</si>
  <si>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</si>
  <si>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</si>
  <si>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</si>
  <si>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</si>
  <si>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</si>
  <si>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</si>
  <si>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</si>
  <si>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</si>
  <si>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</si>
  <si>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</si>
  <si>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</si>
  <si>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</si>
  <si>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</si>
  <si>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</si>
  <si>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</si>
  <si>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</si>
  <si>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</si>
  <si>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</si>
  <si>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</si>
  <si>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</si>
  <si>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</si>
  <si>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</si>
  <si>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</si>
  <si>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</si>
  <si>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</si>
  <si>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</si>
  <si>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</si>
  <si>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</si>
  <si>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</si>
  <si>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</si>
  <si>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</si>
  <si>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</si>
  <si>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</si>
  <si>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</si>
  <si>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</si>
  <si>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</si>
  <si>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</si>
  <si>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</si>
  <si>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</si>
  <si>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</si>
  <si>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</si>
  <si>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</si>
  <si>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</si>
  <si>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</si>
  <si>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</si>
  <si>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</si>
  <si>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</si>
  <si>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</si>
  <si>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</si>
  <si>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</si>
  <si>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</si>
  <si>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</si>
  <si>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</si>
  <si>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</si>
  <si>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</si>
  <si>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</si>
  <si>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</si>
  <si>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</si>
  <si>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</si>
  <si>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</si>
  <si>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</si>
  <si>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</si>
  <si>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</si>
  <si>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</si>
  <si>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</si>
  <si>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</si>
  <si>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</si>
  <si>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</si>
  <si>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</si>
  <si>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</si>
  <si>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</si>
  <si>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</si>
  <si>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</si>
  <si>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</si>
  <si>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</si>
  <si>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</si>
  <si>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</si>
  <si>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</si>
  <si>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</si>
  <si>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</si>
  <si>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</si>
  <si>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</si>
  <si>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</si>
  <si>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</si>
  <si>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</si>
  <si>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</si>
  <si>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</si>
  <si>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</si>
  <si>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</si>
  <si>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</si>
  <si>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</si>
  <si>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</si>
  <si>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</si>
  <si>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</si>
  <si>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</si>
  <si>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</si>
  <si>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</si>
  <si>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</si>
  <si>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</si>
  <si>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</si>
  <si>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</si>
  <si>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</si>
  <si>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</si>
  <si>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</si>
  <si>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</si>
  <si>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</si>
  <si>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</si>
  <si>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</si>
  <si>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</si>
  <si>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</si>
  <si>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</si>
  <si>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</si>
  <si>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</si>
  <si>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</si>
  <si>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</si>
  <si>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</si>
  <si>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</si>
  <si>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</si>
  <si>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</si>
  <si>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</si>
  <si>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</si>
  <si>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</si>
  <si>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</si>
  <si>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</si>
  <si>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</si>
  <si>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</si>
  <si>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</si>
  <si>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</si>
  <si>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</si>
  <si>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</si>
  <si>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</si>
  <si>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</si>
  <si>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</si>
  <si>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</si>
  <si>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</si>
  <si>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</si>
  <si>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</si>
  <si>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</si>
  <si>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</si>
  <si>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</si>
  <si>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</si>
  <si>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</si>
  <si>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</si>
  <si>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</si>
  <si>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</si>
  <si>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</si>
  <si>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</si>
  <si>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</si>
  <si>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</si>
  <si>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</si>
  <si>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</si>
  <si>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</si>
  <si>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</si>
  <si>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</si>
  <si>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</si>
  <si>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</si>
  <si>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</si>
  <si>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</si>
  <si>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</si>
  <si>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</si>
  <si>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</si>
  <si>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</si>
  <si>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</si>
  <si>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</si>
  <si>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</si>
  <si>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</si>
  <si>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</si>
  <si>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</si>
  <si>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</si>
  <si>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</si>
  <si>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</si>
  <si>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</si>
  <si>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</si>
  <si>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</si>
  <si>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</si>
  <si>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</si>
  <si>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</si>
  <si>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</si>
  <si>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</si>
  <si>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</si>
  <si>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</si>
  <si>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</si>
  <si>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</si>
  <si>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</si>
  <si>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</si>
  <si>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</si>
  <si>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</si>
  <si>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</si>
  <si>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</si>
  <si>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</si>
  <si>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</si>
  <si>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</si>
  <si>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</si>
  <si>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</si>
  <si>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</si>
  <si>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</si>
  <si>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</si>
  <si>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</si>
  <si>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</si>
  <si>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</si>
  <si>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</si>
  <si>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</si>
  <si>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</si>
  <si>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</si>
  <si>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</si>
  <si>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</si>
  <si>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</si>
  <si>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</si>
  <si>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</si>
  <si>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</si>
  <si>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</si>
  <si>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</si>
  <si>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</si>
  <si>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</si>
  <si>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</si>
  <si>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</si>
  <si>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</si>
  <si>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</si>
  <si>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</si>
  <si>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</si>
  <si>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</si>
  <si>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</si>
  <si>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</si>
  <si>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</si>
  <si>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</si>
  <si>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</si>
  <si>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</si>
  <si>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</si>
  <si>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</si>
  <si>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</si>
  <si>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</si>
  <si>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</si>
  <si>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</si>
  <si>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</si>
  <si>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</si>
  <si>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</si>
  <si>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</si>
  <si>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</si>
  <si>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</si>
  <si>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</si>
  <si>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</si>
  <si>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</si>
  <si>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</si>
  <si>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</si>
  <si>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</si>
  <si>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</si>
  <si>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</si>
  <si>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</si>
  <si>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</si>
  <si>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</si>
  <si>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</si>
  <si>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</si>
  <si>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</si>
  <si>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</si>
  <si>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</si>
  <si>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</si>
  <si>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</si>
  <si>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</si>
  <si>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</si>
  <si>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</si>
  <si>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</si>
  <si>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</si>
  <si>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</si>
  <si>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</si>
  <si>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</si>
  <si>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</si>
  <si>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</si>
  <si>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</si>
  <si>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</si>
  <si>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</si>
  <si>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</si>
  <si>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</si>
  <si>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</si>
  <si>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</si>
  <si>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</si>
  <si>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</si>
  <si>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</si>
  <si>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</si>
  <si>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</si>
  <si>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</si>
  <si>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</si>
  <si>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</si>
  <si>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</si>
  <si>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</si>
  <si>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</si>
  <si>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</si>
  <si>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</si>
  <si>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</si>
  <si>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</si>
  <si>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</si>
  <si>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</si>
  <si>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</si>
  <si>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</si>
  <si>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</si>
  <si>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</si>
  <si>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</si>
  <si>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</si>
  <si>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</si>
  <si>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</si>
  <si>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</si>
  <si>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</si>
  <si>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</si>
  <si>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</si>
  <si>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</si>
  <si>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</si>
  <si>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</si>
  <si>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</si>
  <si>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</si>
  <si>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</si>
  <si>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</si>
  <si>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</si>
  <si>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</si>
  <si>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</si>
  <si>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</si>
  <si>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</si>
  <si>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</si>
  <si>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</si>
  <si>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</si>
  <si>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</si>
  <si>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</si>
  <si>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</si>
  <si>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</si>
  <si>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</si>
  <si>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</si>
  <si>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</si>
  <si>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</si>
  <si>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</si>
  <si>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</si>
  <si>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</si>
  <si>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</si>
  <si>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</si>
  <si>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</si>
  <si>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</si>
  <si>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</si>
  <si>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</si>
  <si>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</si>
  <si>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</si>
  <si>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</si>
  <si>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</si>
  <si>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</si>
  <si>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</si>
  <si>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</si>
  <si>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</si>
  <si>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</si>
  <si>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</si>
  <si>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</si>
  <si>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</si>
  <si>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</si>
  <si>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</si>
  <si>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</si>
  <si>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</si>
  <si>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</si>
  <si>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</si>
  <si>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</si>
  <si>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</si>
  <si>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</si>
  <si>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</si>
  <si>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</si>
  <si>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</si>
  <si>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</si>
  <si>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</si>
  <si>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</si>
  <si>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</si>
  <si>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（千円）</t>
    <rPh sb="1" eb="3">
      <t>センエン</t>
    </rPh>
    <phoneticPr fontId="6"/>
  </si>
  <si>
    <t>包括許可(貨物)</t>
    <rPh sb="0" eb="2">
      <t>ホウカツ</t>
    </rPh>
    <rPh sb="2" eb="4">
      <t>キョカ</t>
    </rPh>
    <rPh sb="5" eb="7">
      <t>カモツ</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</si>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</sst>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7">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85">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214">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180" fontId="30" fillId="0" borderId="0" xfId="0" applyNumberFormat="1" applyFont="1">
      <alignment vertical="center"/>
    </xf>
    <xf numFmtId="0" fontId="30" fillId="0" borderId="67"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181" fontId="30" fillId="0" borderId="0" xfId="0" applyNumberFormat="1" applyFont="1">
      <alignment vertical="center"/>
    </xf>
    <xf numFmtId="181" fontId="30" fillId="0" borderId="0" xfId="0" applyNumberFormat="1" applyFont="1" applyAlignment="1">
      <alignment horizontal="right" vertical="center"/>
    </xf>
    <xf numFmtId="181" fontId="30" fillId="0" borderId="67" xfId="0" applyNumberFormat="1" applyFont="1" applyBorder="1">
      <alignment vertical="center"/>
    </xf>
    <xf numFmtId="181" fontId="30" fillId="0" borderId="2" xfId="0" applyNumberFormat="1" applyFont="1" applyBorder="1">
      <alignment vertical="center"/>
    </xf>
    <xf numFmtId="0" fontId="29" fillId="0" borderId="0" xfId="0" applyNumberFormat="1" applyFont="1" applyBorder="1">
      <alignment vertical="center"/>
    </xf>
    <xf numFmtId="0" fontId="30" fillId="0" borderId="2" xfId="0" applyFont="1" applyBorder="1">
      <alignment vertical="center"/>
    </xf>
    <xf numFmtId="0" fontId="30" fillId="0" borderId="28" xfId="0" applyFont="1" applyBorder="1">
      <alignment vertical="center"/>
    </xf>
    <xf numFmtId="0" fontId="29" fillId="0" borderId="2" xfId="0" applyNumberFormat="1" applyFont="1" applyBorder="1">
      <alignment vertical="center"/>
    </xf>
    <xf numFmtId="0" fontId="30" fillId="0" borderId="68" xfId="0" applyFont="1" applyBorder="1">
      <alignment vertical="center"/>
    </xf>
    <xf numFmtId="0" fontId="34" fillId="0" borderId="0" xfId="5" applyFont="1" applyAlignment="1"/>
    <xf numFmtId="0" fontId="9" fillId="8" borderId="72" xfId="2" applyFont="1" applyFill="1" applyBorder="1" applyAlignment="1">
      <alignment horizontal="center" vertical="top"/>
    </xf>
    <xf numFmtId="0" fontId="9" fillId="0" borderId="73" xfId="2" applyFont="1" applyFill="1" applyBorder="1" applyAlignment="1">
      <alignment horizontal="center" vertical="top"/>
    </xf>
    <xf numFmtId="0" fontId="9" fillId="0" borderId="74" xfId="2" applyFont="1" applyFill="1" applyBorder="1" applyAlignment="1">
      <alignment horizontal="center" vertical="top"/>
    </xf>
    <xf numFmtId="0" fontId="9" fillId="8" borderId="75" xfId="2" applyFont="1" applyFill="1" applyBorder="1" applyAlignment="1">
      <alignment horizontal="center" vertical="top"/>
    </xf>
    <xf numFmtId="0" fontId="9" fillId="6" borderId="73" xfId="2" applyFont="1" applyFill="1" applyBorder="1" applyAlignment="1">
      <alignment horizontal="center" vertical="top"/>
    </xf>
    <xf numFmtId="0" fontId="9" fillId="6" borderId="74" xfId="2" applyFont="1" applyFill="1" applyBorder="1" applyAlignment="1">
      <alignment horizontal="center" vertical="top"/>
    </xf>
    <xf numFmtId="0" fontId="9" fillId="0" borderId="76" xfId="2" applyFont="1" applyFill="1" applyBorder="1" applyAlignment="1">
      <alignment horizontal="center" vertical="top"/>
    </xf>
    <xf numFmtId="0" fontId="9" fillId="8" borderId="77" xfId="2" applyFont="1" applyFill="1" applyBorder="1" applyAlignment="1">
      <alignment horizontal="center" vertical="top"/>
    </xf>
    <xf numFmtId="0" fontId="9" fillId="8" borderId="78" xfId="2" applyFont="1" applyFill="1" applyBorder="1" applyAlignment="1">
      <alignment horizontal="center" vertical="top"/>
    </xf>
    <xf numFmtId="0" fontId="9" fillId="6" borderId="76" xfId="2" applyFont="1" applyFill="1" applyBorder="1" applyAlignment="1">
      <alignment horizontal="center" vertical="top"/>
    </xf>
    <xf numFmtId="0" fontId="9" fillId="8" borderId="79" xfId="2" applyFont="1" applyFill="1" applyBorder="1" applyAlignment="1">
      <alignment horizontal="center" vertical="top"/>
    </xf>
    <xf numFmtId="0" fontId="9" fillId="8" borderId="80" xfId="2" applyFont="1" applyFill="1" applyBorder="1" applyAlignment="1">
      <alignment horizontal="center" vertical="top"/>
    </xf>
    <xf numFmtId="0" fontId="9" fillId="0" borderId="81" xfId="2" applyFont="1" applyFill="1" applyBorder="1" applyAlignment="1">
      <alignment horizontal="center" vertical="top"/>
    </xf>
    <xf numFmtId="0" fontId="9" fillId="8" borderId="82" xfId="2" applyFont="1" applyFill="1" applyBorder="1" applyAlignment="1">
      <alignment horizontal="left" vertical="top"/>
    </xf>
    <xf numFmtId="0" fontId="17" fillId="6" borderId="83" xfId="2" applyFont="1" applyFill="1" applyBorder="1" applyAlignment="1">
      <alignment vertical="top"/>
    </xf>
    <xf numFmtId="0" fontId="17" fillId="0" borderId="84" xfId="2"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0" fillId="17" borderId="69" xfId="0" applyFont="1" applyFill="1" applyBorder="1" applyAlignment="1">
      <alignment horizontal="center" vertical="center"/>
    </xf>
    <xf numFmtId="0" fontId="30" fillId="17" borderId="70" xfId="0" applyFont="1" applyFill="1" applyBorder="1" applyAlignment="1">
      <alignment horizontal="center" vertical="center"/>
    </xf>
    <xf numFmtId="0" fontId="30" fillId="17" borderId="71"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200-000017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activeCell="A2" sqref="A2"/>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F205"/>
  <sheetViews>
    <sheetView tabSelected="1" zoomScaleNormal="100" workbookViewId="0">
      <selection activeCell="I19" sqref="I19"/>
    </sheetView>
  </sheetViews>
  <sheetFormatPr defaultColWidth="9" defaultRowHeight="18.75" customHeight="1"/>
  <cols>
    <col min="1" max="1" width="22.75" style="140" bestFit="1" customWidth="1"/>
    <col min="2" max="10" width="9" style="140"/>
    <col min="11" max="11" width="15.125" style="140" bestFit="1" customWidth="1"/>
    <col min="12" max="13" width="9" style="140"/>
    <col min="14" max="14" width="13" style="140" bestFit="1" customWidth="1"/>
    <col min="15" max="17" width="9" style="140"/>
    <col min="18" max="18" width="42.75" style="140" bestFit="1" customWidth="1"/>
    <col min="19" max="27" width="9" style="140"/>
    <col min="28" max="32" width="16.625" style="140" customWidth="1"/>
    <col min="33" max="16384" width="9" style="140"/>
  </cols>
  <sheetData>
    <row r="1" spans="1:32" ht="18.75" customHeight="1">
      <c r="A1" s="143" t="s">
        <v>1490</v>
      </c>
      <c r="B1" s="140" t="s">
        <v>1501</v>
      </c>
      <c r="D1" s="188" t="s">
        <v>1498</v>
      </c>
      <c r="E1" s="189"/>
      <c r="F1" s="190"/>
      <c r="G1" s="188" t="s">
        <v>1843</v>
      </c>
      <c r="H1" s="189"/>
      <c r="I1" s="190"/>
      <c r="K1" s="188" t="s">
        <v>1507</v>
      </c>
      <c r="L1" s="189"/>
      <c r="M1" s="190"/>
      <c r="N1" s="191" t="s">
        <v>1843</v>
      </c>
      <c r="O1" s="192"/>
      <c r="P1" s="193"/>
      <c r="R1" s="188" t="s">
        <v>1508</v>
      </c>
      <c r="S1" s="189"/>
      <c r="T1" s="190"/>
      <c r="U1" s="188" t="s">
        <v>1857</v>
      </c>
      <c r="V1" s="189"/>
      <c r="W1" s="190"/>
      <c r="X1" s="188" t="s">
        <v>1858</v>
      </c>
      <c r="Y1" s="189"/>
      <c r="Z1" s="190"/>
      <c r="AB1" s="188" t="s">
        <v>1510</v>
      </c>
      <c r="AC1" s="189"/>
      <c r="AD1" s="189"/>
      <c r="AE1" s="189"/>
      <c r="AF1" s="190"/>
    </row>
    <row r="2" spans="1:32" ht="18.75" customHeight="1">
      <c r="A2" s="141">
        <v>43952</v>
      </c>
      <c r="C2" s="140" t="s">
        <v>1493</v>
      </c>
      <c r="N2" s="167"/>
      <c r="O2" s="167"/>
      <c r="P2" s="165"/>
      <c r="R2" s="149"/>
      <c r="S2" s="160"/>
      <c r="T2" s="161"/>
    </row>
    <row r="3" spans="1:32" ht="18.75" customHeight="1">
      <c r="A3" s="142">
        <v>44012</v>
      </c>
      <c r="D3" s="140" t="s">
        <v>1498</v>
      </c>
      <c r="E3" s="140" t="s">
        <v>1491</v>
      </c>
      <c r="F3" s="140" t="s">
        <v>1497</v>
      </c>
      <c r="G3" s="140" t="s">
        <v>1514</v>
      </c>
      <c r="H3" s="140" t="s">
        <v>1491</v>
      </c>
      <c r="I3" s="140" t="s">
        <v>1497</v>
      </c>
      <c r="K3" s="140" t="s">
        <v>1496</v>
      </c>
      <c r="L3" s="140" t="s">
        <v>1497</v>
      </c>
      <c r="M3" s="163" t="s">
        <v>1852</v>
      </c>
      <c r="N3" s="140" t="s">
        <v>1514</v>
      </c>
      <c r="O3" s="140" t="s">
        <v>1497</v>
      </c>
      <c r="P3" s="163" t="s">
        <v>1852</v>
      </c>
      <c r="R3" s="140" t="s">
        <v>1203</v>
      </c>
      <c r="S3" s="140" t="s">
        <v>1497</v>
      </c>
      <c r="V3" s="140" t="s">
        <v>1203</v>
      </c>
      <c r="W3" s="140" t="s">
        <v>1497</v>
      </c>
      <c r="Y3" s="140" t="s">
        <v>1203</v>
      </c>
      <c r="Z3" s="140" t="s">
        <v>1497</v>
      </c>
      <c r="AB3" s="140" t="s">
        <v>1497</v>
      </c>
      <c r="AC3" s="140" t="s">
        <v>1497</v>
      </c>
      <c r="AD3" s="140" t="s">
        <v>1497</v>
      </c>
      <c r="AE3" s="140" t="s">
        <v>1497</v>
      </c>
      <c r="AF3" s="140" t="s">
        <v>1497</v>
      </c>
    </row>
    <row r="4" spans="1:32"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X4" s="144" t="s">
        <v>1509</v>
      </c>
      <c r="Y4" s="144" t="s">
        <v>1488</v>
      </c>
      <c r="Z4" s="146" t="s">
        <v>1513</v>
      </c>
      <c r="AB4" s="144" t="s">
        <v>1853</v>
      </c>
      <c r="AC4" s="144" t="s">
        <v>1854</v>
      </c>
      <c r="AD4" s="145" t="s">
        <v>1454</v>
      </c>
      <c r="AE4" s="145" t="s">
        <v>1511</v>
      </c>
      <c r="AF4" s="146" t="s">
        <v>1512</v>
      </c>
    </row>
    <row r="5" spans="1:32" ht="18.75" customHeight="1" thickTop="1">
      <c r="A5" s="143" t="s">
        <v>1494</v>
      </c>
      <c r="C5" s="159"/>
      <c r="D5" s="154"/>
      <c r="E5" s="148" t="s">
        <v>1063</v>
      </c>
      <c r="F5" s="151"/>
      <c r="G5" s="152"/>
      <c r="H5" s="154"/>
      <c r="I5" s="154"/>
      <c r="K5" s="148" t="s">
        <v>1066</v>
      </c>
      <c r="M5" s="168"/>
      <c r="N5" s="170"/>
      <c r="O5" s="154"/>
      <c r="P5" s="164"/>
      <c r="R5" s="154"/>
      <c r="S5" s="154"/>
      <c r="T5" s="151"/>
      <c r="U5" s="152"/>
      <c r="V5" s="154"/>
      <c r="W5" s="154"/>
      <c r="X5" s="152"/>
      <c r="Y5" s="154"/>
      <c r="Z5" s="154"/>
      <c r="AB5" s="154"/>
      <c r="AC5" s="154"/>
      <c r="AD5" s="154"/>
      <c r="AE5" s="154"/>
      <c r="AF5" s="154"/>
    </row>
    <row r="6" spans="1:32" ht="18.75" customHeight="1">
      <c r="A6" s="140" t="s">
        <v>1490</v>
      </c>
      <c r="B6" s="140" t="b">
        <f>ISREF(集計期間)</f>
        <v>1</v>
      </c>
      <c r="D6" s="138" t="s">
        <v>1517</v>
      </c>
      <c r="E6" s="157">
        <v>3</v>
      </c>
      <c r="F6" s="138">
        <v>2</v>
      </c>
      <c r="G6" s="166" t="s">
        <v>1517</v>
      </c>
      <c r="H6" s="166">
        <v>3</v>
      </c>
      <c r="I6" s="166">
        <v>2</v>
      </c>
      <c r="K6" s="149" t="s">
        <v>27</v>
      </c>
      <c r="L6" s="160">
        <v>36</v>
      </c>
      <c r="M6" s="161">
        <v>25691459</v>
      </c>
      <c r="N6" s="169" t="s">
        <v>27</v>
      </c>
      <c r="O6" s="169">
        <v>36</v>
      </c>
      <c r="P6" s="161">
        <v>25691459</v>
      </c>
      <c r="R6" s="169" t="s">
        <v>1569</v>
      </c>
      <c r="S6" s="169">
        <v>0</v>
      </c>
      <c r="T6" s="161">
        <v>0</v>
      </c>
      <c r="U6" s="150"/>
      <c r="V6" s="150"/>
      <c r="W6" s="150"/>
      <c r="X6" s="150"/>
      <c r="Y6" s="150"/>
      <c r="Z6" s="150"/>
    </row>
    <row r="7" spans="1:32" ht="18.75" customHeight="1">
      <c r="A7" s="140" t="s">
        <v>1492</v>
      </c>
      <c r="B7" s="140" t="b">
        <f>ISREF(組織)</f>
        <v>1</v>
      </c>
      <c r="D7" s="138" t="s">
        <v>1242</v>
      </c>
      <c r="F7" s="138">
        <v>0</v>
      </c>
      <c r="G7" s="166" t="s">
        <v>1260</v>
      </c>
      <c r="H7" s="166">
        <v>74</v>
      </c>
      <c r="I7" s="166">
        <v>56</v>
      </c>
      <c r="K7" s="149" t="s">
        <v>54</v>
      </c>
      <c r="L7" s="160">
        <v>13</v>
      </c>
      <c r="M7" s="161">
        <v>0</v>
      </c>
      <c r="N7" s="169" t="s">
        <v>54</v>
      </c>
      <c r="O7" s="169">
        <v>13</v>
      </c>
      <c r="P7" s="161">
        <v>0</v>
      </c>
      <c r="R7" s="169" t="s">
        <v>1570</v>
      </c>
      <c r="S7" s="169">
        <v>14</v>
      </c>
      <c r="T7" s="161">
        <v>6099360</v>
      </c>
    </row>
    <row r="8" spans="1:32" ht="18.75" customHeight="1">
      <c r="A8" s="140" t="s">
        <v>1495</v>
      </c>
      <c r="B8" s="140" t="b">
        <f>ISREF(承認記録)</f>
        <v>1</v>
      </c>
      <c r="D8" s="138" t="s">
        <v>1260</v>
      </c>
      <c r="E8" s="157">
        <v>74</v>
      </c>
      <c r="F8" s="138">
        <v>56</v>
      </c>
      <c r="G8" s="166" t="s">
        <v>1287</v>
      </c>
      <c r="H8" s="166">
        <v>4</v>
      </c>
      <c r="I8" s="166">
        <v>1</v>
      </c>
      <c r="K8" s="149" t="s">
        <v>779</v>
      </c>
      <c r="L8" s="160">
        <v>0</v>
      </c>
      <c r="M8" s="161">
        <v>0</v>
      </c>
      <c r="N8" s="169" t="s">
        <v>166</v>
      </c>
      <c r="O8" s="169">
        <v>2</v>
      </c>
      <c r="P8" s="161">
        <v>0</v>
      </c>
      <c r="R8" s="169" t="s">
        <v>1573</v>
      </c>
      <c r="S8" s="169">
        <v>0</v>
      </c>
      <c r="T8" s="161">
        <v>0</v>
      </c>
    </row>
    <row r="9" spans="1:32" ht="18.75" customHeight="1">
      <c r="A9" s="140" t="s">
        <v>1849</v>
      </c>
      <c r="B9" s="140" t="b">
        <f>ISREF(取引集計)</f>
        <v>1</v>
      </c>
      <c r="D9" s="138" t="s">
        <v>1287</v>
      </c>
      <c r="E9" s="158">
        <v>4</v>
      </c>
      <c r="F9" s="138">
        <v>1</v>
      </c>
      <c r="G9" s="166" t="s">
        <v>1296</v>
      </c>
      <c r="H9" s="166">
        <v>1</v>
      </c>
      <c r="I9" s="166">
        <v>0</v>
      </c>
      <c r="K9" s="149" t="s">
        <v>166</v>
      </c>
      <c r="L9" s="160">
        <v>2</v>
      </c>
      <c r="M9" s="161">
        <v>0</v>
      </c>
      <c r="N9" s="169" t="s">
        <v>87</v>
      </c>
      <c r="O9" s="169">
        <v>1</v>
      </c>
      <c r="P9" s="161">
        <v>0</v>
      </c>
      <c r="R9" s="169" t="s">
        <v>514</v>
      </c>
      <c r="S9" s="169">
        <v>1</v>
      </c>
      <c r="T9" s="161">
        <v>444000</v>
      </c>
    </row>
    <row r="10" spans="1:32" ht="18.75" customHeight="1">
      <c r="A10" s="140" t="s">
        <v>1850</v>
      </c>
      <c r="B10" s="140" t="b">
        <f>ISREF(取引集計＿非ゼロ)</f>
        <v>1</v>
      </c>
      <c r="D10" s="138" t="s">
        <v>1296</v>
      </c>
      <c r="E10" s="158">
        <v>1</v>
      </c>
      <c r="F10" s="138">
        <v>0</v>
      </c>
      <c r="G10" s="166" t="s">
        <v>1526</v>
      </c>
      <c r="H10" s="166">
        <v>0</v>
      </c>
      <c r="I10" s="166">
        <v>1</v>
      </c>
      <c r="K10" s="149" t="s">
        <v>1077</v>
      </c>
      <c r="L10" s="160">
        <v>0</v>
      </c>
      <c r="M10" s="161">
        <v>0</v>
      </c>
      <c r="N10" s="169" t="s">
        <v>494</v>
      </c>
      <c r="O10" s="169">
        <v>4</v>
      </c>
      <c r="P10" s="161">
        <v>109395000</v>
      </c>
      <c r="R10" s="169" t="s">
        <v>1575</v>
      </c>
      <c r="S10" s="169">
        <v>0</v>
      </c>
      <c r="T10" s="161">
        <v>0</v>
      </c>
    </row>
    <row r="11" spans="1:32" ht="18.75" customHeight="1">
      <c r="A11" s="140" t="s">
        <v>1498</v>
      </c>
      <c r="B11" s="140" t="b">
        <f>ISREF(組織集計)</f>
        <v>1</v>
      </c>
      <c r="D11" s="138" t="s">
        <v>1526</v>
      </c>
      <c r="F11" s="138">
        <v>1</v>
      </c>
      <c r="G11" s="166" t="s">
        <v>545</v>
      </c>
      <c r="H11" s="166">
        <v>0</v>
      </c>
      <c r="I11" s="166">
        <v>1</v>
      </c>
      <c r="K11" s="149" t="s">
        <v>87</v>
      </c>
      <c r="L11" s="160">
        <v>1</v>
      </c>
      <c r="M11" s="161">
        <v>0</v>
      </c>
      <c r="N11" s="169" t="s">
        <v>252</v>
      </c>
      <c r="O11" s="169">
        <v>3</v>
      </c>
      <c r="P11" s="161">
        <v>3240000</v>
      </c>
      <c r="R11" s="169" t="s">
        <v>780</v>
      </c>
      <c r="S11" s="169">
        <v>0</v>
      </c>
      <c r="T11" s="161">
        <v>0</v>
      </c>
    </row>
    <row r="12" spans="1:32" ht="18.75" customHeight="1">
      <c r="A12" s="140" t="s">
        <v>1843</v>
      </c>
      <c r="B12" s="140" t="b">
        <f>ISREF(組織集計＿非ゼロ)</f>
        <v>1</v>
      </c>
      <c r="D12" s="138" t="s">
        <v>1532</v>
      </c>
      <c r="F12" s="138">
        <v>0</v>
      </c>
      <c r="G12"/>
      <c r="H12"/>
      <c r="I12"/>
      <c r="K12" s="149" t="s">
        <v>494</v>
      </c>
      <c r="L12" s="160">
        <v>4</v>
      </c>
      <c r="M12" s="161">
        <v>109395000</v>
      </c>
      <c r="N12" s="169" t="s">
        <v>116</v>
      </c>
      <c r="O12" s="169">
        <v>2</v>
      </c>
      <c r="P12" s="161">
        <v>1296000</v>
      </c>
      <c r="R12" s="169" t="s">
        <v>1577</v>
      </c>
      <c r="S12" s="169">
        <v>0</v>
      </c>
      <c r="T12" s="161">
        <v>0</v>
      </c>
    </row>
    <row r="13" spans="1:32" ht="18.75" customHeight="1">
      <c r="A13" s="140" t="s">
        <v>1508</v>
      </c>
      <c r="B13" s="140" t="b">
        <f>ISREF(仕向地集計)</f>
        <v>1</v>
      </c>
      <c r="D13" s="138" t="s">
        <v>1537</v>
      </c>
      <c r="F13" s="138">
        <v>0</v>
      </c>
      <c r="G13" s="138"/>
      <c r="H13" s="138"/>
      <c r="I13" s="138"/>
      <c r="K13" s="149" t="s">
        <v>73</v>
      </c>
      <c r="L13" s="160">
        <v>0</v>
      </c>
      <c r="M13" s="161">
        <v>0</v>
      </c>
      <c r="P13" s="162"/>
      <c r="R13" s="169" t="s">
        <v>639</v>
      </c>
      <c r="S13" s="169">
        <v>1</v>
      </c>
      <c r="T13" s="161">
        <v>708000</v>
      </c>
    </row>
    <row r="14" spans="1:32" ht="18.75" customHeight="1">
      <c r="A14" s="140" t="s">
        <v>1851</v>
      </c>
      <c r="B14" s="140" t="b">
        <f>ISREF(仕向地集計＿トップ)</f>
        <v>0</v>
      </c>
      <c r="D14" s="138" t="s">
        <v>1540</v>
      </c>
      <c r="F14" s="138">
        <v>0</v>
      </c>
      <c r="G14" s="138"/>
      <c r="H14" s="138"/>
      <c r="I14" s="138"/>
      <c r="K14" s="149" t="s">
        <v>259</v>
      </c>
      <c r="L14" s="160">
        <v>0</v>
      </c>
      <c r="M14" s="161">
        <v>0</v>
      </c>
      <c r="P14" s="162"/>
      <c r="R14" s="169" t="s">
        <v>105</v>
      </c>
      <c r="S14" s="169">
        <v>0</v>
      </c>
      <c r="T14" s="161">
        <v>0</v>
      </c>
    </row>
    <row r="15" spans="1:32" ht="18.75" customHeight="1">
      <c r="A15" s="140" t="s">
        <v>1510</v>
      </c>
      <c r="B15" s="140" t="b">
        <f>ISREF(該当取引)</f>
        <v>0</v>
      </c>
      <c r="D15" s="138" t="s">
        <v>1544</v>
      </c>
      <c r="F15" s="138">
        <v>0</v>
      </c>
      <c r="G15" s="138"/>
      <c r="H15" s="138"/>
      <c r="I15" s="138"/>
      <c r="K15" s="149" t="s">
        <v>252</v>
      </c>
      <c r="L15" s="160">
        <v>3</v>
      </c>
      <c r="M15" s="161">
        <v>3240000</v>
      </c>
      <c r="P15" s="162"/>
      <c r="R15" s="169" t="s">
        <v>1582</v>
      </c>
      <c r="S15" s="169">
        <v>0</v>
      </c>
      <c r="T15" s="161">
        <v>0</v>
      </c>
    </row>
    <row r="16" spans="1:32" ht="18.75" customHeight="1">
      <c r="A16" s="140" t="s">
        <v>1516</v>
      </c>
      <c r="B16" s="140" t="b">
        <f>ISREF(Range_組織辞書)</f>
        <v>1</v>
      </c>
      <c r="D16" s="138" t="s">
        <v>1547</v>
      </c>
      <c r="F16" s="138">
        <v>0</v>
      </c>
      <c r="G16" s="138"/>
      <c r="H16" s="138"/>
      <c r="I16" s="138"/>
      <c r="K16" s="149" t="s">
        <v>1085</v>
      </c>
      <c r="L16" s="160">
        <v>0</v>
      </c>
      <c r="M16" s="161">
        <v>0</v>
      </c>
      <c r="P16" s="162"/>
      <c r="R16" s="169" t="s">
        <v>28</v>
      </c>
      <c r="S16" s="169">
        <v>1</v>
      </c>
      <c r="T16" s="161">
        <v>500000</v>
      </c>
    </row>
    <row r="17" spans="1:20" ht="18.75" customHeight="1">
      <c r="A17" s="140" t="s">
        <v>1855</v>
      </c>
      <c r="B17" s="140" t="b">
        <f>ISREF(仕向地別名)</f>
        <v>1</v>
      </c>
      <c r="D17" s="138" t="s">
        <v>1553</v>
      </c>
      <c r="F17" s="138">
        <v>0</v>
      </c>
      <c r="G17" s="138"/>
      <c r="H17" s="138"/>
      <c r="I17" s="138"/>
      <c r="K17" s="149" t="s">
        <v>116</v>
      </c>
      <c r="L17" s="160">
        <v>2</v>
      </c>
      <c r="M17" s="161">
        <v>1296000</v>
      </c>
      <c r="P17" s="162"/>
      <c r="R17" s="169" t="s">
        <v>1583</v>
      </c>
      <c r="S17" s="169">
        <v>0</v>
      </c>
      <c r="T17" s="161">
        <v>0</v>
      </c>
    </row>
    <row r="18" spans="1:20" ht="18.75" customHeight="1">
      <c r="A18" s="140" t="s">
        <v>1856</v>
      </c>
      <c r="B18" s="140" t="b">
        <f>ISREF(仕向地別名回数)</f>
        <v>1</v>
      </c>
      <c r="D18" s="138" t="s">
        <v>1554</v>
      </c>
      <c r="F18" s="138">
        <v>0</v>
      </c>
      <c r="G18" s="138"/>
      <c r="H18" s="138"/>
      <c r="I18" s="138"/>
      <c r="R18" s="169" t="s">
        <v>903</v>
      </c>
      <c r="S18" s="169">
        <v>0</v>
      </c>
      <c r="T18" s="161">
        <v>0</v>
      </c>
    </row>
    <row r="19" spans="1:20" ht="18.75" customHeight="1">
      <c r="A19" s="140" t="s">
        <v>1861</v>
      </c>
      <c r="B19" s="140" t="b">
        <f>ISREF(未割当別名)</f>
        <v>1</v>
      </c>
      <c r="D19" s="138" t="s">
        <v>1558</v>
      </c>
      <c r="F19" s="138">
        <v>0</v>
      </c>
      <c r="G19" s="138"/>
      <c r="H19" s="138"/>
      <c r="I19" s="138"/>
      <c r="R19" s="169" t="s">
        <v>1587</v>
      </c>
      <c r="S19" s="169">
        <v>1</v>
      </c>
      <c r="T19" s="161">
        <v>81882</v>
      </c>
    </row>
    <row r="20" spans="1:20" ht="18.75" customHeight="1">
      <c r="B20" s="153"/>
      <c r="D20" s="138" t="s">
        <v>1385</v>
      </c>
      <c r="F20" s="138">
        <v>0</v>
      </c>
      <c r="G20" s="138"/>
      <c r="H20" s="138"/>
      <c r="I20" s="138"/>
      <c r="R20" s="169" t="s">
        <v>999</v>
      </c>
      <c r="S20" s="169">
        <v>0</v>
      </c>
      <c r="T20" s="161">
        <v>0</v>
      </c>
    </row>
    <row r="21" spans="1:20" ht="18.75" customHeight="1">
      <c r="B21" s="153"/>
      <c r="D21" s="138" t="s">
        <v>1560</v>
      </c>
      <c r="F21" s="138">
        <v>0</v>
      </c>
      <c r="G21" s="138"/>
      <c r="H21" s="138"/>
      <c r="I21" s="138"/>
      <c r="R21" s="169" t="s">
        <v>1588</v>
      </c>
      <c r="S21" s="169">
        <v>0</v>
      </c>
      <c r="T21" s="161">
        <v>0</v>
      </c>
    </row>
    <row r="22" spans="1:20" ht="18.75" customHeight="1">
      <c r="A22" s="143" t="s">
        <v>1499</v>
      </c>
      <c r="B22" s="153"/>
      <c r="D22" s="138" t="s">
        <v>1398</v>
      </c>
      <c r="F22" s="138">
        <v>0</v>
      </c>
      <c r="G22" s="138"/>
      <c r="H22" s="138"/>
      <c r="I22" s="138"/>
      <c r="R22" s="169" t="s">
        <v>222</v>
      </c>
      <c r="S22" s="169">
        <v>4</v>
      </c>
      <c r="T22" s="161">
        <v>2401980</v>
      </c>
    </row>
    <row r="23" spans="1:20" ht="18.75" customHeight="1">
      <c r="A23" s="140" t="s">
        <v>1500</v>
      </c>
      <c r="B23" s="153"/>
      <c r="D23" s="138" t="s">
        <v>1419</v>
      </c>
      <c r="F23" s="138">
        <v>0</v>
      </c>
      <c r="G23" s="138"/>
      <c r="H23" s="138"/>
      <c r="I23" s="138"/>
      <c r="R23" s="169" t="s">
        <v>1589</v>
      </c>
      <c r="S23" s="169">
        <v>0</v>
      </c>
      <c r="T23" s="161">
        <v>0</v>
      </c>
    </row>
    <row r="24" spans="1:20" ht="18.75" customHeight="1">
      <c r="A24" s="140" t="s">
        <v>1502</v>
      </c>
      <c r="B24" s="153"/>
      <c r="D24" s="138" t="s">
        <v>545</v>
      </c>
      <c r="F24" s="138">
        <v>1</v>
      </c>
      <c r="G24" s="138"/>
      <c r="H24" s="138"/>
      <c r="I24" s="138"/>
      <c r="R24" s="169" t="s">
        <v>826</v>
      </c>
      <c r="S24" s="169">
        <v>0</v>
      </c>
      <c r="T24" s="161">
        <v>0</v>
      </c>
    </row>
    <row r="25" spans="1:20" ht="18.75" customHeight="1">
      <c r="A25" s="140" t="s">
        <v>1503</v>
      </c>
      <c r="B25" s="153"/>
      <c r="D25" s="138" t="s">
        <v>1434</v>
      </c>
      <c r="F25" s="138">
        <v>0</v>
      </c>
      <c r="G25" s="138"/>
      <c r="H25" s="138"/>
      <c r="I25" s="138"/>
      <c r="R25" s="169" t="s">
        <v>167</v>
      </c>
      <c r="S25" s="169">
        <v>0</v>
      </c>
      <c r="T25" s="161">
        <v>0</v>
      </c>
    </row>
    <row r="26" spans="1:20" ht="18.75" customHeight="1">
      <c r="A26" s="140" t="s">
        <v>1504</v>
      </c>
      <c r="B26" s="153"/>
      <c r="D26" s="138" t="s">
        <v>1437</v>
      </c>
      <c r="F26" s="138">
        <v>0</v>
      </c>
      <c r="G26" s="138"/>
      <c r="H26" s="138"/>
      <c r="I26" s="138"/>
      <c r="R26" s="169" t="s">
        <v>985</v>
      </c>
      <c r="S26" s="169">
        <v>0</v>
      </c>
      <c r="T26" s="161">
        <v>0</v>
      </c>
    </row>
    <row r="27" spans="1:20" ht="18.75" customHeight="1">
      <c r="A27" s="140" t="s">
        <v>1505</v>
      </c>
      <c r="D27"/>
      <c r="F27"/>
      <c r="G27" s="138"/>
      <c r="H27" s="138"/>
      <c r="I27" s="138"/>
      <c r="R27" s="169" t="s">
        <v>669</v>
      </c>
      <c r="S27" s="169">
        <v>1</v>
      </c>
      <c r="T27" s="161">
        <v>0</v>
      </c>
    </row>
    <row r="28" spans="1:20" ht="18.75" customHeight="1">
      <c r="A28" s="140" t="s">
        <v>1506</v>
      </c>
      <c r="R28" s="169" t="s">
        <v>1595</v>
      </c>
      <c r="S28" s="169">
        <v>0</v>
      </c>
      <c r="T28" s="161">
        <v>0</v>
      </c>
    </row>
    <row r="29" spans="1:20" ht="18.75" customHeight="1">
      <c r="R29" s="169" t="s">
        <v>1597</v>
      </c>
      <c r="S29" s="169">
        <v>0</v>
      </c>
      <c r="T29" s="161">
        <v>0</v>
      </c>
    </row>
    <row r="30" spans="1:20" ht="18.75" customHeight="1">
      <c r="R30" s="169" t="s">
        <v>378</v>
      </c>
      <c r="S30" s="169">
        <v>0</v>
      </c>
      <c r="T30" s="161">
        <v>0</v>
      </c>
    </row>
    <row r="31" spans="1:20" ht="18.75" customHeight="1">
      <c r="R31" s="169" t="s">
        <v>1598</v>
      </c>
      <c r="S31" s="169">
        <v>0</v>
      </c>
      <c r="T31" s="161">
        <v>0</v>
      </c>
    </row>
    <row r="32" spans="1:20" ht="18.75" customHeight="1">
      <c r="R32" s="169" t="s">
        <v>1599</v>
      </c>
      <c r="S32" s="169">
        <v>0</v>
      </c>
      <c r="T32" s="161">
        <v>0</v>
      </c>
    </row>
    <row r="33" spans="18:20" ht="18.75" customHeight="1">
      <c r="R33" s="169" t="s">
        <v>1601</v>
      </c>
      <c r="S33" s="169">
        <v>0</v>
      </c>
      <c r="T33" s="161">
        <v>0</v>
      </c>
    </row>
    <row r="34" spans="18:20" ht="18.75" customHeight="1">
      <c r="R34" s="169" t="s">
        <v>1602</v>
      </c>
      <c r="S34" s="169">
        <v>0</v>
      </c>
      <c r="T34" s="161">
        <v>0</v>
      </c>
    </row>
    <row r="35" spans="18:20" ht="18.75" customHeight="1">
      <c r="R35" s="169" t="s">
        <v>1604</v>
      </c>
      <c r="S35" s="169">
        <v>0</v>
      </c>
      <c r="T35" s="161">
        <v>0</v>
      </c>
    </row>
    <row r="36" spans="18:20" ht="18.75" customHeight="1">
      <c r="R36" s="169" t="s">
        <v>1605</v>
      </c>
      <c r="S36" s="169">
        <v>0</v>
      </c>
      <c r="T36" s="161">
        <v>0</v>
      </c>
    </row>
    <row r="37" spans="18:20" ht="18.75" customHeight="1">
      <c r="R37" s="169" t="s">
        <v>1606</v>
      </c>
      <c r="S37" s="169">
        <v>0</v>
      </c>
      <c r="T37" s="161">
        <v>0</v>
      </c>
    </row>
    <row r="38" spans="18:20" ht="18.75" customHeight="1">
      <c r="R38" s="169" t="s">
        <v>1608</v>
      </c>
      <c r="S38" s="169">
        <v>0</v>
      </c>
      <c r="T38" s="161">
        <v>0</v>
      </c>
    </row>
    <row r="39" spans="18:20" ht="18.75" customHeight="1">
      <c r="R39" s="169" t="s">
        <v>1610</v>
      </c>
      <c r="S39" s="169">
        <v>0</v>
      </c>
      <c r="T39" s="161">
        <v>0</v>
      </c>
    </row>
    <row r="40" spans="18:20" ht="18.75" customHeight="1">
      <c r="R40" s="169" t="s">
        <v>795</v>
      </c>
      <c r="S40" s="169">
        <v>0</v>
      </c>
      <c r="T40" s="161">
        <v>0</v>
      </c>
    </row>
    <row r="41" spans="18:20" ht="18.75" customHeight="1">
      <c r="R41" s="169" t="s">
        <v>1611</v>
      </c>
      <c r="S41" s="169">
        <v>0</v>
      </c>
      <c r="T41" s="161">
        <v>0</v>
      </c>
    </row>
    <row r="42" spans="18:20" ht="18.75" customHeight="1">
      <c r="R42" s="169" t="s">
        <v>1612</v>
      </c>
      <c r="S42" s="169">
        <v>0</v>
      </c>
      <c r="T42" s="161">
        <v>0</v>
      </c>
    </row>
    <row r="43" spans="18:20" ht="18.75" customHeight="1">
      <c r="R43" s="169" t="s">
        <v>99</v>
      </c>
      <c r="S43" s="169">
        <v>0</v>
      </c>
      <c r="T43" s="161">
        <v>0</v>
      </c>
    </row>
    <row r="44" spans="18:20" ht="18.75" customHeight="1">
      <c r="R44" s="169" t="s">
        <v>1037</v>
      </c>
      <c r="S44" s="169">
        <v>0</v>
      </c>
      <c r="T44" s="161">
        <v>0</v>
      </c>
    </row>
    <row r="45" spans="18:20" ht="18.75" customHeight="1">
      <c r="R45" s="169" t="s">
        <v>1615</v>
      </c>
      <c r="S45" s="169">
        <v>0</v>
      </c>
      <c r="T45" s="161">
        <v>0</v>
      </c>
    </row>
    <row r="46" spans="18:20" ht="18.75" customHeight="1">
      <c r="R46" s="169" t="s">
        <v>1617</v>
      </c>
      <c r="S46" s="169">
        <v>0</v>
      </c>
      <c r="T46" s="161">
        <v>0</v>
      </c>
    </row>
    <row r="47" spans="18:20" ht="18.75" customHeight="1">
      <c r="R47" s="169" t="s">
        <v>1619</v>
      </c>
      <c r="S47" s="169">
        <v>0</v>
      </c>
      <c r="T47" s="161">
        <v>0</v>
      </c>
    </row>
    <row r="48" spans="18:20" ht="18.75" customHeight="1">
      <c r="R48" s="169" t="s">
        <v>1620</v>
      </c>
      <c r="S48" s="169">
        <v>0</v>
      </c>
      <c r="T48" s="161">
        <v>0</v>
      </c>
    </row>
    <row r="49" spans="18:20" ht="18.75" customHeight="1">
      <c r="R49" s="169" t="s">
        <v>1621</v>
      </c>
      <c r="S49" s="169">
        <v>0</v>
      </c>
      <c r="T49" s="161">
        <v>0</v>
      </c>
    </row>
    <row r="50" spans="18:20" ht="18.75" customHeight="1">
      <c r="R50" s="169" t="s">
        <v>1622</v>
      </c>
      <c r="S50" s="169">
        <v>0</v>
      </c>
      <c r="T50" s="161">
        <v>0</v>
      </c>
    </row>
    <row r="51" spans="18:20" ht="18.75" customHeight="1">
      <c r="R51" s="169" t="s">
        <v>1628</v>
      </c>
      <c r="S51" s="169">
        <v>0</v>
      </c>
      <c r="T51" s="161">
        <v>0</v>
      </c>
    </row>
    <row r="52" spans="18:20" ht="18.75" customHeight="1">
      <c r="R52" s="169" t="s">
        <v>1630</v>
      </c>
      <c r="S52" s="169">
        <v>0</v>
      </c>
      <c r="T52" s="161">
        <v>0</v>
      </c>
    </row>
    <row r="53" spans="18:20" ht="18.75" customHeight="1">
      <c r="R53" s="169" t="s">
        <v>1632</v>
      </c>
      <c r="S53" s="169">
        <v>0</v>
      </c>
      <c r="T53" s="161">
        <v>0</v>
      </c>
    </row>
    <row r="54" spans="18:20" ht="18.75" customHeight="1">
      <c r="R54" s="169" t="s">
        <v>1634</v>
      </c>
      <c r="S54" s="169">
        <v>0</v>
      </c>
      <c r="T54" s="161">
        <v>0</v>
      </c>
    </row>
    <row r="55" spans="18:20" ht="18.75" customHeight="1">
      <c r="R55" s="169" t="s">
        <v>1635</v>
      </c>
      <c r="S55" s="169">
        <v>0</v>
      </c>
      <c r="T55" s="161">
        <v>0</v>
      </c>
    </row>
    <row r="56" spans="18:20" ht="18.75" customHeight="1">
      <c r="R56" s="169" t="s">
        <v>1636</v>
      </c>
      <c r="S56" s="169">
        <v>0</v>
      </c>
      <c r="T56" s="161">
        <v>0</v>
      </c>
    </row>
    <row r="57" spans="18:20" ht="18.75" customHeight="1">
      <c r="R57" s="169" t="s">
        <v>1637</v>
      </c>
      <c r="S57" s="169">
        <v>0</v>
      </c>
      <c r="T57" s="161">
        <v>0</v>
      </c>
    </row>
    <row r="58" spans="18:20" ht="18.75" customHeight="1">
      <c r="R58" s="169" t="s">
        <v>189</v>
      </c>
      <c r="S58" s="169">
        <v>1</v>
      </c>
      <c r="T58" s="161">
        <v>0</v>
      </c>
    </row>
    <row r="59" spans="18:20" ht="18.75" customHeight="1">
      <c r="R59" s="169" t="s">
        <v>1638</v>
      </c>
      <c r="S59" s="169">
        <v>0</v>
      </c>
      <c r="T59" s="161">
        <v>0</v>
      </c>
    </row>
    <row r="60" spans="18:20" ht="18.75" customHeight="1">
      <c r="R60" s="169" t="s">
        <v>1639</v>
      </c>
      <c r="S60" s="169">
        <v>0</v>
      </c>
      <c r="T60" s="161">
        <v>0</v>
      </c>
    </row>
    <row r="61" spans="18:20" ht="18.75" customHeight="1">
      <c r="R61" s="169" t="s">
        <v>246</v>
      </c>
      <c r="S61" s="169">
        <v>6</v>
      </c>
      <c r="T61" s="161">
        <v>3256080</v>
      </c>
    </row>
    <row r="62" spans="18:20" ht="18.75" customHeight="1">
      <c r="R62" s="169" t="s">
        <v>1640</v>
      </c>
      <c r="S62" s="169">
        <v>0</v>
      </c>
      <c r="T62" s="161">
        <v>0</v>
      </c>
    </row>
    <row r="63" spans="18:20" ht="18.75" customHeight="1">
      <c r="R63" s="169" t="s">
        <v>1642</v>
      </c>
      <c r="S63" s="169">
        <v>0</v>
      </c>
      <c r="T63" s="161">
        <v>0</v>
      </c>
    </row>
    <row r="64" spans="18:20" ht="18.75" customHeight="1">
      <c r="R64" s="169" t="s">
        <v>1643</v>
      </c>
      <c r="S64" s="169">
        <v>0</v>
      </c>
      <c r="T64" s="161">
        <v>0</v>
      </c>
    </row>
    <row r="65" spans="18:20" ht="18.75" customHeight="1">
      <c r="R65" s="169" t="s">
        <v>1644</v>
      </c>
      <c r="S65" s="169">
        <v>0</v>
      </c>
      <c r="T65" s="161">
        <v>0</v>
      </c>
    </row>
    <row r="66" spans="18:20" ht="18.75" customHeight="1">
      <c r="R66" s="169" t="s">
        <v>1645</v>
      </c>
      <c r="S66" s="169">
        <v>0</v>
      </c>
      <c r="T66" s="161">
        <v>0</v>
      </c>
    </row>
    <row r="67" spans="18:20" ht="18.75" customHeight="1">
      <c r="R67" s="169" t="s">
        <v>710</v>
      </c>
      <c r="S67" s="169">
        <v>0</v>
      </c>
      <c r="T67" s="161">
        <v>0</v>
      </c>
    </row>
    <row r="68" spans="18:20" ht="18.75" customHeight="1">
      <c r="R68" s="169" t="s">
        <v>1646</v>
      </c>
      <c r="S68" s="169">
        <v>0</v>
      </c>
      <c r="T68" s="161">
        <v>0</v>
      </c>
    </row>
    <row r="69" spans="18:20" ht="18.75" customHeight="1">
      <c r="R69" s="169" t="s">
        <v>1648</v>
      </c>
      <c r="S69" s="169">
        <v>0</v>
      </c>
      <c r="T69" s="161">
        <v>0</v>
      </c>
    </row>
    <row r="70" spans="18:20" ht="18.75" customHeight="1">
      <c r="R70" s="169" t="s">
        <v>1650</v>
      </c>
      <c r="S70" s="169">
        <v>0</v>
      </c>
      <c r="T70" s="161">
        <v>0</v>
      </c>
    </row>
    <row r="71" spans="18:20" ht="18.75" customHeight="1">
      <c r="R71" s="169" t="s">
        <v>1651</v>
      </c>
      <c r="S71" s="169">
        <v>0</v>
      </c>
      <c r="T71" s="161">
        <v>0</v>
      </c>
    </row>
    <row r="72" spans="18:20" ht="18.75" customHeight="1">
      <c r="R72" s="169" t="s">
        <v>1652</v>
      </c>
      <c r="S72" s="169">
        <v>0</v>
      </c>
      <c r="T72" s="161">
        <v>0</v>
      </c>
    </row>
    <row r="73" spans="18:20" ht="18.75" customHeight="1">
      <c r="R73" s="169" t="s">
        <v>1653</v>
      </c>
      <c r="S73" s="169">
        <v>0</v>
      </c>
      <c r="T73" s="161">
        <v>0</v>
      </c>
    </row>
    <row r="74" spans="18:20" ht="18.75" customHeight="1">
      <c r="R74" s="169" t="s">
        <v>1654</v>
      </c>
      <c r="S74" s="169">
        <v>0</v>
      </c>
      <c r="T74" s="161">
        <v>0</v>
      </c>
    </row>
    <row r="75" spans="18:20" ht="18.75" customHeight="1">
      <c r="R75" s="169" t="s">
        <v>1655</v>
      </c>
      <c r="S75" s="169">
        <v>0</v>
      </c>
      <c r="T75" s="161">
        <v>0</v>
      </c>
    </row>
    <row r="76" spans="18:20" ht="18.75" customHeight="1">
      <c r="R76" s="169" t="s">
        <v>1656</v>
      </c>
      <c r="S76" s="169">
        <v>0</v>
      </c>
      <c r="T76" s="161">
        <v>0</v>
      </c>
    </row>
    <row r="77" spans="18:20" ht="18.75" customHeight="1">
      <c r="R77" s="169" t="s">
        <v>1657</v>
      </c>
      <c r="S77" s="169">
        <v>0</v>
      </c>
      <c r="T77" s="161">
        <v>0</v>
      </c>
    </row>
    <row r="78" spans="18:20" ht="18.75" customHeight="1">
      <c r="R78" s="169" t="s">
        <v>1658</v>
      </c>
      <c r="S78" s="169">
        <v>0</v>
      </c>
      <c r="T78" s="161">
        <v>0</v>
      </c>
    </row>
    <row r="79" spans="18:20" ht="18.75" customHeight="1">
      <c r="R79" s="169" t="s">
        <v>1660</v>
      </c>
      <c r="S79" s="169">
        <v>0</v>
      </c>
      <c r="T79" s="161">
        <v>0</v>
      </c>
    </row>
    <row r="80" spans="18:20" ht="18.75" customHeight="1">
      <c r="R80" s="169" t="s">
        <v>1662</v>
      </c>
      <c r="S80" s="169">
        <v>0</v>
      </c>
      <c r="T80" s="161">
        <v>0</v>
      </c>
    </row>
    <row r="81" spans="18:20" ht="18.75" customHeight="1">
      <c r="R81" s="169" t="s">
        <v>1664</v>
      </c>
      <c r="S81" s="169">
        <v>0</v>
      </c>
      <c r="T81" s="161">
        <v>0</v>
      </c>
    </row>
    <row r="82" spans="18:20" ht="18.75" customHeight="1">
      <c r="R82" s="169" t="s">
        <v>1666</v>
      </c>
      <c r="S82" s="169">
        <v>0</v>
      </c>
      <c r="T82" s="161">
        <v>0</v>
      </c>
    </row>
    <row r="83" spans="18:20" ht="18.75" customHeight="1">
      <c r="R83" s="169" t="s">
        <v>1668</v>
      </c>
      <c r="S83" s="169">
        <v>0</v>
      </c>
      <c r="T83" s="161">
        <v>0</v>
      </c>
    </row>
    <row r="84" spans="18:20" ht="18.75" customHeight="1">
      <c r="R84" s="169" t="s">
        <v>1669</v>
      </c>
      <c r="S84" s="169">
        <v>0</v>
      </c>
      <c r="T84" s="161">
        <v>0</v>
      </c>
    </row>
    <row r="85" spans="18:20" ht="18.75" customHeight="1">
      <c r="R85" s="169" t="s">
        <v>1670</v>
      </c>
      <c r="S85" s="169">
        <v>0</v>
      </c>
      <c r="T85" s="161">
        <v>0</v>
      </c>
    </row>
    <row r="86" spans="18:20" ht="18.75" customHeight="1">
      <c r="R86" s="169" t="s">
        <v>1671</v>
      </c>
      <c r="S86" s="169">
        <v>0</v>
      </c>
      <c r="T86" s="161">
        <v>0</v>
      </c>
    </row>
    <row r="87" spans="18:20" ht="18.75" customHeight="1">
      <c r="R87" s="169" t="s">
        <v>1672</v>
      </c>
      <c r="S87" s="169">
        <v>0</v>
      </c>
      <c r="T87" s="161">
        <v>0</v>
      </c>
    </row>
    <row r="88" spans="18:20" ht="18.75" customHeight="1">
      <c r="R88" s="169" t="s">
        <v>1674</v>
      </c>
      <c r="S88" s="169">
        <v>0</v>
      </c>
      <c r="T88" s="161">
        <v>0</v>
      </c>
    </row>
    <row r="89" spans="18:20" ht="18.75" customHeight="1">
      <c r="R89" s="169" t="s">
        <v>1676</v>
      </c>
      <c r="S89" s="169">
        <v>0</v>
      </c>
      <c r="T89" s="161">
        <v>0</v>
      </c>
    </row>
    <row r="90" spans="18:20" ht="18.75" customHeight="1">
      <c r="R90" s="169" t="s">
        <v>1677</v>
      </c>
      <c r="S90" s="169">
        <v>0</v>
      </c>
      <c r="T90" s="161">
        <v>0</v>
      </c>
    </row>
    <row r="91" spans="18:20" ht="18.75" customHeight="1">
      <c r="R91" s="169" t="s">
        <v>1679</v>
      </c>
      <c r="S91" s="169">
        <v>0</v>
      </c>
      <c r="T91" s="161">
        <v>0</v>
      </c>
    </row>
    <row r="92" spans="18:20" ht="18.75" customHeight="1">
      <c r="R92" s="169" t="s">
        <v>1681</v>
      </c>
      <c r="S92" s="169">
        <v>0</v>
      </c>
      <c r="T92" s="161">
        <v>0</v>
      </c>
    </row>
    <row r="93" spans="18:20" ht="18.75" customHeight="1">
      <c r="R93" s="169" t="s">
        <v>1686</v>
      </c>
      <c r="S93" s="169">
        <v>0</v>
      </c>
      <c r="T93" s="161">
        <v>0</v>
      </c>
    </row>
    <row r="94" spans="18:20" ht="18.75" customHeight="1">
      <c r="R94" s="169" t="s">
        <v>1687</v>
      </c>
      <c r="S94" s="169">
        <v>0</v>
      </c>
      <c r="T94" s="161">
        <v>0</v>
      </c>
    </row>
    <row r="95" spans="18:20" ht="18.75" customHeight="1">
      <c r="R95" s="169" t="s">
        <v>1688</v>
      </c>
      <c r="S95" s="169">
        <v>0</v>
      </c>
      <c r="T95" s="161">
        <v>0</v>
      </c>
    </row>
    <row r="96" spans="18:20" ht="18.75" customHeight="1">
      <c r="R96" s="169" t="s">
        <v>1689</v>
      </c>
      <c r="S96" s="169">
        <v>0</v>
      </c>
      <c r="T96" s="161">
        <v>0</v>
      </c>
    </row>
    <row r="97" spans="18:20" ht="18.75" customHeight="1">
      <c r="R97" s="169" t="s">
        <v>1691</v>
      </c>
      <c r="S97" s="169">
        <v>0</v>
      </c>
      <c r="T97" s="161">
        <v>0</v>
      </c>
    </row>
    <row r="98" spans="18:20" ht="18.75" customHeight="1">
      <c r="R98" s="169" t="s">
        <v>1693</v>
      </c>
      <c r="S98" s="169">
        <v>0</v>
      </c>
      <c r="T98" s="161">
        <v>0</v>
      </c>
    </row>
    <row r="99" spans="18:20" ht="18.75" customHeight="1">
      <c r="R99" s="169" t="s">
        <v>1695</v>
      </c>
      <c r="S99" s="169">
        <v>0</v>
      </c>
      <c r="T99" s="161">
        <v>0</v>
      </c>
    </row>
    <row r="100" spans="18:20" ht="18.75" customHeight="1">
      <c r="R100" s="169" t="s">
        <v>1700</v>
      </c>
      <c r="S100" s="169">
        <v>0</v>
      </c>
      <c r="T100" s="161">
        <v>0</v>
      </c>
    </row>
    <row r="101" spans="18:20" ht="18.75" customHeight="1">
      <c r="R101" s="169" t="s">
        <v>1701</v>
      </c>
      <c r="S101" s="169">
        <v>0</v>
      </c>
      <c r="T101" s="161">
        <v>0</v>
      </c>
    </row>
    <row r="102" spans="18:20" ht="18.75" customHeight="1">
      <c r="R102" s="169" t="s">
        <v>1702</v>
      </c>
      <c r="S102" s="169">
        <v>0</v>
      </c>
      <c r="T102" s="161">
        <v>0</v>
      </c>
    </row>
    <row r="103" spans="18:20" ht="18.75" customHeight="1">
      <c r="R103" s="169" t="s">
        <v>1704</v>
      </c>
      <c r="S103" s="169">
        <v>0</v>
      </c>
      <c r="T103" s="161">
        <v>0</v>
      </c>
    </row>
    <row r="104" spans="18:20" ht="18.75" customHeight="1">
      <c r="R104" s="169" t="s">
        <v>1705</v>
      </c>
      <c r="S104" s="169">
        <v>0</v>
      </c>
      <c r="T104" s="161">
        <v>0</v>
      </c>
    </row>
    <row r="105" spans="18:20" ht="18.75" customHeight="1">
      <c r="R105" s="169" t="s">
        <v>1706</v>
      </c>
      <c r="S105" s="169">
        <v>0</v>
      </c>
      <c r="T105" s="161">
        <v>0</v>
      </c>
    </row>
    <row r="106" spans="18:20" ht="18.75" customHeight="1">
      <c r="R106" s="169" t="s">
        <v>1707</v>
      </c>
      <c r="S106" s="169">
        <v>0</v>
      </c>
      <c r="T106" s="161">
        <v>0</v>
      </c>
    </row>
    <row r="107" spans="18:20" ht="18.75" customHeight="1">
      <c r="R107" s="169" t="s">
        <v>1708</v>
      </c>
      <c r="S107" s="169">
        <v>0</v>
      </c>
      <c r="T107" s="161">
        <v>0</v>
      </c>
    </row>
    <row r="108" spans="18:20" ht="18.75" customHeight="1">
      <c r="R108" s="169" t="s">
        <v>1712</v>
      </c>
      <c r="S108" s="169">
        <v>0</v>
      </c>
      <c r="T108" s="161">
        <v>0</v>
      </c>
    </row>
    <row r="109" spans="18:20" ht="18.75" customHeight="1">
      <c r="R109" s="169" t="s">
        <v>83</v>
      </c>
      <c r="S109" s="169">
        <v>3</v>
      </c>
      <c r="T109" s="161">
        <v>2412247</v>
      </c>
    </row>
    <row r="110" spans="18:20" ht="18.75" customHeight="1">
      <c r="R110" s="169" t="s">
        <v>1714</v>
      </c>
      <c r="S110" s="169">
        <v>0</v>
      </c>
      <c r="T110" s="161">
        <v>0</v>
      </c>
    </row>
    <row r="111" spans="18:20" ht="18.75" customHeight="1">
      <c r="R111" s="169" t="s">
        <v>1715</v>
      </c>
      <c r="S111" s="169">
        <v>0</v>
      </c>
      <c r="T111" s="161">
        <v>0</v>
      </c>
    </row>
    <row r="112" spans="18:20" ht="18.75" customHeight="1">
      <c r="R112" s="169" t="s">
        <v>1716</v>
      </c>
      <c r="S112" s="169">
        <v>0</v>
      </c>
      <c r="T112" s="161">
        <v>0</v>
      </c>
    </row>
    <row r="113" spans="18:20" ht="18.75" customHeight="1">
      <c r="R113" s="169" t="s">
        <v>1717</v>
      </c>
      <c r="S113" s="169">
        <v>0</v>
      </c>
      <c r="T113" s="161">
        <v>0</v>
      </c>
    </row>
    <row r="114" spans="18:20" ht="18.75" customHeight="1">
      <c r="R114" s="169" t="s">
        <v>1718</v>
      </c>
      <c r="S114" s="169">
        <v>0</v>
      </c>
      <c r="T114" s="161">
        <v>0</v>
      </c>
    </row>
    <row r="115" spans="18:20" ht="18.75" customHeight="1">
      <c r="R115" s="169" t="s">
        <v>1722</v>
      </c>
      <c r="S115" s="169">
        <v>0</v>
      </c>
      <c r="T115" s="161">
        <v>0</v>
      </c>
    </row>
    <row r="116" spans="18:20" ht="18.75" customHeight="1">
      <c r="R116" s="169" t="s">
        <v>1726</v>
      </c>
      <c r="S116" s="169">
        <v>0</v>
      </c>
      <c r="T116" s="161">
        <v>0</v>
      </c>
    </row>
    <row r="117" spans="18:20" ht="18.75" customHeight="1">
      <c r="R117" s="169" t="s">
        <v>1727</v>
      </c>
      <c r="S117" s="169">
        <v>0</v>
      </c>
      <c r="T117" s="161">
        <v>0</v>
      </c>
    </row>
    <row r="118" spans="18:20" ht="18.75" customHeight="1">
      <c r="R118" s="169" t="s">
        <v>1728</v>
      </c>
      <c r="S118" s="169">
        <v>0</v>
      </c>
      <c r="T118" s="161">
        <v>0</v>
      </c>
    </row>
    <row r="119" spans="18:20" ht="18.75" customHeight="1">
      <c r="R119" s="169" t="s">
        <v>1730</v>
      </c>
      <c r="S119" s="169">
        <v>0</v>
      </c>
      <c r="T119" s="161">
        <v>0</v>
      </c>
    </row>
    <row r="120" spans="18:20" ht="18.75" customHeight="1">
      <c r="R120" s="169" t="s">
        <v>1731</v>
      </c>
      <c r="S120" s="169">
        <v>0</v>
      </c>
      <c r="T120" s="161">
        <v>0</v>
      </c>
    </row>
    <row r="121" spans="18:20" ht="18.75" customHeight="1">
      <c r="R121" s="169" t="s">
        <v>1732</v>
      </c>
      <c r="S121" s="169">
        <v>0</v>
      </c>
      <c r="T121" s="161">
        <v>0</v>
      </c>
    </row>
    <row r="122" spans="18:20" ht="18.75" customHeight="1">
      <c r="R122" s="169" t="s">
        <v>1733</v>
      </c>
      <c r="S122" s="169">
        <v>0</v>
      </c>
      <c r="T122" s="161">
        <v>0</v>
      </c>
    </row>
    <row r="123" spans="18:20" ht="18.75" customHeight="1">
      <c r="R123" s="169" t="s">
        <v>1735</v>
      </c>
      <c r="S123" s="169">
        <v>0</v>
      </c>
      <c r="T123" s="161">
        <v>0</v>
      </c>
    </row>
    <row r="124" spans="18:20" ht="18.75" customHeight="1">
      <c r="R124" s="169" t="s">
        <v>477</v>
      </c>
      <c r="S124" s="169">
        <v>3</v>
      </c>
      <c r="T124" s="161">
        <v>109095000</v>
      </c>
    </row>
    <row r="125" spans="18:20" ht="18.75" customHeight="1">
      <c r="R125" s="169" t="s">
        <v>44</v>
      </c>
      <c r="S125" s="169">
        <v>4</v>
      </c>
      <c r="T125" s="161">
        <v>3850000</v>
      </c>
    </row>
    <row r="126" spans="18:20" ht="18.75" customHeight="1">
      <c r="R126" s="169" t="s">
        <v>1738</v>
      </c>
      <c r="S126" s="169">
        <v>0</v>
      </c>
      <c r="T126" s="161">
        <v>0</v>
      </c>
    </row>
    <row r="127" spans="18:20" ht="18.75" customHeight="1">
      <c r="R127" s="169" t="s">
        <v>1739</v>
      </c>
      <c r="S127" s="169">
        <v>0</v>
      </c>
      <c r="T127" s="161">
        <v>0</v>
      </c>
    </row>
    <row r="128" spans="18:20" ht="18.75" customHeight="1">
      <c r="R128" s="169" t="s">
        <v>1741</v>
      </c>
      <c r="S128" s="169">
        <v>0</v>
      </c>
      <c r="T128" s="161">
        <v>0</v>
      </c>
    </row>
    <row r="129" spans="18:20" ht="18.75" customHeight="1">
      <c r="R129" s="169" t="s">
        <v>1742</v>
      </c>
      <c r="S129" s="169">
        <v>0</v>
      </c>
      <c r="T129" s="161">
        <v>0</v>
      </c>
    </row>
    <row r="130" spans="18:20" ht="18.75" customHeight="1">
      <c r="R130" s="169" t="s">
        <v>653</v>
      </c>
      <c r="S130" s="169">
        <v>13</v>
      </c>
      <c r="T130" s="161">
        <v>6951910</v>
      </c>
    </row>
    <row r="131" spans="18:20" ht="18.75" customHeight="1">
      <c r="R131" s="169" t="s">
        <v>1743</v>
      </c>
      <c r="S131" s="169">
        <v>0</v>
      </c>
      <c r="T131" s="161">
        <v>0</v>
      </c>
    </row>
    <row r="132" spans="18:20" ht="18.75" customHeight="1">
      <c r="R132" s="169" t="s">
        <v>454</v>
      </c>
      <c r="S132" s="169">
        <v>1</v>
      </c>
      <c r="T132" s="161">
        <v>0</v>
      </c>
    </row>
    <row r="133" spans="18:20" ht="18.75" customHeight="1">
      <c r="R133" s="169" t="s">
        <v>1745</v>
      </c>
      <c r="S133" s="169">
        <v>0</v>
      </c>
      <c r="T133" s="161">
        <v>0</v>
      </c>
    </row>
    <row r="134" spans="18:20" ht="18.75" customHeight="1">
      <c r="R134" s="169" t="s">
        <v>1746</v>
      </c>
      <c r="S134" s="169">
        <v>0</v>
      </c>
      <c r="T134" s="161">
        <v>0</v>
      </c>
    </row>
    <row r="135" spans="18:20" ht="18.75" customHeight="1">
      <c r="R135" s="169" t="s">
        <v>1747</v>
      </c>
      <c r="S135" s="169">
        <v>0</v>
      </c>
      <c r="T135" s="161">
        <v>0</v>
      </c>
    </row>
    <row r="136" spans="18:20" ht="18.75" customHeight="1">
      <c r="R136" s="169" t="s">
        <v>1748</v>
      </c>
      <c r="S136" s="169">
        <v>0</v>
      </c>
      <c r="T136" s="161">
        <v>0</v>
      </c>
    </row>
    <row r="137" spans="18:20" ht="18.75" customHeight="1">
      <c r="R137" s="169" t="s">
        <v>1749</v>
      </c>
      <c r="S137" s="169">
        <v>0</v>
      </c>
      <c r="T137" s="161">
        <v>0</v>
      </c>
    </row>
    <row r="138" spans="18:20" ht="18.75" customHeight="1">
      <c r="R138" s="169" t="s">
        <v>1750</v>
      </c>
      <c r="S138" s="169">
        <v>0</v>
      </c>
      <c r="T138" s="161">
        <v>0</v>
      </c>
    </row>
    <row r="139" spans="18:20" ht="18.75" customHeight="1">
      <c r="R139" s="169" t="s">
        <v>1751</v>
      </c>
      <c r="S139" s="169">
        <v>0</v>
      </c>
      <c r="T139" s="161">
        <v>0</v>
      </c>
    </row>
    <row r="140" spans="18:20" ht="18.75" customHeight="1">
      <c r="R140" s="169" t="s">
        <v>1752</v>
      </c>
      <c r="S140" s="169">
        <v>0</v>
      </c>
      <c r="T140" s="161">
        <v>0</v>
      </c>
    </row>
    <row r="141" spans="18:20" ht="18.75" customHeight="1">
      <c r="R141" s="169" t="s">
        <v>1754</v>
      </c>
      <c r="S141" s="169">
        <v>0</v>
      </c>
      <c r="T141" s="161">
        <v>0</v>
      </c>
    </row>
    <row r="142" spans="18:20" ht="18.75" customHeight="1">
      <c r="R142" s="169" t="s">
        <v>1755</v>
      </c>
      <c r="S142" s="169">
        <v>0</v>
      </c>
      <c r="T142" s="161">
        <v>0</v>
      </c>
    </row>
    <row r="143" spans="18:20" ht="18.75" customHeight="1">
      <c r="R143" s="169" t="s">
        <v>1757</v>
      </c>
      <c r="S143" s="169">
        <v>0</v>
      </c>
      <c r="T143" s="161">
        <v>0</v>
      </c>
    </row>
    <row r="144" spans="18:20" ht="18.75" customHeight="1">
      <c r="R144" s="169" t="s">
        <v>1758</v>
      </c>
      <c r="S144" s="169">
        <v>0</v>
      </c>
      <c r="T144" s="161">
        <v>0</v>
      </c>
    </row>
    <row r="145" spans="18:20" ht="18.75" customHeight="1">
      <c r="R145" s="169" t="s">
        <v>1760</v>
      </c>
      <c r="S145" s="169">
        <v>0</v>
      </c>
      <c r="T145" s="161">
        <v>0</v>
      </c>
    </row>
    <row r="146" spans="18:20" ht="18.75" customHeight="1">
      <c r="R146" s="169" t="s">
        <v>1764</v>
      </c>
      <c r="S146" s="169">
        <v>0</v>
      </c>
      <c r="T146" s="161">
        <v>0</v>
      </c>
    </row>
    <row r="147" spans="18:20" ht="18.75" customHeight="1">
      <c r="R147" s="169" t="s">
        <v>1765</v>
      </c>
      <c r="S147" s="169">
        <v>0</v>
      </c>
      <c r="T147" s="161">
        <v>0</v>
      </c>
    </row>
    <row r="148" spans="18:20" ht="18.75" customHeight="1">
      <c r="R148" s="169" t="s">
        <v>1766</v>
      </c>
      <c r="S148" s="169">
        <v>0</v>
      </c>
      <c r="T148" s="161">
        <v>0</v>
      </c>
    </row>
    <row r="149" spans="18:20" ht="18.75" customHeight="1">
      <c r="R149" s="169" t="s">
        <v>1767</v>
      </c>
      <c r="S149" s="169">
        <v>0</v>
      </c>
      <c r="T149" s="161">
        <v>0</v>
      </c>
    </row>
    <row r="150" spans="18:20" ht="18.75" customHeight="1">
      <c r="R150" s="169" t="s">
        <v>1768</v>
      </c>
      <c r="S150" s="169">
        <v>0</v>
      </c>
      <c r="T150" s="161">
        <v>0</v>
      </c>
    </row>
    <row r="151" spans="18:20" ht="18.75" customHeight="1">
      <c r="R151" s="169" t="s">
        <v>1769</v>
      </c>
      <c r="S151" s="169">
        <v>0</v>
      </c>
      <c r="T151" s="161">
        <v>0</v>
      </c>
    </row>
    <row r="152" spans="18:20" ht="18.75" customHeight="1">
      <c r="R152" s="169" t="s">
        <v>1770</v>
      </c>
      <c r="S152" s="169">
        <v>0</v>
      </c>
      <c r="T152" s="161">
        <v>0</v>
      </c>
    </row>
    <row r="153" spans="18:20" ht="18.75" customHeight="1">
      <c r="R153" s="169" t="s">
        <v>1771</v>
      </c>
      <c r="S153" s="169">
        <v>0</v>
      </c>
      <c r="T153" s="161">
        <v>0</v>
      </c>
    </row>
    <row r="154" spans="18:20" ht="18.75" customHeight="1">
      <c r="R154" s="169" t="s">
        <v>1772</v>
      </c>
      <c r="S154" s="169">
        <v>0</v>
      </c>
      <c r="T154" s="161">
        <v>0</v>
      </c>
    </row>
    <row r="155" spans="18:20" ht="18.75" customHeight="1">
      <c r="R155" s="169" t="s">
        <v>1774</v>
      </c>
      <c r="S155" s="169">
        <v>0</v>
      </c>
      <c r="T155" s="161">
        <v>0</v>
      </c>
    </row>
    <row r="156" spans="18:20" ht="18.75" customHeight="1">
      <c r="R156" s="169" t="s">
        <v>1775</v>
      </c>
      <c r="S156" s="169">
        <v>0</v>
      </c>
      <c r="T156" s="161">
        <v>0</v>
      </c>
    </row>
    <row r="157" spans="18:20" ht="18.75" customHeight="1">
      <c r="R157" s="169" t="s">
        <v>1776</v>
      </c>
      <c r="S157" s="169">
        <v>0</v>
      </c>
      <c r="T157" s="161">
        <v>0</v>
      </c>
    </row>
    <row r="158" spans="18:20" ht="18.75" customHeight="1">
      <c r="R158" s="169" t="s">
        <v>1777</v>
      </c>
      <c r="S158" s="169">
        <v>0</v>
      </c>
      <c r="T158" s="161">
        <v>0</v>
      </c>
    </row>
    <row r="159" spans="18:20" ht="18.75" customHeight="1">
      <c r="R159" s="169" t="s">
        <v>1780</v>
      </c>
      <c r="S159" s="169">
        <v>0</v>
      </c>
      <c r="T159" s="161">
        <v>0</v>
      </c>
    </row>
    <row r="160" spans="18:20" ht="18.75" customHeight="1">
      <c r="R160" s="169" t="s">
        <v>1784</v>
      </c>
      <c r="S160" s="169">
        <v>0</v>
      </c>
      <c r="T160" s="161">
        <v>0</v>
      </c>
    </row>
    <row r="161" spans="18:20" ht="18.75" customHeight="1">
      <c r="R161" s="169" t="s">
        <v>1785</v>
      </c>
      <c r="S161" s="169">
        <v>0</v>
      </c>
      <c r="T161" s="161">
        <v>0</v>
      </c>
    </row>
    <row r="162" spans="18:20" ht="18.75" customHeight="1">
      <c r="R162" s="169" t="s">
        <v>1786</v>
      </c>
      <c r="S162" s="169">
        <v>0</v>
      </c>
      <c r="T162" s="161">
        <v>0</v>
      </c>
    </row>
    <row r="163" spans="18:20" ht="18.75" customHeight="1">
      <c r="R163" s="169" t="s">
        <v>1787</v>
      </c>
      <c r="S163" s="169">
        <v>0</v>
      </c>
      <c r="T163" s="161">
        <v>0</v>
      </c>
    </row>
    <row r="164" spans="18:20" ht="18.75" customHeight="1">
      <c r="R164" s="169" t="s">
        <v>1788</v>
      </c>
      <c r="S164" s="169">
        <v>0</v>
      </c>
      <c r="T164" s="161">
        <v>0</v>
      </c>
    </row>
    <row r="165" spans="18:20" ht="18.75" customHeight="1">
      <c r="R165" s="169" t="s">
        <v>1790</v>
      </c>
      <c r="S165" s="169">
        <v>0</v>
      </c>
      <c r="T165" s="161">
        <v>0</v>
      </c>
    </row>
    <row r="166" spans="18:20" ht="18.75" customHeight="1">
      <c r="R166" s="169" t="s">
        <v>208</v>
      </c>
      <c r="S166" s="169">
        <v>2</v>
      </c>
      <c r="T166" s="161">
        <v>342000</v>
      </c>
    </row>
    <row r="167" spans="18:20" ht="18.75" customHeight="1">
      <c r="R167" s="169" t="s">
        <v>1793</v>
      </c>
      <c r="S167" s="169">
        <v>0</v>
      </c>
      <c r="T167" s="161">
        <v>0</v>
      </c>
    </row>
    <row r="168" spans="18:20" ht="18.75" customHeight="1">
      <c r="R168" s="169" t="s">
        <v>1794</v>
      </c>
      <c r="S168" s="169">
        <v>0</v>
      </c>
      <c r="T168" s="161">
        <v>0</v>
      </c>
    </row>
    <row r="169" spans="18:20" ht="18.75" customHeight="1">
      <c r="R169" s="169" t="s">
        <v>1795</v>
      </c>
      <c r="S169" s="169">
        <v>0</v>
      </c>
      <c r="T169" s="161">
        <v>0</v>
      </c>
    </row>
    <row r="170" spans="18:20" ht="18.75" customHeight="1">
      <c r="R170" s="169" t="s">
        <v>1796</v>
      </c>
      <c r="S170" s="169">
        <v>0</v>
      </c>
      <c r="T170" s="161">
        <v>0</v>
      </c>
    </row>
    <row r="171" spans="18:20" ht="18.75" customHeight="1">
      <c r="R171" s="169" t="s">
        <v>1797</v>
      </c>
      <c r="S171" s="169">
        <v>0</v>
      </c>
      <c r="T171" s="161">
        <v>0</v>
      </c>
    </row>
    <row r="172" spans="18:20" ht="18.75" customHeight="1">
      <c r="R172" s="169" t="s">
        <v>1803</v>
      </c>
      <c r="S172" s="169">
        <v>0</v>
      </c>
      <c r="T172" s="161">
        <v>0</v>
      </c>
    </row>
    <row r="173" spans="18:20" ht="18.75" customHeight="1">
      <c r="R173" s="169" t="s">
        <v>1804</v>
      </c>
      <c r="S173" s="169">
        <v>0</v>
      </c>
      <c r="T173" s="161">
        <v>0</v>
      </c>
    </row>
    <row r="174" spans="18:20" ht="18.75" customHeight="1">
      <c r="R174" s="169" t="s">
        <v>525</v>
      </c>
      <c r="S174" s="169">
        <v>1</v>
      </c>
      <c r="T174" s="161">
        <v>0</v>
      </c>
    </row>
    <row r="175" spans="18:20" ht="18.75" customHeight="1">
      <c r="R175" s="169" t="s">
        <v>1806</v>
      </c>
      <c r="S175" s="169">
        <v>0</v>
      </c>
      <c r="T175" s="161">
        <v>0</v>
      </c>
    </row>
    <row r="176" spans="18:20" ht="18.75" customHeight="1">
      <c r="R176" s="169" t="s">
        <v>1807</v>
      </c>
      <c r="S176" s="169">
        <v>0</v>
      </c>
      <c r="T176" s="161">
        <v>0</v>
      </c>
    </row>
    <row r="177" spans="18:20" ht="18.75" customHeight="1">
      <c r="R177" s="169" t="s">
        <v>1809</v>
      </c>
      <c r="S177" s="169">
        <v>0</v>
      </c>
      <c r="T177" s="161">
        <v>0</v>
      </c>
    </row>
    <row r="178" spans="18:20" ht="18.75" customHeight="1">
      <c r="R178" s="169" t="s">
        <v>1810</v>
      </c>
      <c r="S178" s="169">
        <v>0</v>
      </c>
      <c r="T178" s="161">
        <v>0</v>
      </c>
    </row>
    <row r="179" spans="18:20" ht="18.75" customHeight="1">
      <c r="R179" s="169" t="s">
        <v>1814</v>
      </c>
      <c r="S179" s="169">
        <v>0</v>
      </c>
      <c r="T179" s="161">
        <v>0</v>
      </c>
    </row>
    <row r="180" spans="18:20" ht="18.75" customHeight="1">
      <c r="R180" s="169" t="s">
        <v>1815</v>
      </c>
      <c r="S180" s="169">
        <v>0</v>
      </c>
      <c r="T180" s="161">
        <v>0</v>
      </c>
    </row>
    <row r="181" spans="18:20" ht="18.75" customHeight="1">
      <c r="R181" s="169" t="s">
        <v>1817</v>
      </c>
      <c r="S181" s="169">
        <v>0</v>
      </c>
      <c r="T181" s="161">
        <v>0</v>
      </c>
    </row>
    <row r="182" spans="18:20" ht="18.75" customHeight="1">
      <c r="R182" s="169" t="s">
        <v>532</v>
      </c>
      <c r="S182" s="169">
        <v>3</v>
      </c>
      <c r="T182" s="161">
        <v>3480000</v>
      </c>
    </row>
    <row r="183" spans="18:20" ht="18.75" customHeight="1">
      <c r="R183" s="169" t="s">
        <v>1819</v>
      </c>
      <c r="S183" s="169">
        <v>0</v>
      </c>
      <c r="T183" s="161">
        <v>0</v>
      </c>
    </row>
    <row r="184" spans="18:20" ht="18.75" customHeight="1">
      <c r="R184" s="169" t="s">
        <v>1821</v>
      </c>
      <c r="S184" s="169">
        <v>0</v>
      </c>
      <c r="T184" s="161">
        <v>0</v>
      </c>
    </row>
    <row r="185" spans="18:20" ht="18.75" customHeight="1">
      <c r="R185" s="169" t="s">
        <v>911</v>
      </c>
      <c r="S185" s="169">
        <v>0</v>
      </c>
      <c r="T185" s="161">
        <v>0</v>
      </c>
    </row>
    <row r="186" spans="18:20" ht="18.75" customHeight="1">
      <c r="R186" s="169" t="s">
        <v>773</v>
      </c>
      <c r="S186" s="169">
        <v>0</v>
      </c>
      <c r="T186" s="161">
        <v>0</v>
      </c>
    </row>
    <row r="187" spans="18:20" ht="18.75" customHeight="1">
      <c r="R187" s="169" t="s">
        <v>1823</v>
      </c>
      <c r="S187" s="169">
        <v>0</v>
      </c>
      <c r="T187" s="161">
        <v>0</v>
      </c>
    </row>
    <row r="188" spans="18:20" ht="18.75" customHeight="1">
      <c r="R188" s="169" t="s">
        <v>1824</v>
      </c>
      <c r="S188" s="169">
        <v>0</v>
      </c>
      <c r="T188" s="161">
        <v>0</v>
      </c>
    </row>
    <row r="189" spans="18:20" ht="18.75" customHeight="1">
      <c r="R189" s="169" t="s">
        <v>1825</v>
      </c>
      <c r="S189" s="169">
        <v>0</v>
      </c>
      <c r="T189" s="161">
        <v>0</v>
      </c>
    </row>
    <row r="190" spans="18:20" ht="18.75" customHeight="1">
      <c r="R190" s="169" t="s">
        <v>1826</v>
      </c>
      <c r="S190" s="169">
        <v>0</v>
      </c>
      <c r="T190" s="161">
        <v>0</v>
      </c>
    </row>
    <row r="191" spans="18:20" ht="18.75" customHeight="1">
      <c r="R191" s="169" t="s">
        <v>1827</v>
      </c>
      <c r="S191" s="169">
        <v>0</v>
      </c>
      <c r="T191" s="161">
        <v>0</v>
      </c>
    </row>
    <row r="192" spans="18:20" ht="18.75" customHeight="1">
      <c r="R192" s="169" t="s">
        <v>1828</v>
      </c>
      <c r="S192" s="169">
        <v>0</v>
      </c>
      <c r="T192" s="161">
        <v>0</v>
      </c>
    </row>
    <row r="193" spans="18:20" ht="18.75" customHeight="1">
      <c r="R193" s="169" t="s">
        <v>1829</v>
      </c>
      <c r="S193" s="169">
        <v>0</v>
      </c>
      <c r="T193" s="161">
        <v>0</v>
      </c>
    </row>
    <row r="194" spans="18:20" ht="18.75" customHeight="1">
      <c r="R194" s="169" t="s">
        <v>1830</v>
      </c>
      <c r="S194" s="169">
        <v>0</v>
      </c>
      <c r="T194" s="161">
        <v>0</v>
      </c>
    </row>
    <row r="195" spans="18:20" ht="18.75" customHeight="1">
      <c r="R195" s="169" t="s">
        <v>1831</v>
      </c>
      <c r="S195" s="169">
        <v>0</v>
      </c>
      <c r="T195" s="161">
        <v>0</v>
      </c>
    </row>
    <row r="196" spans="18:20" ht="18.75" customHeight="1">
      <c r="R196" s="169" t="s">
        <v>1832</v>
      </c>
      <c r="S196" s="169">
        <v>0</v>
      </c>
      <c r="T196" s="161">
        <v>0</v>
      </c>
    </row>
    <row r="197" spans="18:20" ht="18.75" customHeight="1">
      <c r="R197" s="169" t="s">
        <v>1833</v>
      </c>
      <c r="S197" s="169">
        <v>0</v>
      </c>
      <c r="T197" s="161">
        <v>0</v>
      </c>
    </row>
    <row r="198" spans="18:20" ht="18.75" customHeight="1">
      <c r="R198" s="169" t="s">
        <v>1834</v>
      </c>
      <c r="S198" s="169">
        <v>0</v>
      </c>
      <c r="T198" s="161">
        <v>0</v>
      </c>
    </row>
    <row r="199" spans="18:20" ht="18.75" customHeight="1">
      <c r="R199" s="169" t="s">
        <v>1836</v>
      </c>
      <c r="S199" s="169">
        <v>0</v>
      </c>
      <c r="T199" s="161">
        <v>0</v>
      </c>
    </row>
    <row r="200" spans="18:20" ht="18.75" customHeight="1">
      <c r="R200" s="169" t="s">
        <v>1837</v>
      </c>
      <c r="S200" s="169">
        <v>0</v>
      </c>
      <c r="T200" s="161">
        <v>0</v>
      </c>
    </row>
    <row r="201" spans="18:20" ht="18.75" customHeight="1">
      <c r="R201" s="169" t="s">
        <v>1839</v>
      </c>
      <c r="S201" s="169">
        <v>0</v>
      </c>
      <c r="T201" s="161">
        <v>0</v>
      </c>
    </row>
    <row r="202" spans="18:20" ht="18.75" customHeight="1">
      <c r="R202" s="169" t="s">
        <v>1840</v>
      </c>
      <c r="S202" s="169">
        <v>0</v>
      </c>
      <c r="T202" s="161">
        <v>0</v>
      </c>
    </row>
    <row r="203" spans="18:20" ht="18.75" customHeight="1">
      <c r="R203" s="169" t="s">
        <v>1841</v>
      </c>
      <c r="S203" s="169">
        <v>0</v>
      </c>
      <c r="T203" s="161">
        <v>0</v>
      </c>
    </row>
    <row r="204" spans="18:20" ht="18.75" customHeight="1">
      <c r="R204" s="169" t="s">
        <v>59</v>
      </c>
      <c r="S204" s="169">
        <v>0</v>
      </c>
      <c r="T204" s="161">
        <v>0</v>
      </c>
    </row>
    <row r="205" spans="18:20" ht="18.75" customHeight="1">
      <c r="R205"/>
      <c r="S205"/>
      <c r="T205"/>
    </row>
  </sheetData>
  <dataConsolidate/>
  <mergeCells count="8">
    <mergeCell ref="AB1:AF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28575</xdr:colOff>
                    <xdr:row>4</xdr:row>
                    <xdr:rowOff>28575</xdr:rowOff>
                  </from>
                  <to>
                    <xdr:col>17</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D1" sqref="D1:D1048576"/>
    </sheetView>
  </sheetViews>
  <sheetFormatPr defaultColWidth="9" defaultRowHeight="13.5"/>
  <cols>
    <col min="1" max="3" width="9" style="138"/>
    <col min="4" max="4" width="17.25" style="138" bestFit="1" customWidth="1"/>
    <col min="5" max="5" width="9" style="138"/>
    <col min="6" max="11" width="20.125" style="138" customWidth="1"/>
    <col min="12" max="16384" width="9" style="138"/>
  </cols>
  <sheetData>
    <row r="1" spans="1:11">
      <c r="A1" s="139" t="s">
        <v>1486</v>
      </c>
      <c r="B1" s="139" t="s">
        <v>1487</v>
      </c>
      <c r="D1" s="139" t="s">
        <v>1861</v>
      </c>
      <c r="F1" s="139" t="s">
        <v>1488</v>
      </c>
      <c r="G1" s="139" t="s">
        <v>1489</v>
      </c>
    </row>
    <row r="2" spans="1:11" ht="18.75">
      <c r="D2" s="166" t="s">
        <v>242</v>
      </c>
      <c r="F2" s="155" t="s">
        <v>1569</v>
      </c>
      <c r="G2" s="155"/>
      <c r="H2" s="155"/>
      <c r="I2" s="155"/>
      <c r="J2" s="155"/>
      <c r="K2" s="155"/>
    </row>
    <row r="3" spans="1:11" ht="18.75">
      <c r="F3" s="155" t="s">
        <v>1570</v>
      </c>
      <c r="G3" s="155" t="s">
        <v>68</v>
      </c>
      <c r="H3" s="155" t="s">
        <v>1571</v>
      </c>
      <c r="I3" s="155" t="s">
        <v>1572</v>
      </c>
      <c r="J3" s="155"/>
      <c r="K3" s="155"/>
    </row>
    <row r="4" spans="1:11" ht="18.75">
      <c r="F4" s="155" t="s">
        <v>1573</v>
      </c>
      <c r="G4" s="155"/>
      <c r="H4" s="155"/>
      <c r="I4" s="155"/>
      <c r="J4" s="155"/>
      <c r="K4" s="155"/>
    </row>
    <row r="5" spans="1:11" ht="18.75">
      <c r="F5" s="155" t="s">
        <v>514</v>
      </c>
      <c r="G5" s="155" t="s">
        <v>1574</v>
      </c>
      <c r="H5" s="155"/>
      <c r="I5" s="155"/>
      <c r="J5" s="155"/>
      <c r="K5" s="155"/>
    </row>
    <row r="6" spans="1:11" ht="18.75">
      <c r="F6" s="155" t="s">
        <v>1575</v>
      </c>
      <c r="G6" s="155" t="s">
        <v>79</v>
      </c>
      <c r="H6" s="155"/>
      <c r="I6" s="155"/>
      <c r="J6" s="155"/>
      <c r="K6" s="155"/>
    </row>
    <row r="7" spans="1:11" ht="18.75">
      <c r="F7" s="155" t="s">
        <v>780</v>
      </c>
      <c r="G7" s="155" t="s">
        <v>1576</v>
      </c>
      <c r="H7" s="155"/>
      <c r="I7" s="155"/>
      <c r="J7" s="155"/>
      <c r="K7" s="155"/>
    </row>
    <row r="8" spans="1:11" ht="18.75">
      <c r="F8" s="155" t="s">
        <v>1577</v>
      </c>
      <c r="G8" s="155" t="s">
        <v>1578</v>
      </c>
      <c r="H8" s="155"/>
      <c r="I8" s="155"/>
      <c r="J8" s="155"/>
      <c r="K8" s="155"/>
    </row>
    <row r="9" spans="1:11" ht="18.75">
      <c r="F9" s="155" t="s">
        <v>639</v>
      </c>
      <c r="G9" s="155" t="s">
        <v>1579</v>
      </c>
      <c r="H9" s="155" t="s">
        <v>1580</v>
      </c>
      <c r="I9" s="155" t="s">
        <v>1581</v>
      </c>
      <c r="J9" s="155"/>
      <c r="K9" s="155"/>
    </row>
    <row r="10" spans="1:11" ht="18.75">
      <c r="F10" s="155" t="s">
        <v>105</v>
      </c>
      <c r="G10" s="155"/>
      <c r="H10" s="155"/>
      <c r="I10" s="155"/>
      <c r="J10" s="155"/>
      <c r="K10" s="155"/>
    </row>
    <row r="11" spans="1:11" ht="18.75">
      <c r="F11" s="155" t="s">
        <v>1582</v>
      </c>
      <c r="G11" s="155"/>
      <c r="H11" s="155"/>
      <c r="I11" s="155"/>
      <c r="J11" s="155"/>
      <c r="K11" s="155"/>
    </row>
    <row r="12" spans="1:11" ht="18.75">
      <c r="F12" s="155" t="s">
        <v>28</v>
      </c>
      <c r="G12" s="155"/>
      <c r="H12" s="155"/>
      <c r="I12" s="155"/>
      <c r="J12" s="155"/>
      <c r="K12" s="155"/>
    </row>
    <row r="13" spans="1:11" ht="18.75">
      <c r="F13" s="155" t="s">
        <v>1583</v>
      </c>
      <c r="G13" s="155" t="s">
        <v>1584</v>
      </c>
      <c r="H13" s="155" t="s">
        <v>1585</v>
      </c>
      <c r="I13" s="155" t="s">
        <v>1586</v>
      </c>
      <c r="J13" s="155"/>
      <c r="K13" s="155"/>
    </row>
    <row r="14" spans="1:11" ht="18.75">
      <c r="F14" s="155" t="s">
        <v>903</v>
      </c>
      <c r="G14" s="155"/>
      <c r="H14" s="155"/>
      <c r="I14" s="155"/>
      <c r="J14" s="155"/>
      <c r="K14" s="155"/>
    </row>
    <row r="15" spans="1:11" ht="18.75">
      <c r="F15" s="155" t="s">
        <v>1587</v>
      </c>
      <c r="G15" s="155" t="s">
        <v>124</v>
      </c>
      <c r="H15" s="171"/>
      <c r="I15" s="155"/>
      <c r="J15" s="155"/>
      <c r="K15" s="155"/>
    </row>
    <row r="16" spans="1:11" ht="18.75">
      <c r="F16" s="155" t="s">
        <v>999</v>
      </c>
      <c r="G16" s="155"/>
      <c r="H16" s="155"/>
      <c r="I16" s="155"/>
      <c r="J16" s="155"/>
      <c r="K16" s="155"/>
    </row>
    <row r="17" spans="6:11" ht="18.75">
      <c r="F17" s="155" t="s">
        <v>1588</v>
      </c>
      <c r="G17" s="155"/>
      <c r="H17" s="155"/>
      <c r="I17" s="155"/>
      <c r="J17" s="155"/>
      <c r="K17" s="155"/>
    </row>
    <row r="18" spans="6:11" ht="18.75">
      <c r="F18" s="155" t="s">
        <v>222</v>
      </c>
      <c r="G18" s="155"/>
      <c r="H18" s="155"/>
      <c r="I18" s="155"/>
      <c r="J18" s="155"/>
      <c r="K18" s="155"/>
    </row>
    <row r="19" spans="6:11" ht="18.75">
      <c r="F19" s="155" t="s">
        <v>1589</v>
      </c>
      <c r="G19" s="155"/>
      <c r="H19" s="155"/>
      <c r="I19" s="155"/>
      <c r="J19" s="155"/>
      <c r="K19" s="155"/>
    </row>
    <row r="20" spans="6:11" ht="18.75">
      <c r="F20" s="155" t="s">
        <v>826</v>
      </c>
      <c r="G20" s="155" t="s">
        <v>1590</v>
      </c>
      <c r="H20" s="155" t="s">
        <v>1591</v>
      </c>
      <c r="I20" s="155" t="s">
        <v>1592</v>
      </c>
      <c r="J20" s="155"/>
      <c r="K20" s="155"/>
    </row>
    <row r="21" spans="6:11" ht="18.75">
      <c r="F21" s="155" t="s">
        <v>167</v>
      </c>
      <c r="G21" s="155" t="s">
        <v>1593</v>
      </c>
      <c r="H21" s="155"/>
      <c r="I21" s="155"/>
      <c r="J21" s="155"/>
      <c r="K21" s="155"/>
    </row>
    <row r="22" spans="6:11" ht="18.75">
      <c r="F22" s="155" t="s">
        <v>985</v>
      </c>
      <c r="G22" s="155" t="s">
        <v>1594</v>
      </c>
      <c r="H22" s="155"/>
      <c r="I22" s="155"/>
      <c r="J22" s="155"/>
      <c r="K22" s="155"/>
    </row>
    <row r="23" spans="6:11" ht="18.75">
      <c r="F23" s="155" t="s">
        <v>669</v>
      </c>
      <c r="G23" s="155"/>
      <c r="H23" s="155"/>
      <c r="I23" s="155"/>
      <c r="J23" s="155"/>
      <c r="K23" s="155"/>
    </row>
    <row r="24" spans="6:11" ht="18.75">
      <c r="F24" s="155" t="s">
        <v>1595</v>
      </c>
      <c r="G24" s="155" t="s">
        <v>1596</v>
      </c>
      <c r="H24" s="155"/>
      <c r="I24" s="155"/>
      <c r="J24" s="155"/>
      <c r="K24" s="155"/>
    </row>
    <row r="25" spans="6:11" ht="18.75">
      <c r="F25" s="155" t="s">
        <v>1597</v>
      </c>
      <c r="G25" s="155"/>
      <c r="H25" s="155"/>
      <c r="I25" s="155"/>
      <c r="J25" s="155"/>
      <c r="K25" s="155"/>
    </row>
    <row r="26" spans="6:11" ht="18.75">
      <c r="F26" s="155" t="s">
        <v>378</v>
      </c>
      <c r="G26" s="155"/>
      <c r="H26" s="155"/>
      <c r="I26" s="155"/>
      <c r="J26" s="155"/>
      <c r="K26" s="155"/>
    </row>
    <row r="27" spans="6:11" ht="18.75">
      <c r="F27" s="155" t="s">
        <v>1598</v>
      </c>
      <c r="G27" s="155"/>
      <c r="H27" s="155"/>
      <c r="I27" s="155"/>
      <c r="J27" s="155"/>
      <c r="K27" s="155"/>
    </row>
    <row r="28" spans="6:11" ht="18.75">
      <c r="F28" s="155" t="s">
        <v>1599</v>
      </c>
      <c r="G28" s="155" t="s">
        <v>1600</v>
      </c>
      <c r="H28" s="155"/>
      <c r="I28" s="155"/>
      <c r="J28" s="155"/>
      <c r="K28" s="155"/>
    </row>
    <row r="29" spans="6:11" ht="18.75">
      <c r="F29" s="155" t="s">
        <v>1601</v>
      </c>
      <c r="G29" s="155"/>
      <c r="H29" s="155"/>
      <c r="I29" s="155"/>
      <c r="J29" s="155"/>
      <c r="K29" s="155"/>
    </row>
    <row r="30" spans="6:11" ht="18.75">
      <c r="F30" s="155" t="s">
        <v>1602</v>
      </c>
      <c r="G30" s="155" t="s">
        <v>1603</v>
      </c>
      <c r="H30" s="155"/>
      <c r="I30" s="155"/>
      <c r="J30" s="155"/>
      <c r="K30" s="155"/>
    </row>
    <row r="31" spans="6:11" ht="18.75">
      <c r="F31" s="155" t="s">
        <v>1604</v>
      </c>
      <c r="G31" s="155"/>
      <c r="H31" s="155"/>
      <c r="I31" s="155"/>
      <c r="J31" s="155"/>
      <c r="K31" s="155"/>
    </row>
    <row r="32" spans="6:11" ht="18.75">
      <c r="F32" s="155" t="s">
        <v>1605</v>
      </c>
      <c r="G32" s="155"/>
      <c r="H32" s="155"/>
      <c r="I32" s="155"/>
      <c r="J32" s="155"/>
      <c r="K32" s="155"/>
    </row>
    <row r="33" spans="6:11" ht="18.75">
      <c r="F33" s="155" t="s">
        <v>1606</v>
      </c>
      <c r="G33" s="155" t="s">
        <v>1607</v>
      </c>
      <c r="H33" s="155"/>
      <c r="I33" s="155"/>
      <c r="J33" s="155"/>
      <c r="K33" s="155"/>
    </row>
    <row r="34" spans="6:11" ht="18.75">
      <c r="F34" s="155" t="s">
        <v>1608</v>
      </c>
      <c r="G34" s="155" t="s">
        <v>1609</v>
      </c>
      <c r="H34" s="155"/>
      <c r="I34" s="155"/>
      <c r="J34" s="155"/>
      <c r="K34" s="155"/>
    </row>
    <row r="35" spans="6:11" ht="18.75">
      <c r="F35" s="155" t="s">
        <v>1610</v>
      </c>
      <c r="G35" s="155"/>
      <c r="H35" s="155"/>
      <c r="I35" s="155"/>
      <c r="J35" s="155"/>
      <c r="K35" s="155"/>
    </row>
    <row r="36" spans="6:11" ht="18.75">
      <c r="F36" s="155" t="s">
        <v>795</v>
      </c>
      <c r="G36" s="155"/>
      <c r="H36" s="155"/>
      <c r="I36" s="155"/>
      <c r="J36" s="155"/>
      <c r="K36" s="155"/>
    </row>
    <row r="37" spans="6:11" ht="18.75">
      <c r="F37" s="155" t="s">
        <v>1611</v>
      </c>
      <c r="G37" s="155"/>
      <c r="H37" s="155"/>
      <c r="I37" s="155"/>
      <c r="J37" s="155"/>
      <c r="K37" s="155"/>
    </row>
    <row r="38" spans="6:11" ht="18.75">
      <c r="F38" s="155" t="s">
        <v>1612</v>
      </c>
      <c r="G38" s="155"/>
      <c r="H38" s="155"/>
      <c r="I38" s="155"/>
      <c r="J38" s="155"/>
      <c r="K38" s="155"/>
    </row>
    <row r="39" spans="6:11" ht="18.75">
      <c r="F39" s="155" t="s">
        <v>99</v>
      </c>
      <c r="G39" s="155" t="s">
        <v>1613</v>
      </c>
      <c r="H39" s="155"/>
      <c r="I39" s="155"/>
      <c r="J39" s="155"/>
      <c r="K39" s="155"/>
    </row>
    <row r="40" spans="6:11" ht="18.75">
      <c r="F40" s="155" t="s">
        <v>1037</v>
      </c>
      <c r="G40" s="155" t="s">
        <v>1614</v>
      </c>
      <c r="H40" s="155"/>
      <c r="I40" s="155"/>
      <c r="J40" s="155"/>
      <c r="K40" s="155"/>
    </row>
    <row r="41" spans="6:11" ht="18.75">
      <c r="F41" s="155" t="s">
        <v>1615</v>
      </c>
      <c r="G41" s="155" t="s">
        <v>1616</v>
      </c>
      <c r="H41" s="155"/>
      <c r="I41" s="155"/>
      <c r="J41" s="155"/>
      <c r="K41" s="155"/>
    </row>
    <row r="42" spans="6:11" ht="18.75">
      <c r="F42" s="155" t="s">
        <v>1617</v>
      </c>
      <c r="G42" s="155" t="s">
        <v>1618</v>
      </c>
      <c r="H42" s="155"/>
      <c r="I42" s="155"/>
      <c r="J42" s="155"/>
      <c r="K42" s="155"/>
    </row>
    <row r="43" spans="6:11" ht="18.75">
      <c r="F43" s="155" t="s">
        <v>1619</v>
      </c>
      <c r="G43" s="155"/>
      <c r="H43" s="155"/>
      <c r="I43" s="155"/>
      <c r="J43" s="155"/>
      <c r="K43" s="155"/>
    </row>
    <row r="44" spans="6:11" ht="18.75">
      <c r="F44" s="155" t="s">
        <v>1620</v>
      </c>
      <c r="G44" s="155"/>
      <c r="H44" s="155"/>
      <c r="I44" s="155"/>
      <c r="J44" s="155"/>
      <c r="K44" s="155"/>
    </row>
    <row r="45" spans="6:11" ht="18.75">
      <c r="F45" s="155" t="s">
        <v>1621</v>
      </c>
      <c r="G45" s="155"/>
      <c r="H45" s="155"/>
      <c r="I45" s="155"/>
      <c r="J45" s="155"/>
      <c r="K45" s="155"/>
    </row>
    <row r="46" spans="6:11" ht="18.75">
      <c r="F46" s="155" t="s">
        <v>1622</v>
      </c>
      <c r="G46" s="155" t="s">
        <v>1623</v>
      </c>
      <c r="H46" s="155" t="s">
        <v>1624</v>
      </c>
      <c r="I46" s="155" t="s">
        <v>1625</v>
      </c>
      <c r="J46" s="155" t="s">
        <v>1626</v>
      </c>
      <c r="K46" s="155" t="s">
        <v>1627</v>
      </c>
    </row>
    <row r="47" spans="6:11" ht="18.75">
      <c r="F47" s="155" t="s">
        <v>1628</v>
      </c>
      <c r="G47" s="155" t="s">
        <v>1629</v>
      </c>
      <c r="H47" s="155"/>
      <c r="I47" s="155"/>
      <c r="J47" s="155"/>
      <c r="K47" s="155"/>
    </row>
    <row r="48" spans="6:11" ht="18.75">
      <c r="F48" s="155" t="s">
        <v>1630</v>
      </c>
      <c r="G48" s="155" t="s">
        <v>1631</v>
      </c>
      <c r="H48" s="155"/>
      <c r="I48" s="155"/>
      <c r="J48" s="155"/>
      <c r="K48" s="155"/>
    </row>
    <row r="49" spans="6:11" ht="18.75">
      <c r="F49" s="155" t="s">
        <v>1632</v>
      </c>
      <c r="G49" s="155" t="s">
        <v>1633</v>
      </c>
      <c r="H49" s="155"/>
      <c r="I49" s="155"/>
      <c r="J49" s="155"/>
      <c r="K49" s="155"/>
    </row>
    <row r="50" spans="6:11" ht="18.75">
      <c r="F50" s="155" t="s">
        <v>1634</v>
      </c>
      <c r="G50" s="155"/>
      <c r="H50" s="155"/>
      <c r="I50" s="155"/>
      <c r="J50" s="155"/>
      <c r="K50" s="155"/>
    </row>
    <row r="51" spans="6:11" ht="18.75">
      <c r="F51" s="155" t="s">
        <v>1635</v>
      </c>
      <c r="G51" s="155"/>
      <c r="H51" s="155"/>
      <c r="I51" s="155"/>
      <c r="J51" s="155"/>
      <c r="K51" s="155"/>
    </row>
    <row r="52" spans="6:11" ht="18.75">
      <c r="F52" s="155" t="s">
        <v>1636</v>
      </c>
      <c r="G52" s="155"/>
      <c r="H52" s="155"/>
      <c r="I52" s="155"/>
      <c r="J52" s="155"/>
      <c r="K52" s="155"/>
    </row>
    <row r="53" spans="6:11" ht="18.75">
      <c r="F53" s="155" t="s">
        <v>1637</v>
      </c>
      <c r="G53" s="155"/>
      <c r="H53" s="155"/>
      <c r="I53" s="155"/>
      <c r="J53" s="155"/>
      <c r="K53" s="155"/>
    </row>
    <row r="54" spans="6:11" ht="18.75">
      <c r="F54" s="155" t="s">
        <v>189</v>
      </c>
      <c r="G54" s="155"/>
      <c r="H54" s="155"/>
      <c r="I54" s="155"/>
      <c r="J54" s="155"/>
      <c r="K54" s="155"/>
    </row>
    <row r="55" spans="6:11" ht="18.75">
      <c r="F55" s="155" t="s">
        <v>1638</v>
      </c>
      <c r="G55" s="155"/>
      <c r="H55" s="155"/>
      <c r="I55" s="155"/>
      <c r="J55" s="155"/>
      <c r="K55" s="155"/>
    </row>
    <row r="56" spans="6:11" ht="18.75">
      <c r="F56" s="155" t="s">
        <v>1639</v>
      </c>
      <c r="G56" s="155"/>
      <c r="H56" s="155"/>
      <c r="I56" s="155"/>
      <c r="J56" s="155"/>
      <c r="K56" s="155"/>
    </row>
    <row r="57" spans="6:11" ht="18.75">
      <c r="F57" s="155" t="s">
        <v>246</v>
      </c>
      <c r="G57" s="155"/>
      <c r="H57" s="155"/>
      <c r="I57" s="155"/>
      <c r="J57" s="155"/>
      <c r="K57" s="155"/>
    </row>
    <row r="58" spans="6:11" ht="18.75">
      <c r="F58" s="155" t="s">
        <v>1640</v>
      </c>
      <c r="G58" s="155" t="s">
        <v>1641</v>
      </c>
      <c r="H58" s="155"/>
      <c r="I58" s="155"/>
      <c r="J58" s="155"/>
      <c r="K58" s="155"/>
    </row>
    <row r="59" spans="6:11" ht="18.75">
      <c r="F59" s="155" t="s">
        <v>1642</v>
      </c>
      <c r="G59" s="155"/>
      <c r="H59" s="155"/>
      <c r="I59" s="155"/>
      <c r="J59" s="155"/>
      <c r="K59" s="155"/>
    </row>
    <row r="60" spans="6:11" ht="18.75">
      <c r="F60" s="155" t="s">
        <v>1643</v>
      </c>
      <c r="G60" s="155"/>
      <c r="H60" s="155"/>
      <c r="I60" s="155"/>
      <c r="J60" s="155"/>
      <c r="K60" s="155"/>
    </row>
    <row r="61" spans="6:11" ht="18.75">
      <c r="F61" s="155" t="s">
        <v>1644</v>
      </c>
      <c r="G61" s="155"/>
      <c r="H61" s="155"/>
      <c r="I61" s="155"/>
      <c r="J61" s="155"/>
      <c r="K61" s="155"/>
    </row>
    <row r="62" spans="6:11" ht="18.75">
      <c r="F62" s="155" t="s">
        <v>1645</v>
      </c>
      <c r="G62" s="155"/>
      <c r="H62" s="155"/>
      <c r="I62" s="155"/>
      <c r="J62" s="155"/>
      <c r="K62" s="155"/>
    </row>
    <row r="63" spans="6:11" ht="18.75">
      <c r="F63" s="155" t="s">
        <v>710</v>
      </c>
      <c r="G63" s="155"/>
      <c r="H63" s="155"/>
      <c r="I63" s="155"/>
      <c r="J63" s="155"/>
      <c r="K63" s="155"/>
    </row>
    <row r="64" spans="6:11" ht="18.75">
      <c r="F64" s="155" t="s">
        <v>1646</v>
      </c>
      <c r="G64" s="155" t="s">
        <v>1647</v>
      </c>
      <c r="H64" s="155"/>
      <c r="I64" s="155"/>
      <c r="J64" s="155"/>
      <c r="K64" s="155"/>
    </row>
    <row r="65" spans="6:11" ht="18.75">
      <c r="F65" s="155" t="s">
        <v>1648</v>
      </c>
      <c r="G65" s="155" t="s">
        <v>1649</v>
      </c>
      <c r="H65" s="155"/>
      <c r="I65" s="155"/>
      <c r="J65" s="155"/>
      <c r="K65" s="155"/>
    </row>
    <row r="66" spans="6:11" ht="18.75">
      <c r="F66" s="155" t="s">
        <v>1650</v>
      </c>
      <c r="G66" s="155"/>
      <c r="H66" s="155"/>
      <c r="I66" s="155"/>
      <c r="J66" s="155"/>
      <c r="K66" s="155"/>
    </row>
    <row r="67" spans="6:11" ht="18.75">
      <c r="F67" s="155" t="s">
        <v>1651</v>
      </c>
      <c r="G67" s="155"/>
      <c r="H67" s="155"/>
      <c r="I67" s="155"/>
      <c r="J67" s="155"/>
      <c r="K67" s="155"/>
    </row>
    <row r="68" spans="6:11" ht="18.75">
      <c r="F68" s="155" t="s">
        <v>1652</v>
      </c>
      <c r="G68" s="155"/>
      <c r="H68" s="155"/>
      <c r="I68" s="155"/>
      <c r="J68" s="155"/>
      <c r="K68" s="155"/>
    </row>
    <row r="69" spans="6:11" ht="18.75">
      <c r="F69" s="155" t="s">
        <v>1653</v>
      </c>
      <c r="G69" s="155"/>
      <c r="H69" s="155"/>
      <c r="I69" s="155"/>
      <c r="J69" s="155"/>
      <c r="K69" s="155"/>
    </row>
    <row r="70" spans="6:11" ht="18.75">
      <c r="F70" s="155" t="s">
        <v>1654</v>
      </c>
      <c r="G70" s="155"/>
      <c r="H70" s="155"/>
      <c r="I70" s="155"/>
      <c r="J70" s="155"/>
      <c r="K70" s="155"/>
    </row>
    <row r="71" spans="6:11" ht="18.75">
      <c r="F71" s="155" t="s">
        <v>1655</v>
      </c>
      <c r="G71" s="155"/>
      <c r="H71" s="155"/>
      <c r="I71" s="155"/>
      <c r="J71" s="155"/>
      <c r="K71" s="155"/>
    </row>
    <row r="72" spans="6:11" ht="18.75">
      <c r="F72" s="155" t="s">
        <v>1656</v>
      </c>
      <c r="G72" s="155"/>
      <c r="H72" s="155"/>
      <c r="I72" s="155"/>
      <c r="J72" s="155"/>
      <c r="K72" s="155"/>
    </row>
    <row r="73" spans="6:11" ht="18.75">
      <c r="F73" s="155" t="s">
        <v>1657</v>
      </c>
      <c r="G73" s="155"/>
      <c r="H73" s="155"/>
      <c r="I73" s="155"/>
      <c r="J73" s="155"/>
      <c r="K73" s="155"/>
    </row>
    <row r="74" spans="6:11" ht="18.75">
      <c r="F74" s="155" t="s">
        <v>1658</v>
      </c>
      <c r="G74" s="155" t="s">
        <v>1659</v>
      </c>
      <c r="H74" s="155"/>
      <c r="I74" s="155"/>
      <c r="J74" s="155"/>
      <c r="K74" s="155"/>
    </row>
    <row r="75" spans="6:11" ht="18.75">
      <c r="F75" s="155" t="s">
        <v>1660</v>
      </c>
      <c r="G75" s="155" t="s">
        <v>1661</v>
      </c>
      <c r="H75" s="155"/>
      <c r="I75" s="155"/>
      <c r="J75" s="155"/>
      <c r="K75" s="155"/>
    </row>
    <row r="76" spans="6:11" ht="18.75">
      <c r="F76" s="155" t="s">
        <v>1662</v>
      </c>
      <c r="G76" s="194" t="s">
        <v>1663</v>
      </c>
      <c r="H76" s="195"/>
      <c r="I76" s="155"/>
      <c r="J76" s="155"/>
      <c r="K76" s="155"/>
    </row>
    <row r="77" spans="6:11" ht="18.75">
      <c r="F77" s="155" t="s">
        <v>1664</v>
      </c>
      <c r="G77" s="155" t="s">
        <v>1665</v>
      </c>
      <c r="H77" s="155"/>
      <c r="I77" s="155"/>
      <c r="J77" s="155"/>
      <c r="K77" s="155"/>
    </row>
    <row r="78" spans="6:11" ht="18.75">
      <c r="F78" s="155" t="s">
        <v>1666</v>
      </c>
      <c r="G78" s="155" t="s">
        <v>1667</v>
      </c>
      <c r="H78" s="155"/>
      <c r="I78" s="155"/>
      <c r="J78" s="155"/>
      <c r="K78" s="155"/>
    </row>
    <row r="79" spans="6:11" ht="18.75">
      <c r="F79" s="155" t="s">
        <v>1668</v>
      </c>
      <c r="G79" s="155"/>
      <c r="H79" s="155"/>
      <c r="I79" s="155"/>
      <c r="J79" s="155"/>
      <c r="K79" s="155"/>
    </row>
    <row r="80" spans="6:11" ht="18.75">
      <c r="F80" s="155" t="s">
        <v>1669</v>
      </c>
      <c r="G80" s="155"/>
      <c r="H80" s="155"/>
      <c r="I80" s="155"/>
      <c r="J80" s="155"/>
      <c r="K80" s="155"/>
    </row>
    <row r="81" spans="6:11" ht="18.75">
      <c r="F81" s="155" t="s">
        <v>1670</v>
      </c>
      <c r="G81" s="155"/>
      <c r="H81" s="155"/>
      <c r="I81" s="155"/>
      <c r="J81" s="155"/>
      <c r="K81" s="155"/>
    </row>
    <row r="82" spans="6:11" ht="18.75">
      <c r="F82" s="155" t="s">
        <v>1671</v>
      </c>
      <c r="G82" s="155"/>
      <c r="H82" s="155"/>
      <c r="I82" s="155"/>
      <c r="J82" s="155"/>
      <c r="K82" s="155"/>
    </row>
    <row r="83" spans="6:11" ht="18.75">
      <c r="F83" s="155" t="s">
        <v>1672</v>
      </c>
      <c r="G83" s="155" t="s">
        <v>1673</v>
      </c>
      <c r="H83" s="155"/>
      <c r="I83" s="155"/>
      <c r="J83" s="155"/>
      <c r="K83" s="155"/>
    </row>
    <row r="84" spans="6:11" ht="18.75">
      <c r="F84" s="155" t="s">
        <v>1674</v>
      </c>
      <c r="G84" s="155" t="s">
        <v>1675</v>
      </c>
      <c r="H84" s="155"/>
      <c r="I84" s="155"/>
      <c r="J84" s="155"/>
      <c r="K84" s="155"/>
    </row>
    <row r="85" spans="6:11" ht="18.75">
      <c r="F85" s="155" t="s">
        <v>1676</v>
      </c>
      <c r="G85" s="155"/>
      <c r="H85" s="155"/>
      <c r="I85" s="155"/>
      <c r="J85" s="155"/>
      <c r="K85" s="155"/>
    </row>
    <row r="86" spans="6:11" ht="18.75">
      <c r="F86" s="155" t="s">
        <v>1677</v>
      </c>
      <c r="G86" s="155" t="s">
        <v>1678</v>
      </c>
      <c r="H86" s="155"/>
      <c r="I86" s="155"/>
      <c r="J86" s="155"/>
      <c r="K86" s="155"/>
    </row>
    <row r="87" spans="6:11" ht="18.75">
      <c r="F87" s="155" t="s">
        <v>1679</v>
      </c>
      <c r="G87" s="155" t="s">
        <v>1680</v>
      </c>
      <c r="H87" s="155"/>
      <c r="I87" s="155"/>
      <c r="J87" s="155"/>
      <c r="K87" s="155"/>
    </row>
    <row r="88" spans="6:11" ht="18.75">
      <c r="F88" s="155" t="s">
        <v>1681</v>
      </c>
      <c r="G88" s="155" t="s">
        <v>1682</v>
      </c>
      <c r="H88" s="155" t="s">
        <v>1683</v>
      </c>
      <c r="I88" s="155" t="s">
        <v>1684</v>
      </c>
      <c r="J88" s="194" t="s">
        <v>1685</v>
      </c>
      <c r="K88" s="195"/>
    </row>
    <row r="89" spans="6:11" ht="18.75">
      <c r="F89" s="155" t="s">
        <v>1686</v>
      </c>
      <c r="G89" s="155"/>
      <c r="H89" s="155"/>
      <c r="I89" s="155"/>
      <c r="J89" s="155"/>
      <c r="K89" s="155"/>
    </row>
    <row r="90" spans="6:11" ht="18.75">
      <c r="F90" s="155" t="s">
        <v>1687</v>
      </c>
      <c r="G90" s="155"/>
      <c r="H90" s="155"/>
      <c r="I90" s="155"/>
      <c r="J90" s="155"/>
      <c r="K90" s="155"/>
    </row>
    <row r="91" spans="6:11" ht="18.75">
      <c r="F91" s="155" t="s">
        <v>1688</v>
      </c>
      <c r="G91" s="155"/>
      <c r="H91" s="155"/>
      <c r="I91" s="155"/>
      <c r="J91" s="155"/>
      <c r="K91" s="155"/>
    </row>
    <row r="92" spans="6:11" ht="18.75">
      <c r="F92" s="155" t="s">
        <v>1689</v>
      </c>
      <c r="G92" s="155" t="s">
        <v>1690</v>
      </c>
      <c r="H92" s="155"/>
      <c r="I92" s="155"/>
      <c r="J92" s="155"/>
      <c r="K92" s="155"/>
    </row>
    <row r="93" spans="6:11" ht="18.75">
      <c r="F93" s="155" t="s">
        <v>1691</v>
      </c>
      <c r="G93" s="155" t="s">
        <v>1692</v>
      </c>
      <c r="H93" s="155"/>
      <c r="I93" s="155"/>
      <c r="J93" s="155"/>
      <c r="K93" s="155"/>
    </row>
    <row r="94" spans="6:11" ht="18.75">
      <c r="F94" s="155" t="s">
        <v>1693</v>
      </c>
      <c r="G94" s="155" t="s">
        <v>1694</v>
      </c>
      <c r="H94" s="155"/>
      <c r="I94" s="155"/>
      <c r="J94" s="155"/>
      <c r="K94" s="155"/>
    </row>
    <row r="95" spans="6:11" ht="18.75">
      <c r="F95" s="155" t="s">
        <v>1695</v>
      </c>
      <c r="G95" s="155" t="s">
        <v>1696</v>
      </c>
      <c r="H95" s="155" t="s">
        <v>1697</v>
      </c>
      <c r="I95" s="155" t="s">
        <v>1698</v>
      </c>
      <c r="J95" s="155" t="s">
        <v>1699</v>
      </c>
      <c r="K95" s="155"/>
    </row>
    <row r="96" spans="6:11" ht="18.75">
      <c r="F96" s="155" t="s">
        <v>1700</v>
      </c>
      <c r="G96" s="155"/>
      <c r="H96" s="155"/>
      <c r="I96" s="155"/>
      <c r="J96" s="155"/>
      <c r="K96" s="155"/>
    </row>
    <row r="97" spans="6:11" ht="18.75">
      <c r="F97" s="155" t="s">
        <v>1701</v>
      </c>
      <c r="G97" s="155"/>
      <c r="H97" s="155"/>
      <c r="I97" s="155"/>
      <c r="J97" s="155"/>
      <c r="K97" s="155"/>
    </row>
    <row r="98" spans="6:11" ht="18.75">
      <c r="F98" s="155" t="s">
        <v>1702</v>
      </c>
      <c r="G98" s="155" t="s">
        <v>1703</v>
      </c>
      <c r="H98" s="155"/>
      <c r="I98" s="155"/>
      <c r="J98" s="155"/>
      <c r="K98" s="155"/>
    </row>
    <row r="99" spans="6:11" ht="18.75">
      <c r="F99" s="155" t="s">
        <v>1704</v>
      </c>
      <c r="G99" s="155"/>
      <c r="H99" s="155"/>
      <c r="I99" s="155"/>
      <c r="J99" s="155"/>
      <c r="K99" s="155"/>
    </row>
    <row r="100" spans="6:11" ht="18.75">
      <c r="F100" s="155" t="s">
        <v>1705</v>
      </c>
      <c r="G100" s="155"/>
      <c r="H100" s="155"/>
      <c r="I100" s="155"/>
      <c r="J100" s="155"/>
      <c r="K100" s="155"/>
    </row>
    <row r="101" spans="6:11" ht="18.75">
      <c r="F101" s="155" t="s">
        <v>1706</v>
      </c>
      <c r="G101" s="155"/>
      <c r="H101" s="155"/>
      <c r="I101" s="155"/>
      <c r="J101" s="155"/>
      <c r="K101" s="155"/>
    </row>
    <row r="102" spans="6:11" ht="18.75">
      <c r="F102" s="155" t="s">
        <v>1707</v>
      </c>
      <c r="G102" s="155"/>
      <c r="H102" s="155"/>
      <c r="I102" s="155"/>
      <c r="J102" s="155"/>
      <c r="K102" s="155"/>
    </row>
    <row r="103" spans="6:11" ht="18.75">
      <c r="F103" s="155" t="s">
        <v>1708</v>
      </c>
      <c r="G103" s="155" t="s">
        <v>1709</v>
      </c>
      <c r="H103" s="155" t="s">
        <v>1710</v>
      </c>
      <c r="I103" s="155" t="s">
        <v>1711</v>
      </c>
      <c r="J103" s="155"/>
      <c r="K103" s="155"/>
    </row>
    <row r="104" spans="6:11" ht="18.75">
      <c r="F104" s="155" t="s">
        <v>1712</v>
      </c>
      <c r="G104" s="155" t="s">
        <v>1713</v>
      </c>
      <c r="H104" s="155"/>
      <c r="I104" s="155"/>
      <c r="J104" s="155"/>
      <c r="K104" s="155"/>
    </row>
    <row r="105" spans="6:11" ht="18.75">
      <c r="F105" s="155" t="s">
        <v>83</v>
      </c>
      <c r="G105" s="155"/>
      <c r="H105" s="155"/>
      <c r="I105" s="155"/>
      <c r="J105" s="155"/>
      <c r="K105" s="155"/>
    </row>
    <row r="106" spans="6:11" ht="18.75">
      <c r="F106" s="155" t="s">
        <v>1714</v>
      </c>
      <c r="G106" s="155"/>
      <c r="H106" s="155"/>
      <c r="I106" s="155"/>
      <c r="J106" s="155"/>
      <c r="K106" s="155"/>
    </row>
    <row r="107" spans="6:11" ht="18.75">
      <c r="F107" s="155" t="s">
        <v>1715</v>
      </c>
      <c r="G107" s="155"/>
      <c r="H107" s="155"/>
      <c r="I107" s="155"/>
      <c r="J107" s="155"/>
      <c r="K107" s="155"/>
    </row>
    <row r="108" spans="6:11" ht="18.75">
      <c r="F108" s="155" t="s">
        <v>1716</v>
      </c>
      <c r="G108" s="155"/>
      <c r="H108" s="155"/>
      <c r="I108" s="155"/>
      <c r="J108" s="155"/>
      <c r="K108" s="155"/>
    </row>
    <row r="109" spans="6:11" ht="18.75">
      <c r="F109" s="155" t="s">
        <v>1717</v>
      </c>
      <c r="G109" s="155"/>
      <c r="H109" s="155"/>
      <c r="I109" s="155"/>
      <c r="J109" s="155"/>
      <c r="K109" s="155"/>
    </row>
    <row r="110" spans="6:11" ht="18.75">
      <c r="F110" s="155" t="s">
        <v>1718</v>
      </c>
      <c r="G110" s="155" t="s">
        <v>1719</v>
      </c>
      <c r="H110" s="155" t="s">
        <v>1720</v>
      </c>
      <c r="I110" s="155" t="s">
        <v>1721</v>
      </c>
      <c r="J110" s="155"/>
      <c r="K110" s="155"/>
    </row>
    <row r="111" spans="6:11" ht="18.75">
      <c r="F111" s="155" t="s">
        <v>1722</v>
      </c>
      <c r="G111" s="155" t="s">
        <v>1723</v>
      </c>
      <c r="H111" s="155" t="s">
        <v>1724</v>
      </c>
      <c r="I111" s="155" t="s">
        <v>1725</v>
      </c>
      <c r="J111" s="155"/>
      <c r="K111" s="155"/>
    </row>
    <row r="112" spans="6:11" ht="18.75">
      <c r="F112" s="155" t="s">
        <v>1726</v>
      </c>
      <c r="G112" s="155" t="s">
        <v>1664</v>
      </c>
      <c r="H112" s="155" t="s">
        <v>1665</v>
      </c>
      <c r="I112" s="155"/>
      <c r="J112" s="155"/>
      <c r="K112" s="155"/>
    </row>
    <row r="113" spans="6:11" ht="18.75">
      <c r="F113" s="155" t="s">
        <v>1727</v>
      </c>
      <c r="G113" s="155"/>
      <c r="H113" s="155"/>
      <c r="I113" s="155"/>
      <c r="J113" s="155"/>
      <c r="K113" s="155"/>
    </row>
    <row r="114" spans="6:11" ht="18.75">
      <c r="F114" s="155" t="s">
        <v>1728</v>
      </c>
      <c r="G114" s="155" t="s">
        <v>1729</v>
      </c>
      <c r="H114" s="155"/>
      <c r="I114" s="155"/>
      <c r="J114" s="155"/>
      <c r="K114" s="155"/>
    </row>
    <row r="115" spans="6:11" ht="18.75">
      <c r="F115" s="155" t="s">
        <v>1730</v>
      </c>
      <c r="G115" s="155"/>
      <c r="H115" s="155"/>
      <c r="I115" s="155"/>
      <c r="J115" s="155"/>
      <c r="K115" s="155"/>
    </row>
    <row r="116" spans="6:11" ht="18.75">
      <c r="F116" s="194" t="s">
        <v>1731</v>
      </c>
      <c r="G116" s="195"/>
      <c r="H116" s="155"/>
      <c r="I116" s="155"/>
      <c r="J116" s="155"/>
      <c r="K116" s="155"/>
    </row>
    <row r="117" spans="6:11" ht="18.75">
      <c r="F117" s="155" t="s">
        <v>1732</v>
      </c>
      <c r="G117" s="155"/>
      <c r="H117" s="155"/>
      <c r="I117" s="155"/>
      <c r="J117" s="155"/>
      <c r="K117" s="155"/>
    </row>
    <row r="118" spans="6:11" ht="18.75">
      <c r="F118" s="155" t="s">
        <v>1733</v>
      </c>
      <c r="G118" s="155" t="s">
        <v>1734</v>
      </c>
      <c r="H118" s="155"/>
      <c r="I118" s="155"/>
      <c r="J118" s="155"/>
      <c r="K118" s="155"/>
    </row>
    <row r="119" spans="6:11" ht="18.75">
      <c r="F119" s="155" t="s">
        <v>1735</v>
      </c>
      <c r="G119" s="155" t="s">
        <v>1736</v>
      </c>
      <c r="H119" s="155"/>
      <c r="I119" s="155"/>
      <c r="J119" s="155"/>
      <c r="K119" s="155"/>
    </row>
    <row r="120" spans="6:11" ht="18.75">
      <c r="F120" s="155" t="s">
        <v>477</v>
      </c>
      <c r="G120" s="155" t="s">
        <v>450</v>
      </c>
      <c r="H120" s="155"/>
      <c r="I120" s="155"/>
      <c r="J120" s="155"/>
      <c r="K120" s="155"/>
    </row>
    <row r="121" spans="6:11" ht="18.75">
      <c r="F121" s="155" t="s">
        <v>44</v>
      </c>
      <c r="G121" s="155" t="s">
        <v>1737</v>
      </c>
      <c r="H121" s="171"/>
      <c r="I121" s="155"/>
      <c r="J121" s="155"/>
      <c r="K121" s="155"/>
    </row>
    <row r="122" spans="6:11" ht="18.75">
      <c r="F122" s="155" t="s">
        <v>1738</v>
      </c>
      <c r="G122" s="155"/>
      <c r="H122" s="155"/>
      <c r="I122" s="155"/>
      <c r="J122" s="155"/>
      <c r="K122" s="155"/>
    </row>
    <row r="123" spans="6:11" ht="18.75">
      <c r="F123" s="155" t="s">
        <v>1739</v>
      </c>
      <c r="G123" s="155" t="s">
        <v>1740</v>
      </c>
      <c r="H123" s="155"/>
      <c r="I123" s="155"/>
      <c r="J123" s="155"/>
      <c r="K123" s="155"/>
    </row>
    <row r="124" spans="6:11" ht="18.75">
      <c r="F124" s="155" t="s">
        <v>1741</v>
      </c>
      <c r="G124" s="155"/>
      <c r="H124" s="155"/>
      <c r="I124" s="155"/>
      <c r="J124" s="155"/>
      <c r="K124" s="155"/>
    </row>
    <row r="125" spans="6:11" ht="18.75">
      <c r="F125" s="155" t="s">
        <v>1742</v>
      </c>
      <c r="G125" s="155"/>
      <c r="H125" s="155"/>
      <c r="I125" s="155"/>
      <c r="J125" s="155"/>
      <c r="K125" s="155"/>
    </row>
    <row r="126" spans="6:11" ht="18.75">
      <c r="F126" s="155" t="s">
        <v>653</v>
      </c>
      <c r="G126" s="155" t="s">
        <v>37</v>
      </c>
      <c r="H126" s="171"/>
      <c r="I126" s="155"/>
      <c r="J126" s="155"/>
      <c r="K126" s="155"/>
    </row>
    <row r="127" spans="6:11" ht="18.75">
      <c r="F127" s="155" t="s">
        <v>1743</v>
      </c>
      <c r="G127" s="155" t="s">
        <v>1744</v>
      </c>
      <c r="H127" s="155"/>
      <c r="I127" s="155"/>
      <c r="J127" s="155"/>
      <c r="K127" s="155"/>
    </row>
    <row r="128" spans="6:11" ht="18.75">
      <c r="F128" s="155" t="s">
        <v>454</v>
      </c>
      <c r="G128" s="155"/>
      <c r="H128" s="155"/>
      <c r="I128" s="155"/>
      <c r="J128" s="155"/>
      <c r="K128" s="155"/>
    </row>
    <row r="129" spans="6:11" ht="18.75">
      <c r="F129" s="155" t="s">
        <v>1745</v>
      </c>
      <c r="G129" s="155"/>
      <c r="H129" s="155"/>
      <c r="I129" s="155"/>
      <c r="J129" s="155"/>
      <c r="K129" s="155"/>
    </row>
    <row r="130" spans="6:11" ht="18.75">
      <c r="F130" s="155" t="s">
        <v>1746</v>
      </c>
      <c r="G130" s="155"/>
      <c r="H130" s="155"/>
      <c r="I130" s="155"/>
      <c r="J130" s="155"/>
      <c r="K130" s="155"/>
    </row>
    <row r="131" spans="6:11" ht="18.75">
      <c r="F131" s="155" t="s">
        <v>1747</v>
      </c>
      <c r="G131" s="155"/>
      <c r="H131" s="155"/>
      <c r="I131" s="155"/>
      <c r="J131" s="155"/>
      <c r="K131" s="155"/>
    </row>
    <row r="132" spans="6:11" ht="18.75">
      <c r="F132" s="155" t="s">
        <v>1748</v>
      </c>
      <c r="G132" s="155"/>
      <c r="H132" s="155"/>
      <c r="I132" s="155"/>
      <c r="J132" s="155"/>
      <c r="K132" s="155"/>
    </row>
    <row r="133" spans="6:11" ht="18.75">
      <c r="F133" s="155" t="s">
        <v>1749</v>
      </c>
      <c r="G133" s="155"/>
      <c r="H133" s="155"/>
      <c r="I133" s="155"/>
      <c r="J133" s="155"/>
      <c r="K133" s="155"/>
    </row>
    <row r="134" spans="6:11" ht="18.75">
      <c r="F134" s="155" t="s">
        <v>1750</v>
      </c>
      <c r="G134" s="155"/>
      <c r="H134" s="155"/>
      <c r="I134" s="155"/>
      <c r="J134" s="155"/>
      <c r="K134" s="155"/>
    </row>
    <row r="135" spans="6:11" ht="18.75">
      <c r="F135" s="155" t="s">
        <v>1751</v>
      </c>
      <c r="G135" s="155"/>
      <c r="H135" s="155"/>
      <c r="I135" s="155"/>
      <c r="J135" s="155"/>
      <c r="K135" s="155"/>
    </row>
    <row r="136" spans="6:11" ht="18.75">
      <c r="F136" s="155" t="s">
        <v>1752</v>
      </c>
      <c r="G136" s="155" t="s">
        <v>1753</v>
      </c>
      <c r="H136" s="155"/>
      <c r="I136" s="155"/>
      <c r="J136" s="155"/>
      <c r="K136" s="155"/>
    </row>
    <row r="137" spans="6:11" ht="18.75">
      <c r="F137" s="155" t="s">
        <v>1754</v>
      </c>
      <c r="G137" s="155"/>
      <c r="H137" s="155"/>
      <c r="I137" s="155"/>
      <c r="J137" s="155"/>
      <c r="K137" s="155"/>
    </row>
    <row r="138" spans="6:11" ht="18.75">
      <c r="F138" s="155" t="s">
        <v>1755</v>
      </c>
      <c r="G138" s="155" t="s">
        <v>1756</v>
      </c>
      <c r="H138" s="155"/>
      <c r="I138" s="155"/>
      <c r="J138" s="155"/>
      <c r="K138" s="155"/>
    </row>
    <row r="139" spans="6:11" ht="18.75">
      <c r="F139" s="155" t="s">
        <v>1757</v>
      </c>
      <c r="G139" s="155"/>
      <c r="H139" s="155"/>
      <c r="I139" s="155"/>
      <c r="J139" s="155"/>
      <c r="K139" s="155"/>
    </row>
    <row r="140" spans="6:11" ht="18.75">
      <c r="F140" s="155" t="s">
        <v>1758</v>
      </c>
      <c r="G140" s="155" t="s">
        <v>1759</v>
      </c>
      <c r="H140" s="155"/>
      <c r="I140" s="155"/>
      <c r="J140" s="155"/>
      <c r="K140" s="155"/>
    </row>
    <row r="141" spans="6:11" ht="18.75">
      <c r="F141" s="155" t="s">
        <v>1760</v>
      </c>
      <c r="G141" s="155" t="s">
        <v>1761</v>
      </c>
      <c r="H141" s="155" t="s">
        <v>1762</v>
      </c>
      <c r="I141" s="155" t="s">
        <v>1763</v>
      </c>
      <c r="J141" s="155"/>
      <c r="K141" s="155"/>
    </row>
    <row r="142" spans="6:11" ht="18.75">
      <c r="F142" s="155" t="s">
        <v>1764</v>
      </c>
      <c r="G142" s="155"/>
      <c r="H142" s="155"/>
      <c r="I142" s="155"/>
      <c r="J142" s="155"/>
      <c r="K142" s="155"/>
    </row>
    <row r="143" spans="6:11" ht="18.75">
      <c r="F143" s="155" t="s">
        <v>1765</v>
      </c>
      <c r="G143" s="155"/>
      <c r="H143" s="155"/>
      <c r="I143" s="155"/>
      <c r="J143" s="155"/>
      <c r="K143" s="155"/>
    </row>
    <row r="144" spans="6:11" ht="18.75">
      <c r="F144" s="155" t="s">
        <v>1766</v>
      </c>
      <c r="G144" s="155"/>
      <c r="H144" s="155"/>
      <c r="I144" s="155"/>
      <c r="J144" s="155"/>
      <c r="K144" s="155"/>
    </row>
    <row r="145" spans="6:11" ht="18.75">
      <c r="F145" s="155" t="s">
        <v>1767</v>
      </c>
      <c r="G145" s="155"/>
      <c r="H145" s="155"/>
      <c r="I145" s="155"/>
      <c r="J145" s="155"/>
      <c r="K145" s="155"/>
    </row>
    <row r="146" spans="6:11" ht="18.75">
      <c r="F146" s="155" t="s">
        <v>1768</v>
      </c>
      <c r="G146" s="155"/>
      <c r="H146" s="155"/>
      <c r="I146" s="155"/>
      <c r="J146" s="155"/>
      <c r="K146" s="155"/>
    </row>
    <row r="147" spans="6:11" ht="18.75">
      <c r="F147" s="155" t="s">
        <v>1769</v>
      </c>
      <c r="G147" s="155"/>
      <c r="H147" s="155"/>
      <c r="I147" s="155"/>
      <c r="J147" s="155"/>
      <c r="K147" s="155"/>
    </row>
    <row r="148" spans="6:11" ht="18.75">
      <c r="F148" s="155" t="s">
        <v>1770</v>
      </c>
      <c r="G148" s="155"/>
      <c r="H148" s="155"/>
      <c r="I148" s="155"/>
      <c r="J148" s="155"/>
      <c r="K148" s="155"/>
    </row>
    <row r="149" spans="6:11" ht="18.75">
      <c r="F149" s="155" t="s">
        <v>1771</v>
      </c>
      <c r="G149" s="155"/>
      <c r="H149" s="155"/>
      <c r="I149" s="155"/>
      <c r="J149" s="155"/>
      <c r="K149" s="155"/>
    </row>
    <row r="150" spans="6:11" ht="18.75">
      <c r="F150" s="155" t="s">
        <v>1772</v>
      </c>
      <c r="G150" s="155" t="s">
        <v>1773</v>
      </c>
      <c r="H150" s="155"/>
      <c r="I150" s="155"/>
      <c r="J150" s="155"/>
      <c r="K150" s="155"/>
    </row>
    <row r="151" spans="6:11" ht="18.75">
      <c r="F151" s="155" t="s">
        <v>1774</v>
      </c>
      <c r="G151" s="155"/>
      <c r="H151" s="155"/>
      <c r="I151" s="155"/>
      <c r="J151" s="155"/>
      <c r="K151" s="155"/>
    </row>
    <row r="152" spans="6:11" ht="18.75">
      <c r="F152" s="155" t="s">
        <v>1775</v>
      </c>
      <c r="G152" s="155"/>
      <c r="H152" s="155"/>
      <c r="I152" s="155"/>
      <c r="J152" s="155"/>
      <c r="K152" s="155"/>
    </row>
    <row r="153" spans="6:11" ht="18.75">
      <c r="F153" s="155" t="s">
        <v>1776</v>
      </c>
      <c r="G153" s="155"/>
      <c r="H153" s="155"/>
      <c r="I153" s="155"/>
      <c r="J153" s="155"/>
      <c r="K153" s="155"/>
    </row>
    <row r="154" spans="6:11" ht="18.75">
      <c r="F154" s="155" t="s">
        <v>1777</v>
      </c>
      <c r="G154" s="155" t="s">
        <v>1778</v>
      </c>
      <c r="H154" s="155" t="s">
        <v>1779</v>
      </c>
      <c r="I154" s="155"/>
      <c r="J154" s="155"/>
      <c r="K154" s="155"/>
    </row>
    <row r="155" spans="6:11" ht="18.75">
      <c r="F155" s="155" t="s">
        <v>1780</v>
      </c>
      <c r="G155" s="156" t="s">
        <v>1781</v>
      </c>
      <c r="H155" s="155" t="s">
        <v>1782</v>
      </c>
      <c r="I155" s="155" t="s">
        <v>1783</v>
      </c>
      <c r="J155" s="155"/>
      <c r="K155" s="155"/>
    </row>
    <row r="156" spans="6:11" ht="18.75">
      <c r="F156" s="155" t="s">
        <v>1784</v>
      </c>
      <c r="G156" s="155"/>
      <c r="H156" s="155"/>
      <c r="I156" s="155"/>
      <c r="J156" s="155"/>
      <c r="K156" s="155"/>
    </row>
    <row r="157" spans="6:11" ht="18.75">
      <c r="F157" s="155" t="s">
        <v>1785</v>
      </c>
      <c r="G157" s="155"/>
      <c r="H157" s="155"/>
      <c r="I157" s="155"/>
      <c r="J157" s="155"/>
      <c r="K157" s="155"/>
    </row>
    <row r="158" spans="6:11" ht="18.75">
      <c r="F158" s="155" t="s">
        <v>1786</v>
      </c>
      <c r="G158" s="155"/>
      <c r="H158" s="155"/>
      <c r="I158" s="155"/>
      <c r="J158" s="155"/>
      <c r="K158" s="155"/>
    </row>
    <row r="159" spans="6:11" ht="18.75">
      <c r="F159" s="155" t="s">
        <v>1787</v>
      </c>
      <c r="G159" s="155"/>
      <c r="H159" s="155"/>
      <c r="I159" s="155"/>
      <c r="J159" s="155"/>
      <c r="K159" s="155"/>
    </row>
    <row r="160" spans="6:11" ht="18.75">
      <c r="F160" s="155" t="s">
        <v>1788</v>
      </c>
      <c r="G160" s="155" t="s">
        <v>1789</v>
      </c>
      <c r="H160" s="155"/>
      <c r="I160" s="155"/>
      <c r="J160" s="155"/>
      <c r="K160" s="155"/>
    </row>
    <row r="161" spans="6:11" ht="18.75">
      <c r="F161" s="155" t="s">
        <v>1790</v>
      </c>
      <c r="G161" s="155"/>
      <c r="H161" s="155"/>
      <c r="I161" s="155"/>
      <c r="J161" s="155"/>
      <c r="K161" s="155"/>
    </row>
    <row r="162" spans="6:11" ht="18.75">
      <c r="F162" s="155" t="s">
        <v>208</v>
      </c>
      <c r="G162" s="155" t="s">
        <v>1791</v>
      </c>
      <c r="H162" s="155" t="s">
        <v>1792</v>
      </c>
      <c r="I162" s="155"/>
      <c r="J162" s="155"/>
      <c r="K162" s="155"/>
    </row>
    <row r="163" spans="6:11" ht="18.75">
      <c r="F163" s="155" t="s">
        <v>1793</v>
      </c>
      <c r="G163" s="155"/>
      <c r="H163" s="155"/>
      <c r="I163" s="155"/>
      <c r="J163" s="155"/>
      <c r="K163" s="155"/>
    </row>
    <row r="164" spans="6:11" ht="18.75">
      <c r="F164" s="155" t="s">
        <v>1794</v>
      </c>
      <c r="G164" s="155"/>
      <c r="H164" s="155"/>
      <c r="I164" s="155"/>
      <c r="J164" s="155"/>
      <c r="K164" s="155"/>
    </row>
    <row r="165" spans="6:11" ht="18.75">
      <c r="F165" s="155" t="s">
        <v>1795</v>
      </c>
      <c r="G165" s="155"/>
      <c r="H165" s="155"/>
      <c r="I165" s="155"/>
      <c r="J165" s="155"/>
      <c r="K165" s="155"/>
    </row>
    <row r="166" spans="6:11" ht="18.75">
      <c r="F166" s="155" t="s">
        <v>1796</v>
      </c>
      <c r="G166" s="155"/>
      <c r="H166" s="155"/>
      <c r="I166" s="155"/>
      <c r="J166" s="155"/>
      <c r="K166" s="155"/>
    </row>
    <row r="167" spans="6:11" ht="18.75">
      <c r="F167" s="155" t="s">
        <v>1797</v>
      </c>
      <c r="G167" s="155" t="s">
        <v>1798</v>
      </c>
      <c r="H167" s="155" t="s">
        <v>1799</v>
      </c>
      <c r="I167" s="155" t="s">
        <v>1800</v>
      </c>
      <c r="J167" s="155" t="s">
        <v>1801</v>
      </c>
      <c r="K167" s="155" t="s">
        <v>1802</v>
      </c>
    </row>
    <row r="168" spans="6:11" ht="18.75">
      <c r="F168" s="155" t="s">
        <v>1803</v>
      </c>
      <c r="G168" s="155"/>
      <c r="H168" s="155"/>
      <c r="I168" s="155"/>
      <c r="J168" s="155"/>
      <c r="K168" s="155"/>
    </row>
    <row r="169" spans="6:11" ht="18.75">
      <c r="F169" s="155" t="s">
        <v>1804</v>
      </c>
      <c r="G169" s="155" t="s">
        <v>1805</v>
      </c>
      <c r="H169" s="155"/>
      <c r="I169" s="155"/>
      <c r="J169" s="155"/>
      <c r="K169" s="155"/>
    </row>
    <row r="170" spans="6:11" ht="18.75">
      <c r="F170" s="155" t="s">
        <v>525</v>
      </c>
      <c r="G170" s="155"/>
      <c r="H170" s="155"/>
      <c r="I170" s="155"/>
      <c r="J170" s="155"/>
      <c r="K170" s="155"/>
    </row>
    <row r="171" spans="6:11" ht="18.75">
      <c r="F171" s="155" t="s">
        <v>1806</v>
      </c>
      <c r="G171" s="155"/>
      <c r="H171" s="155"/>
      <c r="I171" s="155"/>
      <c r="J171" s="155"/>
      <c r="K171" s="155"/>
    </row>
    <row r="172" spans="6:11" ht="18.75">
      <c r="F172" s="155" t="s">
        <v>1807</v>
      </c>
      <c r="G172" s="155" t="s">
        <v>1808</v>
      </c>
      <c r="H172" s="155"/>
      <c r="I172" s="155"/>
      <c r="J172" s="155"/>
      <c r="K172" s="155"/>
    </row>
    <row r="173" spans="6:11" ht="18.75">
      <c r="F173" s="155" t="s">
        <v>1809</v>
      </c>
      <c r="G173" s="155"/>
      <c r="H173" s="155"/>
      <c r="I173" s="155"/>
      <c r="J173" s="155"/>
      <c r="K173" s="155"/>
    </row>
    <row r="174" spans="6:11" ht="18.75">
      <c r="F174" s="155" t="s">
        <v>1810</v>
      </c>
      <c r="G174" s="155" t="s">
        <v>1811</v>
      </c>
      <c r="H174" s="155" t="s">
        <v>1812</v>
      </c>
      <c r="I174" s="155" t="s">
        <v>1813</v>
      </c>
      <c r="J174" s="155"/>
      <c r="K174" s="155"/>
    </row>
    <row r="175" spans="6:11" ht="18.75">
      <c r="F175" s="155" t="s">
        <v>1814</v>
      </c>
      <c r="G175" s="155"/>
      <c r="H175" s="155"/>
      <c r="I175" s="155"/>
      <c r="J175" s="155"/>
      <c r="K175" s="155"/>
    </row>
    <row r="176" spans="6:11" ht="18.75">
      <c r="F176" s="155" t="s">
        <v>1815</v>
      </c>
      <c r="G176" s="155" t="s">
        <v>1816</v>
      </c>
      <c r="H176" s="155"/>
      <c r="I176" s="155"/>
      <c r="J176" s="155"/>
      <c r="K176" s="155"/>
    </row>
    <row r="177" spans="6:11" ht="18.75">
      <c r="F177" s="155" t="s">
        <v>1817</v>
      </c>
      <c r="G177" s="155"/>
      <c r="H177" s="155"/>
      <c r="I177" s="155"/>
      <c r="J177" s="155"/>
      <c r="K177" s="155"/>
    </row>
    <row r="178" spans="6:11" ht="18.75">
      <c r="F178" s="155" t="s">
        <v>532</v>
      </c>
      <c r="G178" s="155" t="s">
        <v>1818</v>
      </c>
      <c r="H178" s="155"/>
      <c r="I178" s="155"/>
      <c r="J178" s="155"/>
      <c r="K178" s="155"/>
    </row>
    <row r="179" spans="6:11" ht="18.75">
      <c r="F179" s="155" t="s">
        <v>1819</v>
      </c>
      <c r="G179" s="155" t="s">
        <v>1820</v>
      </c>
      <c r="H179" s="155"/>
      <c r="I179" s="155"/>
      <c r="J179" s="155"/>
      <c r="K179" s="155"/>
    </row>
    <row r="180" spans="6:11" ht="18.75">
      <c r="F180" s="155" t="s">
        <v>1821</v>
      </c>
      <c r="G180" s="155"/>
      <c r="H180" s="155"/>
      <c r="I180" s="155"/>
      <c r="J180" s="155"/>
      <c r="K180" s="155"/>
    </row>
    <row r="181" spans="6:11" ht="18.75">
      <c r="F181" s="155" t="s">
        <v>911</v>
      </c>
      <c r="G181" s="155" t="s">
        <v>1822</v>
      </c>
      <c r="H181" s="155"/>
      <c r="I181" s="155"/>
      <c r="J181" s="155"/>
      <c r="K181" s="155"/>
    </row>
    <row r="182" spans="6:11" ht="18.75">
      <c r="F182" s="155" t="s">
        <v>773</v>
      </c>
      <c r="G182" s="155"/>
      <c r="H182" s="155"/>
      <c r="I182" s="155"/>
      <c r="J182" s="155"/>
      <c r="K182" s="155"/>
    </row>
    <row r="183" spans="6:11" ht="18.75">
      <c r="F183" s="155" t="s">
        <v>1823</v>
      </c>
      <c r="G183" s="155"/>
      <c r="H183" s="155"/>
      <c r="I183" s="155"/>
      <c r="J183" s="155"/>
      <c r="K183" s="155"/>
    </row>
    <row r="184" spans="6:11" ht="18.75">
      <c r="F184" s="155" t="s">
        <v>1824</v>
      </c>
      <c r="G184" s="155"/>
      <c r="H184" s="155"/>
      <c r="I184" s="155"/>
      <c r="J184" s="155"/>
      <c r="K184" s="155"/>
    </row>
    <row r="185" spans="6:11" ht="18.75">
      <c r="F185" s="155" t="s">
        <v>1825</v>
      </c>
      <c r="G185" s="155"/>
      <c r="H185" s="155"/>
      <c r="I185" s="155"/>
      <c r="J185" s="155"/>
      <c r="K185" s="155"/>
    </row>
    <row r="186" spans="6:11" ht="18.75">
      <c r="F186" s="155" t="s">
        <v>1826</v>
      </c>
      <c r="G186" s="155"/>
      <c r="H186" s="155"/>
      <c r="I186" s="155"/>
      <c r="J186" s="155"/>
      <c r="K186" s="155"/>
    </row>
    <row r="187" spans="6:11" ht="18.75">
      <c r="F187" s="155" t="s">
        <v>1827</v>
      </c>
      <c r="G187" s="155"/>
      <c r="H187" s="155"/>
      <c r="I187" s="155"/>
      <c r="J187" s="155"/>
      <c r="K187" s="155"/>
    </row>
    <row r="188" spans="6:11" ht="18.75">
      <c r="F188" s="155" t="s">
        <v>1828</v>
      </c>
      <c r="G188" s="155"/>
      <c r="H188" s="155"/>
      <c r="I188" s="155"/>
      <c r="J188" s="155"/>
      <c r="K188" s="155"/>
    </row>
    <row r="189" spans="6:11" ht="18.75">
      <c r="F189" s="155" t="s">
        <v>1829</v>
      </c>
      <c r="G189" s="155"/>
      <c r="H189" s="155"/>
      <c r="I189" s="155"/>
      <c r="J189" s="155"/>
      <c r="K189" s="155"/>
    </row>
    <row r="190" spans="6:11" ht="18.75">
      <c r="F190" s="155" t="s">
        <v>1830</v>
      </c>
      <c r="G190" s="155"/>
      <c r="H190" s="155"/>
      <c r="I190" s="155"/>
      <c r="J190" s="155"/>
      <c r="K190" s="155"/>
    </row>
    <row r="191" spans="6:11" ht="18.75">
      <c r="F191" s="155" t="s">
        <v>1831</v>
      </c>
      <c r="G191" s="155"/>
      <c r="H191" s="155"/>
      <c r="I191" s="155"/>
      <c r="J191" s="155"/>
      <c r="K191" s="155"/>
    </row>
    <row r="192" spans="6:11" ht="18.75">
      <c r="F192" s="155" t="s">
        <v>1832</v>
      </c>
      <c r="G192" s="155"/>
      <c r="H192" s="155"/>
      <c r="I192" s="155"/>
      <c r="J192" s="155"/>
      <c r="K192" s="155"/>
    </row>
    <row r="193" spans="6:11" ht="18.75">
      <c r="F193" s="155" t="s">
        <v>1833</v>
      </c>
      <c r="G193" s="155"/>
      <c r="H193" s="155"/>
      <c r="I193" s="155"/>
      <c r="J193" s="155"/>
      <c r="K193" s="155"/>
    </row>
    <row r="194" spans="6:11" ht="18.75">
      <c r="F194" s="155" t="s">
        <v>1834</v>
      </c>
      <c r="G194" s="155" t="s">
        <v>1835</v>
      </c>
      <c r="H194" s="155"/>
      <c r="I194" s="155"/>
      <c r="J194" s="155"/>
      <c r="K194" s="155"/>
    </row>
    <row r="195" spans="6:11" ht="18.75">
      <c r="F195" s="155" t="s">
        <v>1836</v>
      </c>
      <c r="G195" s="155"/>
      <c r="H195" s="155"/>
      <c r="I195" s="155"/>
      <c r="J195" s="155"/>
      <c r="K195" s="155"/>
    </row>
    <row r="196" spans="6:11" ht="18.75">
      <c r="F196" s="155" t="s">
        <v>1837</v>
      </c>
      <c r="G196" s="155" t="s">
        <v>1838</v>
      </c>
      <c r="H196" s="155"/>
      <c r="I196" s="155"/>
      <c r="J196" s="155"/>
      <c r="K196" s="155"/>
    </row>
    <row r="197" spans="6:11" ht="18.75">
      <c r="F197" s="155" t="s">
        <v>1839</v>
      </c>
      <c r="G197" s="155"/>
      <c r="H197" s="155"/>
      <c r="I197" s="155"/>
      <c r="J197" s="155"/>
      <c r="K197" s="155"/>
    </row>
    <row r="198" spans="6:11" ht="18.75">
      <c r="F198" s="155" t="s">
        <v>1840</v>
      </c>
      <c r="G198" s="155"/>
      <c r="H198" s="155"/>
      <c r="I198" s="155"/>
      <c r="J198" s="155"/>
      <c r="K198" s="155"/>
    </row>
    <row r="199" spans="6:11" ht="18.75">
      <c r="F199" s="155" t="s">
        <v>1841</v>
      </c>
      <c r="G199" s="155"/>
      <c r="H199" s="155"/>
      <c r="I199" s="155"/>
      <c r="J199" s="155"/>
      <c r="K199" s="155"/>
    </row>
    <row r="200" spans="6:11" ht="18.75">
      <c r="F200" s="155" t="s">
        <v>59</v>
      </c>
      <c r="G200" s="155" t="s">
        <v>1842</v>
      </c>
      <c r="H200" s="155"/>
      <c r="I200" s="155"/>
      <c r="J200" s="155"/>
      <c r="K200" s="155"/>
    </row>
  </sheetData>
  <mergeCells count="3">
    <mergeCell ref="G76:H76"/>
    <mergeCell ref="J88:K88"/>
    <mergeCell ref="F116:G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3"/>
  <sheetViews>
    <sheetView showGridLines="0" view="pageBreakPreview" topLeftCell="A97" zoomScale="90" zoomScaleNormal="85" zoomScaleSheetLayoutView="90" workbookViewId="0">
      <selection activeCell="G122" sqref="G12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8" width="15" style="62" bestFit="1" customWidth="1"/>
    <col min="9"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96" t="s">
        <v>1210</v>
      </c>
      <c r="C4" s="197"/>
      <c r="D4" s="198"/>
      <c r="E4" s="202" t="s">
        <v>1211</v>
      </c>
      <c r="F4" s="202" t="s">
        <v>1212</v>
      </c>
    </row>
    <row r="5" spans="2:7" ht="14.25" thickBot="1">
      <c r="B5" s="199"/>
      <c r="C5" s="200"/>
      <c r="D5" s="201"/>
      <c r="E5" s="203"/>
      <c r="F5" s="203"/>
    </row>
    <row r="6" spans="2:7" s="72" customFormat="1" ht="14.25" customHeight="1" thickTop="1">
      <c r="B6" s="204" t="s">
        <v>1213</v>
      </c>
      <c r="C6" s="205"/>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206" t="s">
        <v>1250</v>
      </c>
      <c r="D24" s="207"/>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8" s="72" customFormat="1">
      <c r="B113" s="83" t="s">
        <v>1418</v>
      </c>
      <c r="C113" s="84"/>
      <c r="D113" s="85"/>
      <c r="E113" s="23" t="s">
        <v>1419</v>
      </c>
      <c r="F113" s="86" t="s">
        <v>1420</v>
      </c>
      <c r="G113" s="71"/>
    </row>
    <row r="114" spans="1:8">
      <c r="A114" s="72"/>
      <c r="B114" s="73"/>
      <c r="C114" s="74" t="s">
        <v>1421</v>
      </c>
      <c r="D114" s="75"/>
      <c r="E114" s="18" t="s">
        <v>1164</v>
      </c>
      <c r="F114" s="76" t="s">
        <v>1422</v>
      </c>
      <c r="G114" s="71"/>
    </row>
    <row r="115" spans="1:8">
      <c r="A115" s="72"/>
      <c r="B115" s="73"/>
      <c r="C115" s="74" t="s">
        <v>1423</v>
      </c>
      <c r="D115" s="75"/>
      <c r="E115" s="18" t="s">
        <v>1165</v>
      </c>
      <c r="F115" s="76" t="s">
        <v>1424</v>
      </c>
      <c r="G115" s="71"/>
    </row>
    <row r="116" spans="1:8">
      <c r="A116" s="72"/>
      <c r="B116" s="73"/>
      <c r="C116" s="74" t="s">
        <v>1425</v>
      </c>
      <c r="D116" s="75"/>
      <c r="E116" s="18" t="s">
        <v>1166</v>
      </c>
      <c r="F116" s="76" t="s">
        <v>1426</v>
      </c>
      <c r="G116" s="71"/>
    </row>
    <row r="117" spans="1:8" ht="14.25" thickBot="1">
      <c r="A117" s="72"/>
      <c r="B117" s="73"/>
      <c r="C117" s="77" t="s">
        <v>1427</v>
      </c>
      <c r="D117" s="81"/>
      <c r="E117" s="22" t="s">
        <v>1167</v>
      </c>
      <c r="F117" s="82" t="s">
        <v>1428</v>
      </c>
      <c r="G117" s="71"/>
    </row>
    <row r="118" spans="1:8">
      <c r="A118" s="72"/>
      <c r="B118" s="83" t="s">
        <v>1429</v>
      </c>
      <c r="C118" s="84"/>
      <c r="D118" s="85"/>
      <c r="E118" s="23" t="s">
        <v>545</v>
      </c>
      <c r="F118" s="86" t="s">
        <v>1430</v>
      </c>
      <c r="G118" s="71"/>
    </row>
    <row r="119" spans="1:8" ht="14.25" thickBot="1">
      <c r="A119" s="72"/>
      <c r="B119" s="96"/>
      <c r="C119" s="97" t="s">
        <v>1431</v>
      </c>
      <c r="D119" s="98"/>
      <c r="E119" s="29" t="s">
        <v>1168</v>
      </c>
      <c r="F119" s="99" t="s">
        <v>1432</v>
      </c>
      <c r="G119" s="71"/>
    </row>
    <row r="120" spans="1:8" ht="14.25" thickBot="1">
      <c r="A120" s="72"/>
      <c r="B120" s="100" t="s">
        <v>1433</v>
      </c>
      <c r="C120" s="121"/>
      <c r="D120" s="122"/>
      <c r="E120" s="34" t="s">
        <v>1434</v>
      </c>
      <c r="F120" s="120" t="s">
        <v>1435</v>
      </c>
      <c r="G120" s="71"/>
    </row>
    <row r="121" spans="1:8" ht="15" thickTop="1" thickBot="1">
      <c r="A121" s="72"/>
      <c r="B121" s="114" t="s">
        <v>1436</v>
      </c>
      <c r="C121" s="115"/>
      <c r="D121" s="116"/>
      <c r="E121" s="33" t="s">
        <v>1437</v>
      </c>
      <c r="F121" s="185" t="s">
        <v>1438</v>
      </c>
      <c r="G121" s="186" t="s">
        <v>1859</v>
      </c>
      <c r="H121" s="187" t="s">
        <v>1860</v>
      </c>
    </row>
    <row r="122" spans="1:8" ht="14.25" thickTop="1">
      <c r="G122" s="172" t="s">
        <v>1515</v>
      </c>
    </row>
    <row r="123" spans="1:8">
      <c r="G123" s="173" t="s">
        <v>1072</v>
      </c>
    </row>
    <row r="124" spans="1:8">
      <c r="G124" s="173" t="s">
        <v>1074</v>
      </c>
    </row>
    <row r="125" spans="1:8">
      <c r="G125" s="173" t="s">
        <v>1075</v>
      </c>
    </row>
    <row r="126" spans="1:8">
      <c r="G126" s="173" t="s">
        <v>1078</v>
      </c>
    </row>
    <row r="127" spans="1:8">
      <c r="G127" s="173" t="s">
        <v>1079</v>
      </c>
    </row>
    <row r="128" spans="1:8">
      <c r="G128" s="173" t="s">
        <v>1081</v>
      </c>
    </row>
    <row r="129" spans="7:7">
      <c r="G129" s="173" t="s">
        <v>1082</v>
      </c>
    </row>
    <row r="130" spans="7:7">
      <c r="G130" s="173" t="s">
        <v>886</v>
      </c>
    </row>
    <row r="131" spans="7:7">
      <c r="G131" s="173" t="s">
        <v>604</v>
      </c>
    </row>
    <row r="132" spans="7:7">
      <c r="G132" s="173" t="s">
        <v>408</v>
      </c>
    </row>
    <row r="133" spans="7:7">
      <c r="G133" s="173" t="s">
        <v>1086</v>
      </c>
    </row>
    <row r="134" spans="7:7">
      <c r="G134" s="174" t="s">
        <v>1087</v>
      </c>
    </row>
    <row r="135" spans="7:7" ht="14.25" thickBot="1">
      <c r="G135" s="174" t="s">
        <v>1089</v>
      </c>
    </row>
    <row r="136" spans="7:7">
      <c r="G136" s="175" t="s">
        <v>1242</v>
      </c>
    </row>
    <row r="137" spans="7:7">
      <c r="G137" s="173" t="s">
        <v>1090</v>
      </c>
    </row>
    <row r="138" spans="7:7">
      <c r="G138" s="173" t="s">
        <v>1092</v>
      </c>
    </row>
    <row r="139" spans="7:7">
      <c r="G139" s="173" t="s">
        <v>1093</v>
      </c>
    </row>
    <row r="140" spans="7:7">
      <c r="G140" s="176" t="s">
        <v>1094</v>
      </c>
    </row>
    <row r="141" spans="7:7">
      <c r="G141" s="176" t="s">
        <v>1096</v>
      </c>
    </row>
    <row r="142" spans="7:7">
      <c r="G142" s="176" t="s">
        <v>1097</v>
      </c>
    </row>
    <row r="143" spans="7:7">
      <c r="G143" s="177" t="s">
        <v>1098</v>
      </c>
    </row>
    <row r="144" spans="7:7" ht="14.25" thickBot="1">
      <c r="G144" s="174" t="s">
        <v>1099</v>
      </c>
    </row>
    <row r="145" spans="7:7">
      <c r="G145" s="175" t="s">
        <v>1260</v>
      </c>
    </row>
    <row r="146" spans="7:7">
      <c r="G146" s="173" t="s">
        <v>1101</v>
      </c>
    </row>
    <row r="147" spans="7:7">
      <c r="G147" s="173" t="s">
        <v>47</v>
      </c>
    </row>
    <row r="148" spans="7:7">
      <c r="G148" s="173" t="s">
        <v>1102</v>
      </c>
    </row>
    <row r="149" spans="7:7">
      <c r="G149" s="173" t="s">
        <v>1103</v>
      </c>
    </row>
    <row r="150" spans="7:7">
      <c r="G150" s="173" t="s">
        <v>1104</v>
      </c>
    </row>
    <row r="151" spans="7:7">
      <c r="G151" s="173" t="s">
        <v>101</v>
      </c>
    </row>
    <row r="152" spans="7:7">
      <c r="G152" s="173" t="s">
        <v>1105</v>
      </c>
    </row>
    <row r="153" spans="7:7">
      <c r="G153" s="173" t="s">
        <v>32</v>
      </c>
    </row>
    <row r="154" spans="7:7">
      <c r="G154" s="173" t="s">
        <v>128</v>
      </c>
    </row>
    <row r="155" spans="7:7">
      <c r="G155" s="173" t="s">
        <v>1106</v>
      </c>
    </row>
    <row r="156" spans="7:7">
      <c r="G156" s="173" t="s">
        <v>1107</v>
      </c>
    </row>
    <row r="157" spans="7:7">
      <c r="G157" s="173" t="s">
        <v>1108</v>
      </c>
    </row>
    <row r="158" spans="7:7">
      <c r="G158" s="173" t="s">
        <v>1109</v>
      </c>
    </row>
    <row r="159" spans="7:7" ht="14.25" thickBot="1">
      <c r="G159" s="178" t="s">
        <v>1110</v>
      </c>
    </row>
    <row r="160" spans="7:7">
      <c r="G160" s="179" t="s">
        <v>1287</v>
      </c>
    </row>
    <row r="161" spans="7:7">
      <c r="G161" s="176" t="s">
        <v>1111</v>
      </c>
    </row>
    <row r="162" spans="7:7">
      <c r="G162" s="173" t="s">
        <v>1112</v>
      </c>
    </row>
    <row r="163" spans="7:7">
      <c r="G163" s="173" t="s">
        <v>1113</v>
      </c>
    </row>
    <row r="164" spans="7:7" ht="14.25" thickBot="1">
      <c r="G164" s="174" t="s">
        <v>1114</v>
      </c>
    </row>
    <row r="165" spans="7:7">
      <c r="G165" s="175" t="s">
        <v>1296</v>
      </c>
    </row>
    <row r="166" spans="7:7">
      <c r="G166" s="176" t="s">
        <v>1115</v>
      </c>
    </row>
    <row r="167" spans="7:7">
      <c r="G167" s="173" t="s">
        <v>368</v>
      </c>
    </row>
    <row r="168" spans="7:7">
      <c r="G168" s="173" t="s">
        <v>1116</v>
      </c>
    </row>
    <row r="169" spans="7:7" ht="14.25" thickBot="1">
      <c r="G169" s="178" t="s">
        <v>1117</v>
      </c>
    </row>
    <row r="170" spans="7:7">
      <c r="G170" s="179" t="s">
        <v>1305</v>
      </c>
    </row>
    <row r="171" spans="7:7">
      <c r="G171" s="173" t="s">
        <v>1118</v>
      </c>
    </row>
    <row r="172" spans="7:7">
      <c r="G172" s="173" t="s">
        <v>1119</v>
      </c>
    </row>
    <row r="173" spans="7:7">
      <c r="G173" s="173" t="s">
        <v>1120</v>
      </c>
    </row>
    <row r="174" spans="7:7">
      <c r="G174" s="173" t="s">
        <v>1121</v>
      </c>
    </row>
    <row r="175" spans="7:7">
      <c r="G175" s="173" t="s">
        <v>1122</v>
      </c>
    </row>
    <row r="176" spans="7:7" ht="14.25" thickBot="1">
      <c r="G176" s="174" t="s">
        <v>1123</v>
      </c>
    </row>
    <row r="177" spans="7:7">
      <c r="G177" s="175" t="s">
        <v>1318</v>
      </c>
    </row>
    <row r="178" spans="7:7">
      <c r="G178" s="173" t="s">
        <v>1124</v>
      </c>
    </row>
    <row r="179" spans="7:7">
      <c r="G179" s="173" t="s">
        <v>1125</v>
      </c>
    </row>
    <row r="180" spans="7:7">
      <c r="G180" s="173" t="s">
        <v>1126</v>
      </c>
    </row>
    <row r="181" spans="7:7">
      <c r="G181" s="176" t="s">
        <v>1127</v>
      </c>
    </row>
    <row r="182" spans="7:7">
      <c r="G182" s="174" t="s">
        <v>1128</v>
      </c>
    </row>
    <row r="183" spans="7:7" ht="14.25" thickBot="1">
      <c r="G183" s="174" t="s">
        <v>1129</v>
      </c>
    </row>
    <row r="184" spans="7:7">
      <c r="G184" s="175" t="s">
        <v>1332</v>
      </c>
    </row>
    <row r="185" spans="7:7">
      <c r="G185" s="173" t="s">
        <v>1130</v>
      </c>
    </row>
    <row r="186" spans="7:7">
      <c r="G186" s="173" t="s">
        <v>1131</v>
      </c>
    </row>
    <row r="187" spans="7:7">
      <c r="G187" s="173" t="s">
        <v>1132</v>
      </c>
    </row>
    <row r="188" spans="7:7" ht="14.25" thickBot="1">
      <c r="G188" s="178" t="s">
        <v>1133</v>
      </c>
    </row>
    <row r="189" spans="7:7">
      <c r="G189" s="179" t="s">
        <v>1341</v>
      </c>
    </row>
    <row r="190" spans="7:7">
      <c r="G190" s="173" t="s">
        <v>1134</v>
      </c>
    </row>
    <row r="191" spans="7:7">
      <c r="G191" s="173" t="s">
        <v>1135</v>
      </c>
    </row>
    <row r="192" spans="7:7">
      <c r="G192" s="173" t="s">
        <v>1136</v>
      </c>
    </row>
    <row r="193" spans="7:7" ht="14.25" thickBot="1">
      <c r="G193" s="174" t="s">
        <v>1137</v>
      </c>
    </row>
    <row r="194" spans="7:7">
      <c r="G194" s="180" t="s">
        <v>1350</v>
      </c>
    </row>
    <row r="195" spans="7:7">
      <c r="G195" s="177" t="s">
        <v>1138</v>
      </c>
    </row>
    <row r="196" spans="7:7" ht="14.25" thickBot="1">
      <c r="G196" s="181" t="s">
        <v>1139</v>
      </c>
    </row>
    <row r="197" spans="7:7">
      <c r="G197" s="175" t="s">
        <v>1356</v>
      </c>
    </row>
    <row r="198" spans="7:7">
      <c r="G198" s="173" t="s">
        <v>1140</v>
      </c>
    </row>
    <row r="199" spans="7:7">
      <c r="G199" s="174" t="s">
        <v>1141</v>
      </c>
    </row>
    <row r="200" spans="7:7">
      <c r="G200" s="174" t="s">
        <v>1142</v>
      </c>
    </row>
    <row r="201" spans="7:7">
      <c r="G201" s="174" t="s">
        <v>1143</v>
      </c>
    </row>
    <row r="202" spans="7:7" ht="14.25" thickBot="1">
      <c r="G202" s="178" t="s">
        <v>1144</v>
      </c>
    </row>
    <row r="203" spans="7:7" ht="14.25" thickBot="1">
      <c r="G203" s="182" t="s">
        <v>1367</v>
      </c>
    </row>
    <row r="204" spans="7:7">
      <c r="G204" s="180" t="s">
        <v>1370</v>
      </c>
    </row>
    <row r="205" spans="7:7">
      <c r="G205" s="177" t="s">
        <v>1145</v>
      </c>
    </row>
    <row r="206" spans="7:7">
      <c r="G206" s="177" t="s">
        <v>1146</v>
      </c>
    </row>
    <row r="207" spans="7:7" ht="14.25" thickBot="1">
      <c r="G207" s="177" t="s">
        <v>1147</v>
      </c>
    </row>
    <row r="208" spans="7:7">
      <c r="G208" s="180" t="s">
        <v>1375</v>
      </c>
    </row>
    <row r="209" spans="7:7">
      <c r="G209" s="173" t="s">
        <v>1148</v>
      </c>
    </row>
    <row r="210" spans="7:7">
      <c r="G210" s="173" t="s">
        <v>1149</v>
      </c>
    </row>
    <row r="211" spans="7:7">
      <c r="G211" s="173" t="s">
        <v>1150</v>
      </c>
    </row>
    <row r="212" spans="7:7" ht="14.25" thickBot="1">
      <c r="G212" s="178" t="s">
        <v>1151</v>
      </c>
    </row>
    <row r="213" spans="7:7" ht="14.25" thickBot="1">
      <c r="G213" s="183" t="s">
        <v>1385</v>
      </c>
    </row>
    <row r="214" spans="7:7">
      <c r="G214" s="175" t="s">
        <v>1388</v>
      </c>
    </row>
    <row r="215" spans="7:7">
      <c r="G215" s="173" t="s">
        <v>1152</v>
      </c>
    </row>
    <row r="216" spans="7:7">
      <c r="G216" s="173" t="s">
        <v>1153</v>
      </c>
    </row>
    <row r="217" spans="7:7">
      <c r="G217" s="173" t="s">
        <v>1154</v>
      </c>
    </row>
    <row r="218" spans="7:7" ht="14.25" thickBot="1">
      <c r="G218" s="178" t="s">
        <v>1155</v>
      </c>
    </row>
    <row r="219" spans="7:7">
      <c r="G219" s="179" t="s">
        <v>1398</v>
      </c>
    </row>
    <row r="220" spans="7:7">
      <c r="G220" s="173" t="s">
        <v>1156</v>
      </c>
    </row>
    <row r="221" spans="7:7">
      <c r="G221" s="176" t="s">
        <v>1157</v>
      </c>
    </row>
    <row r="222" spans="7:7">
      <c r="G222" s="176" t="s">
        <v>1158</v>
      </c>
    </row>
    <row r="223" spans="7:7">
      <c r="G223" s="176" t="s">
        <v>1159</v>
      </c>
    </row>
    <row r="224" spans="7:7">
      <c r="G224" s="173" t="s">
        <v>1160</v>
      </c>
    </row>
    <row r="225" spans="7:7">
      <c r="G225" s="173" t="s">
        <v>1410</v>
      </c>
    </row>
    <row r="226" spans="7:7">
      <c r="G226" s="173" t="s">
        <v>1161</v>
      </c>
    </row>
    <row r="227" spans="7:7">
      <c r="G227" s="174" t="s">
        <v>1162</v>
      </c>
    </row>
    <row r="228" spans="7:7" ht="14.25" thickBot="1">
      <c r="G228" s="174" t="s">
        <v>1163</v>
      </c>
    </row>
    <row r="229" spans="7:7">
      <c r="G229" s="175" t="s">
        <v>1419</v>
      </c>
    </row>
    <row r="230" spans="7:7">
      <c r="G230" s="173" t="s">
        <v>1164</v>
      </c>
    </row>
    <row r="231" spans="7:7">
      <c r="G231" s="173" t="s">
        <v>1165</v>
      </c>
    </row>
    <row r="232" spans="7:7">
      <c r="G232" s="173" t="s">
        <v>1166</v>
      </c>
    </row>
    <row r="233" spans="7:7" ht="14.25" thickBot="1">
      <c r="G233" s="174" t="s">
        <v>1167</v>
      </c>
    </row>
    <row r="234" spans="7:7">
      <c r="G234" s="175" t="s">
        <v>545</v>
      </c>
    </row>
    <row r="235" spans="7:7" ht="14.25" thickBot="1">
      <c r="G235" s="178" t="s">
        <v>1168</v>
      </c>
    </row>
    <row r="236" spans="7:7" ht="14.25" thickBot="1">
      <c r="G236" s="183" t="s">
        <v>1434</v>
      </c>
    </row>
    <row r="237" spans="7:7" ht="14.25" thickBot="1">
      <c r="G237" s="182" t="s">
        <v>1437</v>
      </c>
    </row>
    <row r="238" spans="7:7">
      <c r="G238" s="175" t="s">
        <v>1844</v>
      </c>
    </row>
    <row r="239" spans="7:7">
      <c r="G239" s="173" t="s">
        <v>1845</v>
      </c>
    </row>
    <row r="240" spans="7:7">
      <c r="G240" s="173" t="s">
        <v>1846</v>
      </c>
    </row>
    <row r="241" spans="7:7">
      <c r="G241" s="173" t="s">
        <v>1847</v>
      </c>
    </row>
    <row r="242" spans="7:7" ht="14.25" thickBot="1">
      <c r="G242" s="184" t="s">
        <v>1848</v>
      </c>
    </row>
    <row r="243" spans="7:7" ht="14.25" thickTop="1"/>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208" t="s">
        <v>1172</v>
      </c>
      <c r="D2" s="208"/>
      <c r="E2" s="37">
        <f>E8-E7</f>
        <v>18</v>
      </c>
      <c r="H2">
        <v>13</v>
      </c>
      <c r="M2" s="36"/>
      <c r="N2" s="208" t="s">
        <v>1172</v>
      </c>
      <c r="O2" s="208"/>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209" t="s">
        <v>1179</v>
      </c>
      <c r="D7" s="210"/>
      <c r="E7" s="40">
        <v>87</v>
      </c>
      <c r="F7" t="s">
        <v>1063</v>
      </c>
      <c r="G7">
        <f t="shared" si="0"/>
        <v>180</v>
      </c>
      <c r="M7" s="38"/>
      <c r="N7" s="209" t="s">
        <v>1179</v>
      </c>
      <c r="O7" s="210"/>
      <c r="P7" s="40">
        <v>93</v>
      </c>
    </row>
    <row r="8" spans="1:18">
      <c r="B8" s="211" t="s">
        <v>1180</v>
      </c>
      <c r="C8" s="209"/>
      <c r="D8" s="210"/>
      <c r="E8" s="40">
        <v>105</v>
      </c>
      <c r="F8" t="s">
        <v>1176</v>
      </c>
      <c r="G8">
        <f t="shared" si="0"/>
        <v>210</v>
      </c>
      <c r="M8" s="211" t="s">
        <v>1180</v>
      </c>
      <c r="N8" s="209"/>
      <c r="O8" s="210"/>
      <c r="P8" s="40">
        <v>105</v>
      </c>
    </row>
    <row r="9" spans="1:18">
      <c r="B9" s="38"/>
      <c r="C9" s="39"/>
      <c r="D9" s="39"/>
      <c r="E9" s="41"/>
      <c r="G9">
        <f t="shared" si="0"/>
        <v>0</v>
      </c>
      <c r="M9" s="38"/>
      <c r="N9" s="39"/>
      <c r="O9" s="39"/>
      <c r="P9" s="41"/>
    </row>
    <row r="10" spans="1:18">
      <c r="B10" s="211" t="s">
        <v>1181</v>
      </c>
      <c r="C10" s="209"/>
      <c r="D10" s="209"/>
      <c r="E10" s="40">
        <v>1</v>
      </c>
      <c r="G10">
        <f t="shared" si="0"/>
        <v>81</v>
      </c>
      <c r="M10" s="211" t="s">
        <v>1181</v>
      </c>
      <c r="N10" s="209"/>
      <c r="O10" s="209"/>
      <c r="P10" s="40">
        <v>80</v>
      </c>
    </row>
    <row r="11" spans="1:18" ht="19.5" thickBot="1">
      <c r="B11" s="212" t="s">
        <v>1182</v>
      </c>
      <c r="C11" s="213"/>
      <c r="D11" s="213"/>
      <c r="E11" s="42">
        <f>G17</f>
        <v>279</v>
      </c>
      <c r="G11">
        <f t="shared" si="0"/>
        <v>542</v>
      </c>
      <c r="M11" s="212" t="s">
        <v>1182</v>
      </c>
      <c r="N11" s="213"/>
      <c r="O11" s="213"/>
      <c r="P11" s="42">
        <v>263</v>
      </c>
    </row>
    <row r="12" spans="1:18" ht="19.5" thickTop="1"/>
    <row r="13" spans="1:18">
      <c r="B13" s="211" t="s">
        <v>1183</v>
      </c>
      <c r="C13" s="209"/>
      <c r="D13" s="209"/>
      <c r="E13" s="40">
        <f>185+E8+E10</f>
        <v>291</v>
      </c>
      <c r="M13" s="211" t="s">
        <v>1183</v>
      </c>
      <c r="N13" s="209"/>
      <c r="O13" s="209"/>
      <c r="P13" s="40">
        <f>P8+P10</f>
        <v>185</v>
      </c>
    </row>
    <row r="14" spans="1:18" ht="19.5" thickBot="1">
      <c r="B14" s="212" t="s">
        <v>1184</v>
      </c>
      <c r="C14" s="213"/>
      <c r="D14" s="213"/>
      <c r="E14" s="42">
        <f>368+E11+E8</f>
        <v>752</v>
      </c>
      <c r="M14" s="212" t="s">
        <v>1184</v>
      </c>
      <c r="N14" s="213"/>
      <c r="O14" s="213"/>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38</vt:i4>
      </vt:variant>
    </vt:vector>
  </HeadingPairs>
  <TitlesOfParts>
    <vt:vector size="47"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仕向地別名</vt:lpstr>
      <vt:lpstr>仕向地別名回数</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2021-02-02T15:07:08Z</dcterms:modified>
</cp:coreProperties>
</file>