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atsvfs1.at-ad.ntt-at.co.jp\FSUsers\00002340\Download\20201027\Excel_-事経会議集計-main\Excel_-\"/>
    </mc:Choice>
  </mc:AlternateContent>
  <bookViews>
    <workbookView xWindow="0" yWindow="0" windowWidth="23400" windowHeight="12960" activeTab="2"/>
  </bookViews>
  <sheets>
    <sheet name="yushutsu_kobetsu" sheetId="2" r:id="rId1"/>
    <sheet name="中間処理シート" sheetId="3" r:id="rId2"/>
    <sheet name="ダッシュボード" sheetId="11" r:id="rId3"/>
    <sheet name="組織辞書" sheetId="12" r:id="rId4"/>
    <sheet name="仕向地" sheetId="10" r:id="rId5"/>
    <sheet name="組織名称・略称・英文呼称" sheetId="7" r:id="rId6"/>
    <sheet name="審査件数" sheetId="5" r:id="rId7"/>
    <sheet name="別表１～３" sheetId="6" r:id="rId8"/>
    <sheet name="包括・特例" sheetId="9" r:id="rId9"/>
  </sheets>
  <functionGroups builtInGroupCount="18"/>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組織辞書!$D$2:$R$22</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ダッシュボード!$B$28</definedName>
    <definedName name="管理番号">yushutsu_kobetsu!$A:$A</definedName>
    <definedName name="期間＿開始">中間処理シート!$A$3</definedName>
    <definedName name="期間＿終了">中間処理シート!$A$5</definedName>
    <definedName name="期間の審査件数">ダッシュボード!$B$22</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ダッシュボード!$B$25</definedName>
    <definedName name="左上cell_組織辞書">組織辞書!$D$2</definedName>
    <definedName name="最終需要者">yushutsu_kobetsu!$N:$N</definedName>
    <definedName name="仕向地">yushutsu_kobetsu!$K:$K</definedName>
    <definedName name="仕向地集計">ダッシュボード!$R$6</definedName>
    <definedName name="仕向地抽出">中間処理シート!$A$11</definedName>
    <definedName name="仕向地別名">仕向地!$F$2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ダッシュボード!$B$20</definedName>
    <definedName name="集計名例外解決">ダッシュボード!$B$21</definedName>
    <definedName name="少額特例適用件数">ダッシュボード!$B$24</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組織集計＿非ゼロ">ダッシュボード!$G$6</definedName>
    <definedName name="特例抽出">中間処理シート!$A$16</definedName>
    <definedName name="非許可特例抽出">中間処理シート!$A$19</definedName>
    <definedName name="包括許可適用件数">ダッシュボード!$B$23</definedName>
    <definedName name="包括抽出">中間処理シート!$A$13</definedName>
    <definedName name="未割当別名">仕向地!$D$2</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9" i="11" l="1"/>
  <c r="B18" i="11"/>
  <c r="B17" i="11"/>
  <c r="B16" i="11"/>
  <c r="B15" i="11"/>
  <c r="B14" i="11"/>
  <c r="B13" i="11"/>
  <c r="B12" i="11"/>
  <c r="B11" i="11"/>
  <c r="B10" i="11"/>
  <c r="B9" i="11"/>
  <c r="B8" i="11"/>
  <c r="B7" i="11"/>
  <c r="B6" i="11"/>
  <c r="AE255" i="3" l="1"/>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F60" i="3" s="1"/>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29" i="3"/>
  <c r="AF29" i="3" s="1"/>
  <c r="AE3"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102" i="3"/>
  <c r="AF98" i="3"/>
  <c r="AF97" i="3"/>
  <c r="AF94" i="3"/>
  <c r="AF93" i="3"/>
  <c r="AF92" i="3"/>
  <c r="AF90" i="3"/>
  <c r="AF86" i="3"/>
  <c r="AF82" i="3"/>
  <c r="AF81" i="3"/>
  <c r="AF78" i="3"/>
  <c r="AF77" i="3"/>
  <c r="AF76" i="3"/>
  <c r="AF74" i="3"/>
  <c r="AF70" i="3"/>
  <c r="AF66" i="3"/>
  <c r="AF65" i="3"/>
  <c r="AF62" i="3"/>
  <c r="AF61" i="3"/>
  <c r="AF58" i="3"/>
  <c r="AF54" i="3"/>
  <c r="AF50" i="3"/>
  <c r="AF49" i="3"/>
  <c r="AF46" i="3"/>
  <c r="AF45" i="3"/>
  <c r="AF44" i="3"/>
  <c r="AF42" i="3"/>
  <c r="AF38" i="3"/>
  <c r="AF34" i="3"/>
  <c r="A28" i="3"/>
  <c r="A26" i="3"/>
  <c r="A24" i="3"/>
  <c r="AF3" i="3" l="1"/>
  <c r="G32" i="9"/>
  <c r="G17" i="9"/>
  <c r="O23" i="5"/>
  <c r="D23" i="5"/>
  <c r="P14" i="5"/>
  <c r="P13" i="5"/>
  <c r="E13" i="5"/>
  <c r="E11" i="5"/>
  <c r="E14" i="5" s="1"/>
  <c r="G10" i="5"/>
  <c r="G9" i="5"/>
  <c r="G8" i="5"/>
  <c r="G7" i="5"/>
  <c r="G6" i="5"/>
  <c r="P5" i="5"/>
  <c r="G5" i="5" s="1"/>
  <c r="P4" i="5"/>
  <c r="G4" i="5" s="1"/>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C33" i="3"/>
  <c r="AD33" i="3" s="1"/>
  <c r="C33" i="3"/>
  <c r="D33" i="3" s="1"/>
  <c r="AC32" i="3"/>
  <c r="AD32" i="3" s="1"/>
  <c r="C32" i="3"/>
  <c r="D32" i="3" s="1"/>
  <c r="AC31" i="3"/>
  <c r="AD31" i="3" s="1"/>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C21" i="3"/>
  <c r="AD21" i="3" s="1"/>
  <c r="C21" i="3"/>
  <c r="D21" i="3" s="1"/>
  <c r="AC20" i="3"/>
  <c r="AD20" i="3" s="1"/>
  <c r="C20" i="3"/>
  <c r="D20" i="3" s="1"/>
  <c r="AC19" i="3"/>
  <c r="AD19" i="3" s="1"/>
  <c r="C19" i="3"/>
  <c r="D19" i="3" s="1"/>
  <c r="A19" i="3"/>
  <c r="AC18" i="3"/>
  <c r="AD18" i="3" s="1"/>
  <c r="C18" i="3"/>
  <c r="D18" i="3" s="1"/>
  <c r="AC17" i="3"/>
  <c r="AD17" i="3" s="1"/>
  <c r="C17" i="3"/>
  <c r="D17" i="3" s="1"/>
  <c r="AC16" i="3"/>
  <c r="AD16" i="3" s="1"/>
  <c r="C16" i="3"/>
  <c r="D16" i="3" s="1"/>
  <c r="A16" i="3"/>
  <c r="AC15" i="3"/>
  <c r="AD15" i="3" s="1"/>
  <c r="C15" i="3"/>
  <c r="D15" i="3" s="1"/>
  <c r="AC14" i="3"/>
  <c r="AD14" i="3" s="1"/>
  <c r="C14" i="3"/>
  <c r="AC13" i="3"/>
  <c r="AD13" i="3" s="1"/>
  <c r="U13" i="3"/>
  <c r="C13" i="3"/>
  <c r="D13" i="3" s="1"/>
  <c r="A13" i="3"/>
  <c r="AC12" i="3"/>
  <c r="AD12" i="3" s="1"/>
  <c r="U12" i="3"/>
  <c r="V12" i="3" s="1"/>
  <c r="C12" i="3"/>
  <c r="D12" i="3" s="1"/>
  <c r="AC11" i="3"/>
  <c r="AD11" i="3" s="1"/>
  <c r="U11" i="3"/>
  <c r="C11" i="3"/>
  <c r="A11" i="3"/>
  <c r="AC10" i="3"/>
  <c r="AD10" i="3" s="1"/>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C2" i="3"/>
  <c r="AD2" i="3" s="1"/>
  <c r="U2" i="3"/>
  <c r="V2" i="3" s="1"/>
  <c r="C2" i="3"/>
  <c r="D11" i="3" l="1"/>
  <c r="G11" i="5"/>
  <c r="D10" i="3"/>
  <c r="D23" i="3"/>
  <c r="V7" i="3"/>
  <c r="V10" i="3"/>
  <c r="D3" i="3"/>
  <c r="D4" i="3"/>
  <c r="D9" i="3"/>
  <c r="AD4" i="3"/>
  <c r="AE4" i="3" s="1"/>
  <c r="V5" i="3"/>
  <c r="V9" i="3"/>
  <c r="V11" i="3"/>
  <c r="V13" i="3"/>
  <c r="V8" i="3"/>
  <c r="D45" i="3"/>
  <c r="D63" i="3"/>
  <c r="D78" i="3"/>
  <c r="D74" i="3"/>
  <c r="D56" i="3"/>
  <c r="D2" i="3"/>
  <c r="V3" i="3"/>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AE19" i="3" l="1"/>
  <c r="AE26" i="3"/>
  <c r="AE17" i="3"/>
  <c r="AE24" i="3"/>
  <c r="AE25" i="3"/>
  <c r="AE8" i="3"/>
  <c r="AE31" i="3"/>
  <c r="AE16" i="3"/>
  <c r="AE28" i="3"/>
  <c r="AE14" i="3"/>
  <c r="AE22" i="3"/>
  <c r="AE23" i="3"/>
  <c r="AE33" i="3"/>
  <c r="AE18" i="3"/>
  <c r="AE13" i="3"/>
  <c r="AE32" i="3"/>
  <c r="AE7" i="3"/>
  <c r="AE5" i="3"/>
  <c r="AE11" i="3"/>
  <c r="AE15" i="3"/>
  <c r="AE2" i="3"/>
  <c r="AF2" i="3" s="1"/>
  <c r="AE30" i="3"/>
  <c r="AE12" i="3"/>
  <c r="AE20" i="3"/>
  <c r="AE6" i="3"/>
  <c r="AE27" i="3"/>
  <c r="AE9" i="3"/>
  <c r="AE10" i="3"/>
  <c r="AE21" i="3"/>
  <c r="E56" i="3"/>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F3" i="6" s="1"/>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AF9" i="3" l="1"/>
  <c r="AF27" i="3"/>
  <c r="AF8" i="3"/>
  <c r="AF6" i="3"/>
  <c r="AF30" i="3"/>
  <c r="AF5" i="3"/>
  <c r="AF4" i="3"/>
  <c r="AF23" i="3"/>
  <c r="AF16" i="3"/>
  <c r="AF24" i="3"/>
  <c r="F4" i="6"/>
  <c r="F5" i="6" s="1"/>
  <c r="F6" i="6" s="1"/>
  <c r="F7" i="6" s="1"/>
  <c r="F8" i="6" s="1"/>
  <c r="F9" i="6" s="1"/>
  <c r="F10" i="6" s="1"/>
  <c r="F11" i="6" s="1"/>
  <c r="F12" i="6" s="1"/>
  <c r="F13" i="6" s="1"/>
  <c r="F14" i="6" s="1"/>
  <c r="F15" i="6" s="1"/>
  <c r="F16" i="6" s="1"/>
  <c r="F17" i="6" s="1"/>
  <c r="F18" i="6" s="1"/>
  <c r="F19" i="6" s="1"/>
  <c r="F20" i="6" s="1"/>
  <c r="F21" i="6" s="1"/>
  <c r="F22" i="6" s="1"/>
  <c r="F23" i="6" s="1"/>
  <c r="AF21" i="3"/>
  <c r="AF7" i="3"/>
  <c r="AF22" i="3"/>
  <c r="AF31" i="3"/>
  <c r="AF17" i="3"/>
  <c r="AF10" i="3"/>
  <c r="AF20" i="3"/>
  <c r="AF15" i="3"/>
  <c r="AF32" i="3"/>
  <c r="AF18" i="3"/>
  <c r="AF14" i="3"/>
  <c r="AF26" i="3"/>
  <c r="AF12" i="3"/>
  <c r="AF11" i="3"/>
  <c r="AF13" i="3"/>
  <c r="AF33" i="3"/>
  <c r="AF28" i="3"/>
  <c r="AF25" i="3"/>
  <c r="AF19" i="3"/>
  <c r="F32" i="3"/>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AH6" i="3" l="1"/>
  <c r="I6" i="6" s="1"/>
  <c r="AH4" i="3"/>
  <c r="I4" i="6" s="1"/>
  <c r="AI5" i="3"/>
  <c r="J5" i="6" s="1"/>
  <c r="AI6" i="3"/>
  <c r="J6" i="6" s="1"/>
  <c r="AH7" i="3"/>
  <c r="I7" i="6" s="1"/>
  <c r="AI3" i="3"/>
  <c r="J3" i="6" s="1"/>
  <c r="AH3" i="3"/>
  <c r="I3" i="6" s="1"/>
  <c r="AH8" i="3"/>
  <c r="I8" i="6" s="1"/>
  <c r="AI4" i="3"/>
  <c r="J4" i="6" s="1"/>
  <c r="AH5" i="3"/>
  <c r="I5" i="6" s="1"/>
  <c r="AI8" i="3"/>
  <c r="J8" i="6" s="1"/>
  <c r="AI7" i="3"/>
  <c r="J7" i="6" s="1"/>
  <c r="G9" i="3"/>
  <c r="G6" i="3"/>
  <c r="G5" i="6"/>
  <c r="G6" i="6" l="1"/>
  <c r="G7" i="6" l="1"/>
  <c r="G8" i="6" l="1"/>
  <c r="G9" i="6" l="1"/>
  <c r="G10" i="6" l="1"/>
  <c r="AL22" i="3"/>
  <c r="AL19" i="3"/>
  <c r="AL28" i="3"/>
  <c r="AL57" i="3"/>
  <c r="AL128" i="3"/>
  <c r="AL59" i="3"/>
  <c r="AL72" i="3"/>
  <c r="AL43" i="3"/>
  <c r="AL97" i="3"/>
  <c r="AL12" i="3"/>
  <c r="AL54" i="3"/>
  <c r="AL93" i="3"/>
  <c r="AL16" i="3"/>
  <c r="AL133" i="3"/>
  <c r="AL69" i="3"/>
  <c r="AL118" i="3"/>
  <c r="AL102" i="3"/>
  <c r="AL18" i="3"/>
  <c r="AL111" i="3"/>
  <c r="AL99" i="3"/>
  <c r="AL129" i="3"/>
  <c r="AL98" i="3"/>
  <c r="AL26" i="3"/>
  <c r="AL85" i="3"/>
  <c r="AL120" i="3"/>
  <c r="AL87" i="3"/>
  <c r="AL44" i="3"/>
  <c r="AL90" i="3"/>
  <c r="AL47" i="3"/>
  <c r="AL78" i="3"/>
  <c r="AL27" i="3"/>
  <c r="AL74" i="3"/>
  <c r="AL100" i="3"/>
  <c r="AL14" i="3"/>
  <c r="AL115" i="3"/>
  <c r="AL37" i="3"/>
  <c r="AL53" i="3"/>
  <c r="AL60" i="3"/>
  <c r="AL67" i="3"/>
  <c r="AL81" i="3"/>
  <c r="AL117" i="3"/>
  <c r="AL30" i="3"/>
  <c r="AL125" i="3"/>
  <c r="AL49" i="3"/>
  <c r="AL32" i="3"/>
  <c r="AL89" i="3"/>
  <c r="AL46" i="3"/>
  <c r="AL113" i="3"/>
  <c r="AL91" i="3"/>
  <c r="AL64" i="3"/>
  <c r="AL132" i="3"/>
  <c r="AL79" i="3"/>
  <c r="AL20" i="3"/>
  <c r="AL38" i="3"/>
  <c r="AL121" i="3"/>
  <c r="AL135" i="3"/>
  <c r="AL94" i="3"/>
  <c r="AL105" i="3"/>
  <c r="AL80" i="3"/>
  <c r="AL76" i="3"/>
  <c r="AL48" i="3"/>
  <c r="AL63" i="3"/>
  <c r="AL119" i="3"/>
  <c r="AL40" i="3"/>
  <c r="AL75" i="3"/>
  <c r="AL126" i="3"/>
  <c r="AL41" i="3"/>
  <c r="AL65" i="3"/>
  <c r="AL130" i="3"/>
  <c r="AL103" i="3"/>
  <c r="AL33" i="3"/>
  <c r="AL42" i="3"/>
  <c r="AL86" i="3"/>
  <c r="AL24" i="3"/>
  <c r="AL109" i="3"/>
  <c r="AL112" i="3"/>
  <c r="AL35" i="3"/>
  <c r="AL104" i="3"/>
  <c r="AL45" i="3"/>
  <c r="AL68" i="3"/>
  <c r="AL127" i="3"/>
  <c r="AL31" i="3"/>
  <c r="AL62" i="3"/>
  <c r="AL114" i="3"/>
  <c r="AL73" i="3"/>
  <c r="AL34" i="3"/>
  <c r="AL84" i="3"/>
  <c r="AL21" i="3"/>
  <c r="AL7" i="3"/>
  <c r="AL6" i="3"/>
  <c r="AL66" i="3"/>
  <c r="AL88" i="3"/>
  <c r="AL107" i="3"/>
  <c r="AL123" i="3"/>
  <c r="AL108" i="3"/>
  <c r="AL131" i="3"/>
  <c r="AL8" i="3"/>
  <c r="AL106" i="3"/>
  <c r="AL110" i="3"/>
  <c r="AL92" i="3"/>
  <c r="AL15" i="3"/>
  <c r="AL71" i="3"/>
  <c r="AL9" i="3"/>
  <c r="AL55" i="3"/>
  <c r="AL101" i="3"/>
  <c r="AL25" i="3"/>
  <c r="AL50" i="3"/>
  <c r="AL77" i="3"/>
  <c r="AL39" i="3"/>
  <c r="AL52" i="3"/>
  <c r="AL83" i="3"/>
  <c r="AL36" i="3"/>
  <c r="AL13" i="3"/>
  <c r="AL58" i="3"/>
  <c r="AL82" i="3"/>
  <c r="AL23" i="3"/>
  <c r="AL51" i="3"/>
  <c r="AL29" i="3"/>
  <c r="AL17" i="3"/>
  <c r="AL61" i="3"/>
  <c r="AL116" i="3"/>
  <c r="AL95" i="3"/>
  <c r="AL11" i="3"/>
  <c r="AL56" i="3"/>
  <c r="AL10" i="3"/>
  <c r="AL134" i="3"/>
  <c r="AL122" i="3"/>
  <c r="AL96" i="3"/>
  <c r="AL124" i="3"/>
  <c r="AL70" i="3"/>
  <c r="AM35" i="3" l="1"/>
  <c r="AM74" i="3"/>
  <c r="AM24" i="3"/>
  <c r="AM112" i="3"/>
  <c r="AM30" i="3"/>
  <c r="AM17" i="3"/>
  <c r="AM111" i="3"/>
  <c r="AM121" i="3"/>
  <c r="AM59" i="3"/>
  <c r="AM128" i="3"/>
  <c r="AM105" i="3"/>
  <c r="AM53" i="3"/>
  <c r="AM27" i="3"/>
  <c r="AM9" i="3"/>
  <c r="AM57" i="3"/>
  <c r="AM62" i="3"/>
  <c r="AM115" i="3"/>
  <c r="AM42" i="3"/>
  <c r="AM82" i="3"/>
  <c r="AM80" i="3"/>
  <c r="AM130" i="3"/>
  <c r="AM38" i="3"/>
  <c r="AM33" i="3"/>
  <c r="AM7" i="3"/>
  <c r="AM83" i="3"/>
  <c r="AM108" i="3"/>
  <c r="AM12" i="3"/>
  <c r="AM129" i="3"/>
  <c r="AM71" i="3"/>
  <c r="AM47" i="3"/>
  <c r="AM93" i="3"/>
  <c r="AM106" i="3"/>
  <c r="AM91" i="3"/>
  <c r="AM45" i="3"/>
  <c r="AM68" i="3"/>
  <c r="AM25" i="3"/>
  <c r="AM72" i="3"/>
  <c r="AM110" i="3"/>
  <c r="AM133" i="3"/>
  <c r="AM49" i="3"/>
  <c r="AM88" i="3"/>
  <c r="AM117" i="3"/>
  <c r="AM116" i="3"/>
  <c r="AM43" i="3"/>
  <c r="AM70" i="3"/>
  <c r="AM124" i="3"/>
  <c r="AM135" i="3"/>
  <c r="AM120" i="3"/>
  <c r="AM86" i="3"/>
  <c r="AM67" i="3"/>
  <c r="AM77" i="3"/>
  <c r="AM34" i="3"/>
  <c r="AM51" i="3"/>
  <c r="AM36" i="3"/>
  <c r="AM87" i="3"/>
  <c r="AM64" i="3"/>
  <c r="AM102" i="3"/>
  <c r="AM23" i="3"/>
  <c r="AM109" i="3"/>
  <c r="AM107" i="3"/>
  <c r="AM56" i="3"/>
  <c r="AM14" i="3"/>
  <c r="AM61" i="3"/>
  <c r="AM95" i="3"/>
  <c r="AM118" i="3"/>
  <c r="AM10" i="3"/>
  <c r="AM66" i="3"/>
  <c r="AM50" i="3"/>
  <c r="AM78" i="3"/>
  <c r="AM22" i="3"/>
  <c r="AM63" i="3"/>
  <c r="AM92" i="3"/>
  <c r="AM123" i="3"/>
  <c r="AM69" i="3"/>
  <c r="AM134" i="3"/>
  <c r="AM81" i="3"/>
  <c r="AM48" i="3"/>
  <c r="AM54" i="3"/>
  <c r="AM103" i="3"/>
  <c r="AM126" i="3"/>
  <c r="AM94" i="3"/>
  <c r="AM37" i="3"/>
  <c r="AM58" i="3"/>
  <c r="AM132" i="3"/>
  <c r="AM52" i="3"/>
  <c r="AM76" i="3"/>
  <c r="AM79" i="3"/>
  <c r="AM60" i="3"/>
  <c r="AM55" i="3"/>
  <c r="AM11" i="3"/>
  <c r="AM97" i="3"/>
  <c r="AM113" i="3"/>
  <c r="AM104" i="3"/>
  <c r="AM85" i="3"/>
  <c r="AM114" i="3"/>
  <c r="AM96" i="3"/>
  <c r="AM125" i="3"/>
  <c r="AM98" i="3"/>
  <c r="AM39" i="3"/>
  <c r="AM19" i="3"/>
  <c r="AM15" i="3"/>
  <c r="AM31" i="3"/>
  <c r="AM13" i="3"/>
  <c r="AM99" i="3"/>
  <c r="AM18" i="3"/>
  <c r="AM131" i="3"/>
  <c r="AM41" i="3"/>
  <c r="AM32" i="3"/>
  <c r="AM127" i="3"/>
  <c r="AM20" i="3"/>
  <c r="AM44" i="3"/>
  <c r="AM28" i="3"/>
  <c r="AM75" i="3"/>
  <c r="AM100" i="3"/>
  <c r="AM6" i="3"/>
  <c r="AM122" i="3"/>
  <c r="AM26" i="3"/>
  <c r="AM8" i="3"/>
  <c r="AM65" i="3"/>
  <c r="AM16" i="3"/>
  <c r="AM84" i="3"/>
  <c r="AM29" i="3"/>
  <c r="AM73" i="3"/>
  <c r="AM89" i="3"/>
  <c r="AM46" i="3"/>
  <c r="AM101" i="3"/>
  <c r="AM21" i="3"/>
  <c r="AM40" i="3"/>
  <c r="AM90" i="3"/>
  <c r="AM119" i="3"/>
  <c r="G11" i="6"/>
  <c r="AP7" i="3" l="1"/>
  <c r="AP12" i="3"/>
  <c r="AO32" i="3"/>
  <c r="AN32" i="3" s="1"/>
  <c r="J30" i="3" s="1"/>
  <c r="N30" i="3" s="1"/>
  <c r="AP67" i="3"/>
  <c r="AP115" i="3"/>
  <c r="AP55" i="3"/>
  <c r="AO17" i="3"/>
  <c r="AN17" i="3" s="1"/>
  <c r="J15" i="3" s="1"/>
  <c r="AO23" i="3"/>
  <c r="AN23" i="3" s="1"/>
  <c r="J21" i="3" s="1"/>
  <c r="AP48" i="3"/>
  <c r="AP42" i="3"/>
  <c r="AO10" i="3"/>
  <c r="AN10" i="3" s="1"/>
  <c r="J8" i="3" s="1"/>
  <c r="AO30" i="3"/>
  <c r="AN30" i="3" s="1"/>
  <c r="J28" i="3" s="1"/>
  <c r="AO24" i="3"/>
  <c r="AN24" i="3" s="1"/>
  <c r="J22" i="3" s="1"/>
  <c r="AO37" i="3"/>
  <c r="AN37" i="3" s="1"/>
  <c r="J35" i="3" s="1"/>
  <c r="AP105" i="3"/>
  <c r="AO34" i="3"/>
  <c r="AN34" i="3" s="1"/>
  <c r="J32" i="3" s="1"/>
  <c r="K32" i="3" s="1"/>
  <c r="AO21" i="3"/>
  <c r="AN21" i="3" s="1"/>
  <c r="J19" i="3" s="1"/>
  <c r="AP19" i="3"/>
  <c r="AO8" i="3"/>
  <c r="AN8" i="3" s="1"/>
  <c r="J6" i="3" s="1"/>
  <c r="AP14" i="3"/>
  <c r="F12" i="3" s="1"/>
  <c r="AP43" i="3"/>
  <c r="AP92" i="3"/>
  <c r="AP117" i="3"/>
  <c r="AP15" i="3"/>
  <c r="AP102" i="3"/>
  <c r="AP32" i="3"/>
  <c r="AP26" i="3"/>
  <c r="AP69" i="3"/>
  <c r="AO7" i="3"/>
  <c r="AN7" i="3" s="1"/>
  <c r="J5" i="3" s="1"/>
  <c r="AO14" i="3"/>
  <c r="AN14" i="3" s="1"/>
  <c r="J12" i="3" s="1"/>
  <c r="AP74" i="3"/>
  <c r="F6" i="3" s="1"/>
  <c r="AP84" i="3"/>
  <c r="AP75" i="3"/>
  <c r="AP13" i="3"/>
  <c r="AP81" i="3"/>
  <c r="AP27" i="3"/>
  <c r="AP79" i="3"/>
  <c r="AP107" i="3"/>
  <c r="AP35" i="3"/>
  <c r="F5" i="3" s="1"/>
  <c r="M30" i="3"/>
  <c r="N35" i="3"/>
  <c r="AP78" i="3"/>
  <c r="AP96" i="3"/>
  <c r="AP30" i="3"/>
  <c r="F7" i="3" s="1"/>
  <c r="AP51" i="3"/>
  <c r="AP91" i="3"/>
  <c r="AP58" i="3"/>
  <c r="AO27" i="3"/>
  <c r="AN27" i="3" s="1"/>
  <c r="J25" i="3" s="1"/>
  <c r="AP33" i="3"/>
  <c r="AO40" i="3"/>
  <c r="AN40" i="3" s="1"/>
  <c r="J38" i="3" s="1"/>
  <c r="AP8" i="3"/>
  <c r="AO39" i="3"/>
  <c r="AN39" i="3" s="1"/>
  <c r="J37" i="3" s="1"/>
  <c r="AP52" i="3"/>
  <c r="AP87" i="3"/>
  <c r="AO16" i="3"/>
  <c r="AN16" i="3" s="1"/>
  <c r="J14" i="3" s="1"/>
  <c r="AP68" i="3"/>
  <c r="AO13" i="3"/>
  <c r="AN13" i="3" s="1"/>
  <c r="J11" i="3" s="1"/>
  <c r="AP114" i="3"/>
  <c r="AP73" i="3"/>
  <c r="AO26" i="3"/>
  <c r="AN26" i="3" s="1"/>
  <c r="J24" i="3" s="1"/>
  <c r="AO41" i="3"/>
  <c r="AN41" i="3" s="1"/>
  <c r="J39" i="3" s="1"/>
  <c r="AP71" i="3"/>
  <c r="AO44" i="3"/>
  <c r="AN44" i="3" s="1"/>
  <c r="J42" i="3" s="1"/>
  <c r="AP64" i="3"/>
  <c r="AP112" i="3"/>
  <c r="AP83" i="3"/>
  <c r="AP70" i="3"/>
  <c r="AO38" i="3"/>
  <c r="AN38" i="3" s="1"/>
  <c r="J36" i="3" s="1"/>
  <c r="K36" i="3" s="1"/>
  <c r="AP22" i="3"/>
  <c r="AP21" i="3"/>
  <c r="AP120" i="3"/>
  <c r="AP99" i="3"/>
  <c r="AP49" i="3"/>
  <c r="AP31" i="3"/>
  <c r="F4" i="3" s="1"/>
  <c r="AP90" i="3"/>
  <c r="AP106" i="3"/>
  <c r="AP89" i="3"/>
  <c r="AP46" i="3"/>
  <c r="F8" i="3" s="1"/>
  <c r="AP93" i="3"/>
  <c r="AP109" i="3"/>
  <c r="AP85" i="3"/>
  <c r="AP16" i="3"/>
  <c r="F15" i="3" s="1"/>
  <c r="AP57" i="3"/>
  <c r="AP97" i="3"/>
  <c r="AP6" i="3"/>
  <c r="AP11" i="3"/>
  <c r="AP116" i="3"/>
  <c r="AO6" i="3"/>
  <c r="AN6" i="3" s="1"/>
  <c r="J4" i="3" s="1"/>
  <c r="AP9" i="3"/>
  <c r="AO18" i="3"/>
  <c r="AN18" i="3" s="1"/>
  <c r="J16" i="3" s="1"/>
  <c r="AO28" i="3"/>
  <c r="AN28" i="3" s="1"/>
  <c r="J26" i="3" s="1"/>
  <c r="N26" i="3" s="1"/>
  <c r="AP72" i="3"/>
  <c r="AP98" i="3"/>
  <c r="AP53" i="3"/>
  <c r="AP103" i="3"/>
  <c r="AP100" i="3"/>
  <c r="AP28" i="3"/>
  <c r="AP47" i="3"/>
  <c r="AP66" i="3"/>
  <c r="AP76" i="3"/>
  <c r="AO19" i="3"/>
  <c r="AN19" i="3" s="1"/>
  <c r="J17" i="3" s="1"/>
  <c r="AP108" i="3"/>
  <c r="AO29" i="3"/>
  <c r="AN29" i="3" s="1"/>
  <c r="J27" i="3" s="1"/>
  <c r="N27" i="3" s="1"/>
  <c r="AP118" i="3"/>
  <c r="F13" i="3" s="1"/>
  <c r="AP41" i="3"/>
  <c r="F14" i="3" s="1"/>
  <c r="AP111" i="3"/>
  <c r="AP18" i="3"/>
  <c r="AO42" i="3"/>
  <c r="AN42" i="3" s="1"/>
  <c r="J40" i="3" s="1"/>
  <c r="N40" i="3" s="1"/>
  <c r="AP50" i="3"/>
  <c r="AO15" i="3"/>
  <c r="AN15" i="3" s="1"/>
  <c r="J13" i="3" s="1"/>
  <c r="AP80" i="3"/>
  <c r="AO31" i="3"/>
  <c r="AN31" i="3" s="1"/>
  <c r="J29" i="3" s="1"/>
  <c r="N29" i="3" s="1"/>
  <c r="AP25" i="3"/>
  <c r="AO25" i="3"/>
  <c r="AN25" i="3" s="1"/>
  <c r="J23" i="3" s="1"/>
  <c r="AP37" i="3"/>
  <c r="F2" i="3" s="1"/>
  <c r="AO33" i="3"/>
  <c r="AN33" i="3" s="1"/>
  <c r="J31" i="3" s="1"/>
  <c r="AP104" i="3"/>
  <c r="AP17" i="3"/>
  <c r="AP88" i="3"/>
  <c r="AP36" i="3"/>
  <c r="AO11" i="3"/>
  <c r="AN11" i="3" s="1"/>
  <c r="J9" i="3" s="1"/>
  <c r="AP95" i="3"/>
  <c r="AP56" i="3"/>
  <c r="AP54" i="3"/>
  <c r="AP119" i="3"/>
  <c r="AP44" i="3"/>
  <c r="AP82" i="3"/>
  <c r="AP23" i="3"/>
  <c r="AP61" i="3"/>
  <c r="AP63" i="3"/>
  <c r="F10" i="3" s="1"/>
  <c r="AP29" i="3"/>
  <c r="AO36" i="3"/>
  <c r="AN36" i="3" s="1"/>
  <c r="J34" i="3" s="1"/>
  <c r="AP34" i="3"/>
  <c r="AO35" i="3"/>
  <c r="AN35" i="3" s="1"/>
  <c r="J33" i="3" s="1"/>
  <c r="AP113" i="3"/>
  <c r="AO22" i="3"/>
  <c r="AN22" i="3" s="1"/>
  <c r="J20" i="3" s="1"/>
  <c r="AP24" i="3"/>
  <c r="AP20" i="3"/>
  <c r="AP60" i="3"/>
  <c r="AO43" i="3"/>
  <c r="AN43" i="3" s="1"/>
  <c r="J41" i="3" s="1"/>
  <c r="AO9" i="3"/>
  <c r="AN9" i="3" s="1"/>
  <c r="J7" i="3" s="1"/>
  <c r="AP121" i="3"/>
  <c r="AP10" i="3"/>
  <c r="AP101" i="3"/>
  <c r="AO12" i="3"/>
  <c r="AN12" i="3" s="1"/>
  <c r="J10" i="3" s="1"/>
  <c r="AP94" i="3"/>
  <c r="AP65" i="3"/>
  <c r="AO20" i="3"/>
  <c r="AN20" i="3" s="1"/>
  <c r="J18" i="3" s="1"/>
  <c r="AP86" i="3"/>
  <c r="AP39" i="3"/>
  <c r="AP110" i="3"/>
  <c r="AP59" i="3"/>
  <c r="AP40" i="3"/>
  <c r="F3" i="3" s="1"/>
  <c r="AP77" i="3"/>
  <c r="AP45" i="3"/>
  <c r="AP38" i="3"/>
  <c r="F9" i="3" s="1"/>
  <c r="AP62" i="3"/>
  <c r="N28" i="3"/>
  <c r="K38" i="3"/>
  <c r="M38" i="3"/>
  <c r="N38" i="3"/>
  <c r="K37" i="3"/>
  <c r="N37" i="3"/>
  <c r="M37" i="3"/>
  <c r="F11" i="3"/>
  <c r="G12" i="6"/>
  <c r="M26" i="3" l="1"/>
  <c r="K26" i="3"/>
  <c r="K27" i="3"/>
  <c r="M27" i="3"/>
  <c r="M40" i="3"/>
  <c r="M29" i="3"/>
  <c r="K30" i="3"/>
  <c r="K40" i="3"/>
  <c r="M36" i="3"/>
  <c r="N32" i="3"/>
  <c r="M32" i="3"/>
  <c r="K35" i="3"/>
  <c r="M35" i="3"/>
  <c r="M28" i="3"/>
  <c r="K28" i="3"/>
  <c r="K29" i="3"/>
  <c r="N36" i="3"/>
  <c r="N39" i="3"/>
  <c r="M39" i="3"/>
  <c r="K39" i="3"/>
  <c r="N34" i="3"/>
  <c r="K34" i="3"/>
  <c r="M34" i="3"/>
  <c r="M31" i="3"/>
  <c r="N31" i="3"/>
  <c r="K33" i="3"/>
  <c r="M33" i="3"/>
  <c r="N33" i="3"/>
  <c r="K6" i="3"/>
  <c r="M6" i="3" s="1"/>
  <c r="K31" i="3"/>
  <c r="K25" i="3"/>
  <c r="M25" i="3" s="1"/>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J22" i="9"/>
  <c r="J27" i="9"/>
  <c r="E29" i="9"/>
  <c r="J16" i="9"/>
  <c r="I23" i="9"/>
  <c r="J19" i="9"/>
  <c r="I26" i="9"/>
  <c r="E18" i="9"/>
  <c r="D28" i="9"/>
  <c r="F12" i="9"/>
  <c r="C21" i="9"/>
  <c r="F8" i="9"/>
  <c r="I18" i="9"/>
  <c r="D9" i="9"/>
  <c r="D20" i="9"/>
  <c r="F11" i="9"/>
  <c r="D5" i="9"/>
  <c r="J8" i="9"/>
  <c r="D16" i="9"/>
  <c r="D25" i="9"/>
  <c r="C6" i="9"/>
  <c r="E10" i="9"/>
  <c r="D19" i="9"/>
  <c r="I13" i="9"/>
  <c r="D31" i="9"/>
  <c r="E9" i="9"/>
  <c r="I8" i="9"/>
  <c r="C15" i="9"/>
  <c r="I21" i="9"/>
  <c r="D23" i="9"/>
  <c r="D15" i="9"/>
  <c r="D27" i="9"/>
  <c r="C29" i="9"/>
  <c r="I9" i="9"/>
  <c r="E11" i="9"/>
  <c r="J10" i="9"/>
  <c r="J13" i="9"/>
  <c r="E14" i="9"/>
  <c r="E30" i="9"/>
  <c r="J11" i="9"/>
  <c r="C20" i="9"/>
  <c r="E23" i="9"/>
  <c r="F30" i="9"/>
  <c r="J9" i="9"/>
  <c r="I31" i="9"/>
  <c r="C24" i="9"/>
  <c r="J20" i="9"/>
  <c r="C33" i="9"/>
  <c r="F29" i="9"/>
  <c r="J30" i="9"/>
  <c r="D24" i="9"/>
  <c r="A14" i="3"/>
  <c r="F33" i="9"/>
  <c r="E33" i="9"/>
  <c r="I33" i="9"/>
  <c r="I27" i="9"/>
  <c r="F6" i="9"/>
  <c r="I6" i="9"/>
  <c r="D22" i="9"/>
  <c r="F26" i="9"/>
  <c r="E31" i="9"/>
  <c r="D7" i="9"/>
  <c r="D13" i="9"/>
  <c r="I19" i="9"/>
  <c r="D33" i="9"/>
  <c r="E20" i="9"/>
  <c r="J29" i="9"/>
  <c r="J6" i="9"/>
  <c r="I11" i="9"/>
  <c r="F19" i="9"/>
  <c r="J26" i="9"/>
  <c r="E21" i="9"/>
  <c r="F18" i="9"/>
  <c r="A20" i="3"/>
  <c r="D21" i="9"/>
  <c r="F25" i="9"/>
  <c r="F15" i="9"/>
  <c r="E26" i="9"/>
  <c r="I5" i="9"/>
  <c r="C14" i="9"/>
  <c r="C31" i="9"/>
  <c r="C11" i="9"/>
  <c r="I15" i="9"/>
  <c r="E5" i="9"/>
  <c r="C5" i="9"/>
  <c r="J25" i="9"/>
  <c r="I12" i="9"/>
  <c r="J21" i="9"/>
  <c r="F21" i="9"/>
  <c r="J23" i="9"/>
  <c r="C27" i="9"/>
  <c r="F28" i="9"/>
  <c r="E22" i="9"/>
  <c r="J18" i="9"/>
  <c r="E15" i="9"/>
  <c r="E19" i="9"/>
  <c r="E7" i="9"/>
  <c r="I22" i="9"/>
  <c r="D30" i="9"/>
  <c r="J7" i="9"/>
  <c r="C12" i="9"/>
  <c r="I10" i="9"/>
  <c r="C26" i="9"/>
  <c r="F9" i="9"/>
  <c r="E8" i="9"/>
  <c r="I14" i="9"/>
  <c r="F24" i="9"/>
  <c r="J4" i="9"/>
  <c r="F16" i="9"/>
  <c r="E27" i="9"/>
  <c r="C16" i="9"/>
  <c r="D6" i="9"/>
  <c r="C4" i="9"/>
  <c r="C19" i="9"/>
  <c r="C8" i="9"/>
  <c r="F23" i="9"/>
  <c r="A17" i="3"/>
  <c r="C13" i="9"/>
  <c r="E25" i="9"/>
  <c r="I25" i="9"/>
  <c r="F22" i="9"/>
  <c r="I16" i="9"/>
  <c r="F13" i="9"/>
  <c r="D12" i="9"/>
  <c r="D11" i="9"/>
  <c r="D4" i="9"/>
  <c r="J33" i="9"/>
  <c r="J28" i="9"/>
  <c r="D26" i="9"/>
  <c r="C30" i="9"/>
  <c r="D18" i="9"/>
  <c r="J14" i="9"/>
  <c r="F31" i="9"/>
  <c r="E4" i="9"/>
  <c r="F5" i="9"/>
  <c r="C25" i="9"/>
  <c r="C10" i="9"/>
  <c r="F14" i="9"/>
  <c r="C7" i="9"/>
  <c r="E12" i="9"/>
  <c r="D8" i="9"/>
  <c r="E6" i="9"/>
  <c r="C23" i="9"/>
  <c r="F20" i="9"/>
  <c r="E16" i="9"/>
  <c r="I30" i="9"/>
  <c r="F10" i="9"/>
  <c r="F7" i="9"/>
  <c r="I7" i="9"/>
  <c r="J31" i="9"/>
  <c r="C28" i="9"/>
  <c r="J12" i="9"/>
  <c r="I20" i="9"/>
  <c r="I24" i="9"/>
  <c r="C18" i="9"/>
  <c r="I28" i="9"/>
  <c r="E13" i="9"/>
  <c r="D29" i="9"/>
  <c r="J5" i="9"/>
  <c r="I29" i="9"/>
  <c r="D14" i="9"/>
  <c r="E28" i="9"/>
  <c r="J15" i="9"/>
  <c r="F27" i="9"/>
  <c r="E24" i="9"/>
  <c r="I4" i="9"/>
  <c r="C22" i="9"/>
  <c r="D10" i="9"/>
  <c r="F4" i="9"/>
  <c r="J24" i="9"/>
  <c r="C9" i="9"/>
  <c r="G18" i="9" l="1"/>
  <c r="H25" i="9"/>
  <c r="G21" i="9"/>
  <c r="H29" i="9"/>
  <c r="G27" i="9"/>
  <c r="H28" i="9"/>
  <c r="H9" i="9"/>
  <c r="G29" i="9"/>
  <c r="H20" i="9"/>
  <c r="G31" i="9"/>
  <c r="G7" i="9"/>
  <c r="H30" i="9"/>
  <c r="H11" i="9"/>
  <c r="H10" i="9"/>
  <c r="H5" i="9"/>
  <c r="H14" i="9"/>
  <c r="H7" i="9"/>
  <c r="G6" i="9"/>
  <c r="G5" i="9"/>
  <c r="H4" i="9"/>
  <c r="G9" i="9"/>
  <c r="G28" i="9"/>
  <c r="G13" i="9"/>
  <c r="H27" i="9"/>
  <c r="H23" i="9"/>
  <c r="G23" i="9"/>
  <c r="G10" i="9"/>
  <c r="G8" i="9"/>
  <c r="G24" i="9"/>
  <c r="G33" i="9"/>
  <c r="H21" i="9"/>
  <c r="H19" i="9"/>
  <c r="H8" i="9"/>
  <c r="H6" i="9"/>
  <c r="G14" i="9"/>
  <c r="G16" i="9"/>
  <c r="G19" i="9"/>
  <c r="H12" i="9"/>
  <c r="H33" i="9"/>
  <c r="G4" i="9"/>
  <c r="G22" i="9"/>
  <c r="G30" i="9"/>
  <c r="G26" i="9"/>
  <c r="G11" i="9"/>
  <c r="H31" i="9"/>
  <c r="G25" i="9"/>
  <c r="H24" i="9"/>
  <c r="H13" i="9"/>
  <c r="H26" i="9"/>
  <c r="H18" i="9"/>
  <c r="G20" i="9"/>
  <c r="G15" i="9"/>
  <c r="H15" i="9"/>
  <c r="G12" i="9"/>
  <c r="H16" i="9"/>
  <c r="H22" i="9"/>
  <c r="O7" i="3"/>
  <c r="P7" i="3" s="1"/>
  <c r="O17" i="3"/>
  <c r="Q17" i="3" s="1"/>
  <c r="O19" i="3"/>
  <c r="P19" i="3" s="1"/>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G15" i="6"/>
  <c r="Q7" i="3" l="1"/>
  <c r="Q26" i="3"/>
  <c r="P17" i="3"/>
  <c r="Q24" i="3"/>
  <c r="B3" i="6"/>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D3" i="6"/>
  <c r="D10" i="6" s="1"/>
  <c r="C3" i="6"/>
  <c r="C10" i="6" l="1"/>
  <c r="C26" i="6" s="1"/>
  <c r="D26" i="6"/>
</calcChain>
</file>

<file path=xl/comments1.xml><?xml version="1.0" encoding="utf-8"?>
<comments xmlns="http://schemas.openxmlformats.org/spreadsheetml/2006/main">
  <authors>
    <author>Takashi Aoki</author>
  </authors>
  <commentList>
    <comment ref="E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authors>
    <author>lumia.630 aokit</author>
  </authors>
  <commentList>
    <comment ref="R1" authorId="0" shapeId="0">
      <text>
        <r>
          <rPr>
            <b/>
            <sz val="9"/>
            <color indexed="81"/>
            <rFont val="ＭＳ Ｐゴシック"/>
            <family val="3"/>
            <charset val="128"/>
          </rPr>
          <t>年間集計と合算したいところ</t>
        </r>
      </text>
    </comment>
    <comment ref="P2"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text>
        <r>
          <rPr>
            <b/>
            <sz val="9"/>
            <color indexed="81"/>
            <rFont val="ＭＳ Ｐゴシック"/>
            <family val="3"/>
            <charset val="128"/>
          </rPr>
          <t>書式設定済</t>
        </r>
      </text>
    </comment>
    <comment ref="S2" authorId="0" shapeId="0">
      <text>
        <r>
          <rPr>
            <b/>
            <sz val="9"/>
            <color indexed="81"/>
            <rFont val="ＭＳ Ｐゴシック"/>
            <family val="3"/>
            <charset val="128"/>
          </rPr>
          <t>書式設定済</t>
        </r>
      </text>
    </comment>
    <comment ref="T2" authorId="0" shapeId="0">
      <text>
        <r>
          <rPr>
            <b/>
            <sz val="9"/>
            <color indexed="81"/>
            <rFont val="ＭＳ Ｐゴシック"/>
            <family val="3"/>
            <charset val="128"/>
          </rPr>
          <t>書式設定済</t>
        </r>
      </text>
    </comment>
    <comment ref="M3"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6"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authors>
    <author>Takashi Aoki</author>
  </authors>
  <commentList>
    <comment ref="F3" authorId="0" shapeId="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<sst xmlns="http://schemas.openxmlformats.org/spreadsheetml/2006/main" count="6147" uniqueCount="1862">
  <si>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</si>
  <si>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</si>
  <si>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</si>
  <si>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</si>
  <si>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</si>
  <si>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</si>
  <si>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</si>
  <si>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</si>
  <si>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</si>
  <si>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</si>
  <si>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</si>
  <si>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</si>
  <si>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</si>
  <si>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</si>
  <si>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</si>
  <si>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</si>
  <si>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</si>
  <si>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</si>
  <si>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</si>
  <si>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</si>
  <si>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</si>
  <si>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</si>
  <si>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</si>
  <si>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</si>
  <si>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</si>
  <si>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</si>
  <si>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</si>
  <si>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</si>
  <si>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</si>
  <si>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</si>
  <si>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</si>
  <si>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</si>
  <si>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</si>
  <si>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</si>
  <si>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</si>
  <si>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</si>
  <si>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</si>
  <si>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</si>
  <si>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</si>
  <si>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</si>
  <si>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</si>
  <si>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</si>
  <si>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</si>
  <si>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</si>
  <si>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</si>
  <si>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</si>
  <si>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</si>
  <si>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</si>
  <si>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</si>
  <si>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</si>
  <si>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</si>
  <si>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</si>
  <si>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</si>
  <si>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</si>
  <si>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</si>
  <si>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</si>
  <si>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</si>
  <si>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</si>
  <si>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</si>
  <si>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</si>
  <si>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</si>
  <si>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</si>
  <si>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</si>
  <si>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</si>
  <si>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</si>
  <si>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</si>
  <si>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</si>
  <si>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</si>
  <si>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</si>
  <si>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</si>
  <si>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</si>
  <si>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</si>
  <si>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</si>
  <si>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</si>
  <si>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</si>
  <si>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</si>
  <si>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</si>
  <si>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</si>
  <si>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</si>
  <si>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</si>
  <si>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</si>
  <si>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</si>
  <si>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</si>
  <si>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</si>
  <si>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</si>
  <si>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</si>
  <si>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</si>
  <si>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</si>
  <si>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</si>
  <si>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</si>
  <si>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</si>
  <si>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</si>
  <si>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</si>
  <si>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</si>
  <si>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</si>
  <si>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</si>
  <si>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</si>
  <si>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</si>
  <si>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</si>
  <si>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</si>
  <si>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</si>
  <si>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</si>
  <si>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</si>
  <si>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</si>
  <si>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</si>
  <si>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</si>
  <si>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</si>
  <si>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</si>
  <si>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</si>
  <si>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</si>
  <si>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</si>
  <si>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</si>
  <si>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</si>
  <si>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</si>
  <si>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</si>
  <si>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</si>
  <si>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</si>
  <si>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</si>
  <si>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</si>
  <si>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</si>
  <si>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</si>
  <si>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</si>
  <si>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</si>
  <si>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</si>
  <si>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</si>
  <si>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</si>
  <si>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</si>
  <si>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</si>
  <si>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</si>
  <si>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</si>
  <si>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</si>
  <si>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</si>
  <si>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</si>
  <si>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</si>
  <si>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</si>
  <si>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</si>
  <si>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</si>
  <si>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</si>
  <si>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</si>
  <si>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</si>
  <si>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</si>
  <si>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</si>
  <si>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</si>
  <si>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</si>
  <si>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</si>
  <si>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</si>
  <si>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</si>
  <si>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</si>
  <si>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</si>
  <si>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</si>
  <si>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</si>
  <si>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</si>
  <si>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</si>
  <si>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</si>
  <si>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</si>
  <si>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</si>
  <si>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</si>
  <si>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</si>
  <si>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</si>
  <si>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</si>
  <si>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</si>
  <si>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</si>
  <si>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</si>
  <si>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</si>
  <si>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</si>
  <si>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</si>
  <si>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</si>
  <si>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</si>
  <si>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</si>
  <si>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</si>
  <si>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</si>
  <si>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</si>
  <si>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</si>
  <si>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</si>
  <si>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</si>
  <si>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</si>
  <si>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</si>
  <si>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</si>
  <si>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</si>
  <si>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</si>
  <si>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</si>
  <si>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</si>
  <si>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</si>
  <si>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</si>
  <si>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</si>
  <si>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</si>
  <si>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</si>
  <si>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</si>
  <si>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</si>
  <si>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</si>
  <si>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</si>
  <si>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</si>
  <si>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</si>
  <si>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</si>
  <si>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</si>
  <si>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</si>
  <si>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</si>
  <si>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</si>
  <si>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</si>
  <si>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</si>
  <si>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</si>
  <si>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</si>
  <si>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</si>
  <si>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</si>
  <si>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</si>
  <si>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</si>
  <si>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</si>
  <si>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</si>
  <si>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</si>
  <si>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</si>
  <si>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</si>
  <si>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</si>
  <si>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</si>
  <si>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</si>
  <si>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</si>
  <si>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</si>
  <si>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</si>
  <si>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</si>
  <si>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</si>
  <si>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</si>
  <si>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</si>
  <si>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</si>
  <si>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</si>
  <si>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</si>
  <si>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</si>
  <si>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</si>
  <si>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</si>
  <si>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</si>
  <si>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</si>
  <si>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</si>
  <si>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</si>
  <si>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</si>
  <si>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</si>
  <si>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</si>
  <si>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</si>
  <si>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</si>
  <si>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</si>
  <si>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</si>
  <si>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</si>
  <si>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</si>
  <si>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</si>
  <si>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</si>
  <si>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</si>
  <si>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</si>
  <si>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</si>
  <si>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</si>
  <si>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</si>
  <si>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</si>
  <si>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</si>
  <si>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</si>
  <si>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</si>
  <si>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</si>
  <si>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</si>
  <si>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</si>
  <si>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</si>
  <si>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</si>
  <si>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</si>
  <si>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</si>
  <si>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</si>
  <si>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</si>
  <si>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</si>
  <si>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</si>
  <si>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</si>
  <si>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</si>
  <si>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</si>
  <si>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</si>
  <si>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</si>
  <si>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</si>
  <si>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</si>
  <si>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</si>
  <si>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</si>
  <si>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</si>
  <si>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</si>
  <si>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</si>
  <si>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</si>
  <si>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</si>
  <si>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</si>
  <si>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</si>
  <si>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</si>
  <si>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</si>
  <si>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</si>
  <si>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</si>
  <si>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</si>
  <si>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</si>
  <si>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</si>
  <si>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</si>
  <si>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</si>
  <si>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</si>
  <si>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</si>
  <si>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</si>
  <si>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</si>
  <si>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</si>
  <si>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</si>
  <si>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</si>
  <si>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</si>
  <si>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</si>
  <si>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</si>
  <si>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</si>
  <si>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</si>
  <si>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</si>
  <si>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</si>
  <si>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</si>
  <si>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</si>
  <si>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</si>
  <si>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</si>
  <si>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</si>
  <si>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</si>
  <si>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</si>
  <si>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</si>
  <si>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</si>
  <si>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</si>
  <si>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</si>
  <si>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</si>
  <si>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</si>
  <si>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</si>
  <si>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</si>
  <si>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</si>
  <si>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</si>
  <si>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</si>
  <si>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</si>
  <si>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</si>
  <si>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</si>
  <si>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</si>
  <si>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</si>
  <si>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</si>
  <si>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</si>
  <si>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</si>
  <si>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</si>
  <si>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</si>
  <si>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</si>
  <si>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</si>
  <si>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</si>
  <si>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</si>
  <si>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</si>
  <si>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</si>
  <si>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</si>
  <si>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</si>
  <si>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</si>
  <si>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</si>
  <si>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</si>
  <si>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</si>
  <si>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</si>
  <si>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</si>
  <si>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</si>
  <si>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</si>
  <si>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</si>
  <si>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</si>
  <si>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</si>
  <si>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</si>
  <si>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</si>
  <si>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</si>
  <si>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</si>
  <si>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</si>
  <si>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</si>
  <si>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</si>
  <si>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</si>
  <si>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</si>
  <si>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</si>
  <si>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</si>
  <si>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</si>
  <si>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</si>
  <si>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</si>
  <si>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</si>
  <si>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</si>
  <si>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</si>
  <si>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</si>
  <si>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</si>
  <si>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</si>
  <si>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</si>
  <si>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</si>
  <si>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</si>
  <si>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</si>
  <si>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</si>
  <si>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</si>
  <si>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</si>
  <si>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</si>
  <si>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</si>
  <si>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</si>
  <si>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</si>
  <si>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</si>
  <si>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</si>
  <si>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</si>
  <si>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</si>
  <si>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</si>
  <si>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</si>
  <si>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</si>
  <si>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</si>
  <si>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</si>
  <si>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</si>
  <si>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</si>
  <si>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</si>
  <si>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</si>
  <si>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</si>
  <si>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</si>
  <si>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</si>
  <si>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</si>
  <si>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</si>
  <si>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</si>
  <si>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</si>
  <si>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</si>
  <si>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</si>
  <si>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</si>
  <si>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</si>
  <si>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</si>
  <si>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</si>
  <si>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</si>
  <si>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</si>
  <si>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</si>
  <si>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</si>
  <si>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</si>
  <si>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</si>
  <si>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</si>
  <si>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</si>
  <si>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</si>
  <si>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</si>
  <si>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</si>
  <si>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</si>
  <si>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</si>
  <si>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</si>
  <si>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</si>
  <si>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</si>
  <si>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</si>
  <si>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</si>
  <si>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</si>
  <si>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</si>
  <si>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</si>
  <si>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</si>
  <si>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</si>
  <si>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</si>
  <si>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</si>
  <si>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</si>
  <si>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</si>
  <si>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</si>
  <si>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</si>
  <si>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</si>
  <si>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</si>
  <si>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</si>
  <si>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</si>
  <si>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</si>
  <si>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</si>
  <si>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</si>
  <si>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</si>
  <si>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</si>
  <si>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</si>
  <si>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</si>
  <si>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</si>
  <si>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</si>
  <si>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</si>
  <si>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</si>
  <si>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</si>
  <si>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</si>
  <si>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</si>
  <si>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</si>
  <si>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</si>
  <si>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</si>
  <si>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</si>
  <si>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</si>
  <si>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</si>
  <si>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</si>
  <si>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</si>
  <si>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</si>
  <si>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</si>
  <si>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</si>
  <si>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</si>
  <si>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</si>
  <si>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</si>
  <si>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</si>
  <si>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</si>
  <si>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</si>
  <si>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</si>
  <si>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</si>
  <si>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</si>
  <si>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</si>
  <si>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</si>
  <si>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</si>
  <si>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</si>
  <si>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</si>
  <si>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</si>
  <si>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</si>
  <si>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</si>
  <si>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</si>
  <si>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</si>
  <si>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</si>
  <si>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</si>
  <si>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</si>
  <si>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</si>
  <si>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</si>
  <si>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</si>
  <si>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</si>
  <si>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</si>
  <si>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</si>
  <si>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</si>
  <si>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</si>
  <si>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</si>
  <si>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</si>
  <si>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</si>
  <si>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</si>
  <si>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</si>
  <si>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</si>
  <si>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</si>
  <si>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</si>
  <si>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</si>
  <si>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</si>
  <si>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</si>
  <si>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</si>
  <si>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</si>
  <si>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</si>
  <si>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</si>
  <si>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</si>
  <si>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</si>
  <si>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</si>
  <si>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</si>
  <si>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</si>
  <si>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</si>
  <si>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</si>
  <si>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</si>
  <si>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</si>
  <si>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</si>
  <si>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</si>
  <si>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</si>
  <si>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</si>
  <si>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</si>
  <si>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</si>
  <si>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</si>
  <si>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</si>
  <si>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</si>
  <si>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</si>
  <si>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</si>
  <si>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</si>
  <si>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</si>
  <si>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</si>
  <si>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</si>
  <si>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</si>
  <si>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</si>
  <si>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</si>
  <si>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</si>
  <si>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</si>
  <si>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</si>
  <si>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</si>
  <si>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</si>
  <si>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</si>
  <si>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</si>
  <si>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</si>
  <si>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</si>
  <si>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</si>
  <si>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</si>
  <si>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</si>
  <si>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</si>
  <si>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</si>
  <si>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</si>
  <si>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</si>
  <si>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</si>
  <si>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</si>
  <si>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</si>
  <si>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</si>
  <si>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</si>
  <si>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</si>
  <si>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</si>
  <si>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</si>
  <si>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</si>
  <si>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</si>
  <si>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</si>
  <si>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</si>
  <si>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</si>
  <si>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</si>
  <si>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</si>
  <si>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</si>
  <si>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</si>
  <si>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</si>
  <si>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</si>
  <si>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</si>
  <si>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</si>
  <si>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</si>
  <si>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</si>
  <si>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</si>
  <si>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</si>
  <si>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</si>
  <si>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</si>
  <si>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</si>
  <si>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</si>
  <si>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</si>
  <si>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</si>
  <si>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</si>
  <si>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</si>
  <si>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</si>
  <si>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</si>
  <si>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</si>
  <si>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</si>
  <si>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</si>
  <si>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</si>
  <si>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</si>
  <si>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</si>
  <si>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</si>
  <si>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</si>
  <si>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</si>
  <si>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</si>
  <si>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</si>
  <si>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</si>
  <si>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</si>
  <si>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</si>
  <si>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</si>
  <si>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</si>
  <si>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</si>
  <si>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</si>
  <si>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</si>
  <si>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</si>
  <si>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</si>
  <si>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</si>
  <si>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</si>
  <si>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</si>
  <si>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</si>
  <si>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</si>
  <si>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</si>
  <si>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</si>
  <si>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</si>
  <si>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</si>
  <si>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</si>
  <si>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</si>
  <si>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</si>
  <si>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</si>
  <si>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</si>
  <si>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</si>
  <si>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</si>
  <si>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</si>
  <si>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</si>
  <si>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</si>
  <si>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</si>
  <si>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</si>
  <si>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</si>
  <si>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</si>
  <si>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</si>
  <si>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</si>
  <si>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</si>
  <si>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</si>
  <si>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</si>
  <si>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</si>
  <si>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</si>
  <si>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</si>
  <si>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</si>
  <si>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</si>
  <si>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</si>
  <si>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</si>
  <si>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</si>
  <si>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</si>
  <si>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</si>
  <si>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</si>
  <si>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</si>
  <si>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</si>
  <si>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</si>
  <si>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</si>
  <si>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</si>
  <si>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</si>
  <si>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</si>
  <si>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</si>
  <si>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</si>
  <si>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</si>
  <si>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</si>
  <si>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</si>
  <si>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</si>
  <si>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</si>
  <si>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</si>
  <si>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</si>
  <si>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</si>
  <si>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</si>
  <si>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</si>
  <si>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</si>
  <si>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</si>
  <si>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</si>
  <si>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</si>
  <si>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</si>
  <si>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</si>
  <si>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</si>
  <si>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</si>
  <si>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</si>
  <si>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</si>
  <si>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</si>
  <si>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</si>
  <si>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</si>
  <si>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</si>
  <si>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</si>
  <si>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</si>
  <si>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</si>
  <si>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</si>
  <si>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</si>
  <si>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</si>
  <si>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</si>
  <si>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</si>
  <si>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</si>
  <si>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</si>
  <si>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</si>
  <si>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</si>
  <si>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</si>
  <si>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</si>
  <si>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</si>
  <si>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</si>
  <si>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</si>
  <si>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</si>
  <si>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</si>
  <si>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</si>
  <si>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</si>
  <si>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</si>
  <si>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</si>
  <si>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</si>
  <si>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</si>
  <si>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</si>
  <si>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</si>
  <si>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</si>
  <si>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</si>
  <si>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</si>
  <si>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</si>
  <si>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</si>
  <si>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</si>
  <si>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</si>
  <si>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</si>
  <si>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</si>
  <si>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</si>
  <si>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</si>
  <si>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</si>
  <si>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</si>
  <si>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</si>
  <si>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</si>
  <si>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</si>
  <si>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</si>
  <si>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</si>
  <si>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</si>
  <si>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</si>
  <si>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</si>
  <si>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</si>
  <si>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</si>
  <si>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</si>
  <si>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</si>
  <si>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</si>
  <si>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</si>
  <si>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</si>
  <si>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</si>
  <si>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</si>
  <si>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</si>
  <si>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</si>
  <si>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</si>
  <si>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</si>
  <si>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</si>
  <si>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</si>
  <si>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</si>
  <si>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</si>
  <si>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</si>
  <si>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</si>
  <si>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</si>
  <si>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</si>
  <si>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</si>
  <si>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</si>
  <si>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</si>
  <si>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</si>
  <si>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</si>
  <si>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</si>
  <si>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</si>
  <si>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</si>
  <si>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</si>
  <si>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</si>
  <si>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</si>
  <si>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</si>
  <si>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</si>
  <si>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</si>
  <si>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</si>
  <si>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</si>
  <si>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</si>
  <si>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</si>
  <si>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</si>
  <si>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</si>
  <si>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</si>
  <si>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</si>
  <si>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</si>
  <si>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</si>
  <si>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</si>
  <si>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</si>
  <si>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</si>
  <si>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</si>
  <si>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</si>
  <si>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</si>
  <si>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</si>
  <si>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</si>
  <si>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</si>
  <si>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</si>
  <si>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</si>
  <si>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</si>
  <si>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</si>
  <si>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</si>
  <si>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</si>
  <si>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</si>
  <si>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</si>
  <si>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</si>
  <si>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</si>
  <si>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</si>
  <si>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</si>
  <si>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</si>
  <si>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</si>
  <si>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</si>
  <si>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</si>
  <si>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</si>
  <si>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</si>
  <si>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</si>
  <si>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</si>
  <si>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</si>
  <si>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</si>
  <si>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</si>
  <si>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</si>
  <si>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</si>
  <si>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</si>
  <si>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</si>
  <si>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</si>
  <si>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</si>
  <si>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</si>
  <si>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</si>
  <si>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</si>
  <si>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</si>
  <si>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</si>
  <si>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</si>
  <si>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</si>
  <si>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</si>
  <si>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</si>
  <si>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</si>
  <si>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</si>
  <si>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</si>
  <si>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</si>
  <si>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</si>
  <si>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</si>
  <si>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</si>
  <si>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</si>
  <si>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</si>
  <si>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</si>
  <si>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</si>
  <si>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</si>
  <si>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</si>
  <si>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</si>
  <si>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</si>
  <si>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</si>
  <si>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</si>
  <si>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</si>
  <si>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</si>
  <si>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</si>
  <si>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</si>
  <si>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</si>
  <si>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</si>
  <si>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</si>
  <si>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</si>
  <si>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</si>
  <si>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</si>
  <si>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</si>
  <si>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</si>
  <si>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</si>
  <si>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</si>
  <si>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</si>
  <si>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</si>
  <si>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</si>
  <si>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</si>
  <si>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</si>
  <si>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</si>
  <si>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</si>
  <si>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</si>
  <si>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</si>
  <si>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</si>
  <si>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</si>
  <si>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</si>
  <si>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</si>
  <si>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</si>
  <si>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</si>
  <si>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</si>
  <si>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</si>
  <si>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</si>
  <si>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</si>
  <si>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</si>
  <si>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</si>
  <si>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</si>
  <si>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</si>
  <si>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</si>
  <si>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</si>
  <si>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</si>
  <si>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</si>
  <si>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</si>
  <si>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</si>
  <si>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</si>
  <si>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</si>
  <si>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</si>
  <si>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</si>
  <si>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</si>
  <si>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</si>
  <si>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</si>
  <si>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</si>
  <si>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</si>
  <si>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</si>
  <si>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</si>
  <si>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</si>
  <si>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</si>
  <si>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</si>
  <si>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</si>
  <si>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</si>
  <si>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</si>
  <si>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</si>
  <si>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</si>
  <si>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</si>
  <si>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</si>
  <si>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</si>
  <si>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</si>
  <si>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</si>
  <si>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</si>
  <si>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</si>
  <si>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</si>
  <si>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</si>
  <si>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</si>
  <si>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</si>
  <si>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</si>
  <si>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</si>
  <si>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</si>
  <si>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</si>
  <si>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</si>
  <si>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</si>
  <si>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</si>
  <si>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</si>
  <si>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</si>
  <si>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</si>
  <si>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</si>
  <si>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</si>
  <si>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</si>
  <si>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</si>
  <si>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</si>
  <si>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</si>
  <si>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</si>
  <si>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</si>
  <si>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</si>
  <si>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</si>
  <si>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</si>
  <si>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</si>
  <si>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</si>
  <si>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</si>
  <si>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</si>
  <si>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</si>
  <si>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</si>
  <si>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</si>
  <si>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</si>
  <si>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</si>
  <si>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</si>
  <si>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</si>
  <si>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</si>
  <si>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</si>
  <si>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</si>
  <si>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</si>
  <si>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</si>
  <si>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</si>
  <si>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</si>
  <si>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</si>
  <si>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</si>
  <si>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</si>
  <si>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</si>
  <si>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</si>
  <si>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</si>
  <si>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</si>
  <si>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</si>
  <si>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</si>
  <si>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</si>
  <si>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</si>
  <si>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</si>
  <si>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</si>
  <si>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</si>
  <si>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</si>
  <si>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</si>
  <si>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</si>
  <si>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</si>
  <si>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</si>
  <si>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</si>
  <si>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</si>
  <si>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</si>
  <si>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</si>
  <si>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</si>
  <si>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</si>
  <si>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</si>
  <si>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</si>
  <si>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</si>
  <si>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</si>
  <si>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</si>
  <si>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</si>
  <si>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</si>
  <si>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</si>
  <si>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</si>
  <si>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</si>
  <si>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</si>
  <si>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</si>
  <si>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</si>
  <si>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</si>
  <si>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</si>
  <si>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</si>
  <si>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</si>
  <si>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</si>
  <si>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</si>
  <si>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</si>
  <si>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</si>
  <si>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</si>
  <si>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</si>
  <si>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</si>
  <si>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</si>
  <si>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</si>
  <si>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</si>
  <si>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</si>
  <si>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</si>
  <si>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</si>
  <si>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</si>
  <si>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</si>
  <si>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</si>
  <si>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</si>
  <si>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</si>
  <si>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</si>
  <si>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</si>
  <si>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</si>
  <si>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</si>
  <si>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</si>
  <si>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</si>
  <si>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</si>
  <si>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</si>
  <si>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</si>
  <si>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</si>
  <si>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</si>
  <si>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</si>
  <si>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</si>
  <si>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</si>
  <si>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</si>
  <si>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</si>
  <si>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</si>
  <si>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</si>
  <si>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</si>
  <si>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</si>
  <si>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</si>
  <si>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</si>
  <si>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</si>
  <si>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</si>
  <si>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</si>
  <si>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</si>
  <si>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</si>
  <si>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</si>
  <si>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</si>
  <si>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</si>
  <si>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</si>
  <si>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</si>
  <si>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</si>
  <si>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</si>
  <si>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</si>
  <si>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</si>
  <si>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</si>
  <si>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</si>
  <si>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</si>
  <si>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</si>
  <si>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</si>
  <si>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</si>
  <si>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</si>
  <si>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</si>
  <si>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</si>
  <si>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</si>
  <si>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</si>
  <si>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</si>
  <si>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</si>
  <si>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</si>
  <si>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</si>
  <si>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</si>
  <si>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</si>
  <si>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</si>
  <si>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</si>
  <si>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</si>
  <si>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</si>
  <si>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</si>
  <si>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</si>
  <si>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</si>
  <si>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</si>
  <si>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</si>
  <si>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</si>
  <si>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</si>
  <si>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</si>
  <si>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</si>
  <si>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</si>
  <si>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</si>
  <si>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</si>
  <si>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</si>
  <si>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</si>
  <si>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</si>
  <si>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</si>
  <si>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</si>
  <si>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</si>
  <si>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</si>
  <si>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</si>
  <si>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</si>
  <si>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</si>
  <si>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</si>
  <si>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</si>
  <si>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</si>
  <si>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</si>
  <si>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</si>
  <si>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</si>
  <si>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</si>
  <si>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</si>
  <si>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</si>
  <si>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</si>
  <si>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</si>
  <si>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</si>
  <si>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</si>
  <si>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</si>
  <si>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</si>
  <si>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</si>
  <si>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</si>
  <si>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</si>
  <si>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</si>
  <si>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</si>
  <si>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</si>
  <si>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</si>
  <si>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</si>
  <si>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</si>
  <si>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</si>
  <si>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</si>
  <si>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</si>
  <si>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</si>
  <si>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</si>
  <si>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</si>
  <si>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</si>
  <si>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</si>
  <si>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</si>
  <si>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</si>
  <si>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</si>
  <si>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</si>
  <si>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</si>
  <si>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</si>
  <si>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</si>
  <si>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</si>
  <si>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</si>
  <si>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</si>
  <si>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</si>
  <si>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</si>
  <si>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</si>
  <si>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</si>
  <si>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</si>
  <si>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</si>
  <si>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</si>
  <si>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</si>
  <si>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</si>
  <si>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</si>
  <si>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</si>
  <si>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</si>
  <si>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</si>
  <si>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</si>
  <si>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</si>
  <si>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</si>
  <si>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</si>
  <si>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</si>
  <si>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</si>
  <si>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</si>
  <si>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</si>
  <si>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</si>
  <si>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</si>
  <si>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</si>
  <si>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</si>
  <si>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</si>
  <si>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</si>
  <si>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</si>
  <si>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</si>
  <si>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</si>
  <si>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</si>
  <si>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</si>
  <si>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</si>
  <si>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</si>
  <si>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</si>
  <si>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</si>
  <si>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</si>
  <si>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</si>
  <si>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</si>
  <si>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</si>
  <si>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</si>
  <si>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</si>
  <si>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</si>
  <si>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</si>
  <si>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</si>
  <si>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</si>
  <si>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</si>
  <si>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</si>
  <si>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</si>
  <si>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</si>
  <si>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</si>
  <si>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</si>
  <si>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</si>
  <si>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</si>
  <si>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</si>
  <si>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</si>
  <si>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</si>
  <si>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</si>
  <si>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</si>
  <si>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</si>
  <si>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</si>
  <si>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</si>
  <si>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</si>
  <si>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</si>
  <si>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</si>
  <si>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</si>
  <si>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</si>
  <si>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</si>
  <si>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</si>
  <si>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</si>
  <si>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</si>
  <si>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</si>
  <si>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</si>
  <si>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</si>
  <si>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</si>
  <si>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</si>
  <si>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</si>
  <si>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</si>
  <si>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</si>
  <si>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</si>
  <si>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</si>
  <si>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</si>
  <si>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</si>
  <si>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</si>
  <si>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</si>
  <si>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</si>
  <si>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</si>
  <si>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</si>
  <si>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</si>
  <si>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</si>
  <si>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</si>
  <si>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</si>
  <si>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</si>
  <si>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</si>
  <si>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</si>
  <si>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</si>
  <si>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</si>
  <si>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</si>
  <si>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</si>
  <si>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</si>
  <si>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</si>
  <si>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</si>
  <si>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</si>
  <si>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</si>
  <si>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</si>
  <si>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</si>
  <si>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</si>
  <si>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</si>
  <si>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</si>
  <si>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</si>
  <si>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</si>
  <si>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</si>
  <si>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</si>
  <si>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</si>
  <si>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</si>
  <si>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</si>
  <si>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</si>
  <si>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</si>
  <si>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</si>
  <si>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</si>
  <si>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</si>
  <si>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</si>
  <si>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</si>
  <si>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</si>
  <si>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</si>
  <si>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</si>
  <si>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</si>
  <si>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</si>
  <si>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</si>
  <si>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</si>
  <si>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</si>
  <si>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</si>
  <si>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</si>
  <si>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</si>
  <si>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</si>
  <si>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</si>
  <si>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</si>
  <si>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</si>
  <si>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</si>
  <si>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</si>
  <si>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</si>
  <si>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</si>
  <si>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</si>
  <si>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</si>
  <si>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</si>
  <si>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</si>
  <si>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</si>
  <si>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</si>
  <si>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</si>
  <si>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</si>
  <si>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</si>
  <si>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</si>
  <si>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</si>
  <si>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</si>
  <si>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</si>
  <si>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</si>
  <si>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</si>
  <si>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</si>
  <si>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</si>
  <si>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</si>
  <si>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</si>
  <si>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</si>
  <si>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</si>
  <si>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</si>
  <si>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</si>
  <si>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</si>
  <si>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</si>
  <si>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</si>
  <si>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</si>
  <si>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</si>
  <si>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</si>
  <si>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</si>
  <si>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</si>
  <si>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</si>
  <si>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</si>
  <si>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</si>
  <si>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</si>
  <si>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</si>
  <si>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</si>
  <si>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</si>
  <si>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</si>
  <si>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</si>
  <si>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</si>
  <si>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</si>
  <si>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</si>
  <si>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</si>
  <si>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</si>
  <si>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</si>
  <si>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</si>
  <si>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</si>
  <si>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</si>
  <si>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</si>
  <si>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</si>
  <si>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</si>
  <si>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</si>
  <si>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</si>
  <si>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</si>
  <si>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</si>
  <si>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</si>
  <si>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</si>
  <si>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</si>
  <si>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</si>
  <si>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</si>
  <si>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</si>
  <si>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</si>
  <si>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</si>
  <si>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</si>
  <si>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</si>
  <si>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</si>
  <si>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</si>
  <si>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</si>
  <si>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</si>
  <si>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</si>
  <si>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</si>
  <si>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</si>
  <si>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</si>
  <si>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</si>
  <si>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</si>
  <si>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</si>
  <si>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</si>
  <si>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</si>
  <si>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</si>
  <si>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</si>
  <si>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</si>
  <si>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</si>
  <si>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</si>
  <si>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</si>
  <si>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</si>
  <si>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</si>
  <si>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</si>
  <si>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</si>
  <si>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</si>
  <si>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</si>
  <si>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</si>
  <si>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</si>
  <si>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</si>
  <si>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</si>
  <si>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</si>
  <si>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</si>
  <si>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</si>
  <si>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</si>
  <si>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</si>
  <si>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</si>
  <si>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</si>
  <si>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</si>
  <si>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</si>
  <si>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</si>
  <si>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</si>
  <si>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</si>
  <si>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</si>
  <si>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</si>
  <si>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</si>
  <si>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</si>
  <si>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</si>
  <si>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</si>
  <si>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</si>
  <si>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</si>
  <si>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</si>
  <si>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</si>
  <si>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</si>
  <si>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</si>
  <si>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</si>
  <si>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</si>
  <si>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</si>
  <si>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</si>
  <si>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</si>
  <si>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</si>
  <si>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</si>
  <si>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</si>
  <si>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</si>
  <si>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</si>
  <si>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</si>
  <si>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</si>
  <si>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</si>
  <si>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</si>
  <si>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</si>
  <si>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</si>
  <si>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</si>
  <si>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</si>
  <si>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</si>
  <si>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</si>
  <si>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</si>
  <si>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</si>
  <si>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</si>
  <si>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</si>
  <si>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</si>
  <si>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</si>
  <si>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</si>
  <si>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</si>
  <si>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</si>
  <si>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</si>
  <si>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</si>
  <si>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</si>
  <si>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</si>
  <si>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</si>
  <si>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</si>
  <si>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</si>
  <si>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</si>
  <si>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</si>
  <si>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</si>
  <si>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</si>
  <si>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</si>
  <si>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</si>
  <si>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</si>
  <si>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</si>
  <si>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</si>
  <si>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</si>
  <si>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</si>
  <si>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</si>
  <si>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</si>
  <si>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</si>
  <si>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</si>
  <si>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</si>
  <si>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</si>
  <si>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</si>
  <si>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</si>
  <si>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</si>
  <si>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</si>
  <si>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</si>
  <si>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</si>
  <si>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</si>
  <si>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</si>
  <si>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</si>
  <si>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</si>
  <si>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</si>
  <si>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</si>
  <si>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</si>
  <si>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</si>
  <si>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</si>
  <si>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</si>
  <si>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</si>
  <si>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</si>
  <si>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</si>
  <si>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</si>
  <si>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</si>
  <si>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</si>
  <si>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</si>
  <si>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</si>
  <si>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</si>
  <si>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</si>
  <si>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</si>
  <si>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</si>
  <si>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</si>
  <si>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</si>
  <si>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</si>
  <si>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</si>
  <si>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</si>
  <si>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</si>
  <si>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</si>
  <si>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</si>
  <si>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</si>
  <si>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</si>
  <si>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</si>
  <si>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</si>
  <si>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</si>
  <si>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</si>
  <si>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</si>
  <si>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</si>
  <si>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</si>
  <si>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</si>
  <si>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</si>
  <si>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</si>
  <si>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</si>
  <si>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</si>
  <si>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</si>
  <si>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</si>
  <si>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</si>
  <si>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</si>
  <si>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</si>
  <si>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</si>
  <si>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</si>
  <si>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</si>
  <si>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</si>
  <si>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</si>
  <si>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</si>
  <si>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</si>
  <si>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</si>
  <si>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</si>
  <si>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</si>
  <si>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</si>
  <si>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</si>
  <si>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</si>
  <si>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</si>
  <si>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</si>
  <si>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</si>
  <si>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</si>
  <si>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</si>
  <si>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</si>
  <si>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</si>
  <si>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</si>
  <si>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</si>
  <si>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</si>
  <si>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</si>
  <si>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</si>
  <si>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</si>
  <si>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</si>
  <si>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</si>
  <si>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</si>
  <si>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</si>
  <si>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</si>
  <si>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</si>
  <si>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</si>
  <si>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</si>
  <si>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</si>
  <si>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</si>
  <si>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</si>
  <si>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</si>
  <si>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</si>
  <si>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</si>
  <si>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</si>
  <si>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</si>
  <si>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</si>
  <si>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</si>
  <si>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</si>
  <si>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</si>
  <si>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</si>
  <si>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</si>
  <si>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</si>
  <si>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</si>
  <si>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</si>
  <si>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</si>
  <si>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</si>
  <si>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</si>
  <si>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</si>
  <si>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</si>
  <si>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</si>
  <si>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</si>
  <si>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</si>
  <si>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</si>
  <si>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</si>
  <si>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</si>
  <si>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</si>
  <si>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</si>
  <si>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</si>
  <si>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</si>
  <si>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</si>
  <si>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</si>
  <si>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</si>
  <si>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</si>
  <si>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</si>
  <si>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</si>
  <si>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</si>
  <si>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</si>
  <si>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</si>
  <si>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</si>
  <si>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</si>
  <si>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</si>
  <si>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</si>
  <si>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</si>
  <si>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</si>
  <si>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</si>
  <si>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</si>
  <si>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</si>
  <si>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</si>
  <si>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</si>
  <si>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</si>
  <si>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</si>
  <si>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</si>
  <si>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</si>
  <si>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</si>
  <si>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</si>
  <si>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</si>
  <si>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</si>
  <si>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</si>
  <si>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</si>
  <si>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</si>
  <si>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</si>
  <si>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</si>
  <si>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</si>
  <si>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</si>
  <si>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</si>
  <si>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</si>
  <si>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</si>
  <si>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</si>
  <si>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</si>
  <si>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</si>
  <si>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</si>
  <si>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</si>
  <si>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</si>
  <si>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</si>
  <si>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</si>
  <si>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</si>
  <si>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</si>
  <si>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</si>
  <si>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</si>
  <si>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</si>
  <si>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</si>
  <si>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</si>
  <si>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</si>
  <si>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</si>
  <si>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</si>
  <si>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</si>
  <si>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</si>
  <si>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</si>
  <si>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</si>
  <si>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</si>
  <si>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</si>
  <si>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</si>
  <si>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</si>
  <si>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</si>
  <si>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</si>
  <si>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</si>
  <si>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</si>
  <si>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</si>
  <si>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</si>
  <si>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</si>
  <si>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</si>
  <si>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</si>
  <si>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</si>
  <si>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</si>
  <si>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</si>
  <si>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</si>
  <si>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</si>
  <si>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</si>
  <si>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</si>
  <si>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</si>
  <si>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</si>
  <si>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</si>
  <si>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</si>
  <si>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</si>
  <si>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</si>
  <si>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</si>
  <si>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</si>
  <si>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</si>
  <si>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</si>
  <si>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</si>
  <si>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</si>
  <si>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</si>
  <si>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</si>
  <si>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</si>
  <si>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</si>
  <si>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</si>
  <si>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</si>
  <si>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</si>
  <si>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</si>
  <si>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</si>
  <si>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</si>
  <si>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</si>
  <si>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</si>
  <si>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</si>
  <si>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</si>
  <si>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</si>
  <si>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</si>
  <si>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</si>
  <si>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</si>
  <si>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</si>
  <si>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</si>
  <si>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</si>
  <si>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</si>
  <si>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</si>
  <si>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</si>
  <si>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</si>
  <si>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</si>
  <si>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</si>
  <si>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</si>
  <si>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</si>
  <si>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</si>
  <si>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</si>
  <si>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</si>
  <si>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</si>
  <si>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</si>
  <si>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</si>
  <si>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</si>
  <si>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</si>
  <si>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</si>
  <si>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</si>
  <si>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</si>
  <si>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</si>
  <si>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</si>
  <si>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</si>
  <si>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</si>
  <si>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</si>
  <si>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</si>
  <si>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</si>
  <si>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</si>
  <si>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</si>
  <si>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</si>
  <si>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</si>
  <si>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</si>
  <si>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</si>
  <si>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</si>
  <si>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</si>
  <si>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</si>
  <si>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</si>
  <si>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</si>
  <si>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</si>
  <si>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</si>
  <si>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</si>
  <si>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</si>
  <si>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</si>
  <si>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</si>
  <si>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</si>
  <si>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</si>
  <si>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</si>
  <si>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</si>
  <si>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</si>
  <si>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</si>
  <si>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</si>
  <si>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</si>
  <si>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</si>
  <si>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</si>
  <si>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</si>
  <si>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</si>
  <si>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</si>
  <si>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</si>
  <si>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</si>
  <si>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</si>
  <si>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</si>
  <si>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</si>
  <si>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</si>
  <si>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</si>
  <si>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</si>
  <si>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</si>
  <si>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</si>
  <si>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</si>
  <si>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</si>
  <si>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</si>
  <si>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</si>
  <si>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</si>
  <si>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</si>
  <si>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</si>
  <si>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</si>
  <si>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</si>
  <si>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</si>
  <si>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</si>
  <si>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</si>
  <si>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</si>
  <si>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</si>
  <si>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</si>
  <si>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</si>
  <si>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</si>
  <si>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</si>
  <si>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</si>
  <si>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</si>
  <si>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</si>
  <si>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</si>
  <si>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</si>
  <si>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</si>
  <si>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</si>
  <si>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</si>
  <si>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</si>
  <si>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</si>
  <si>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</si>
  <si>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</si>
  <si>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</si>
  <si>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</si>
  <si>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</si>
  <si>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</si>
  <si>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</si>
  <si>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</si>
  <si>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</si>
  <si>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</si>
  <si>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</si>
  <si>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</si>
  <si>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</si>
  <si>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</si>
  <si>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</si>
  <si>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</si>
  <si>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</si>
  <si>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</si>
  <si>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</si>
  <si>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</si>
  <si>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</si>
  <si>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</si>
  <si>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</si>
  <si>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</si>
  <si>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</si>
  <si>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</si>
  <si>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</si>
  <si>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</si>
  <si>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</si>
  <si>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</si>
  <si>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</si>
  <si>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</si>
  <si>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</si>
  <si>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</si>
  <si>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</si>
  <si>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</si>
  <si>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</si>
  <si>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</si>
  <si>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</si>
  <si>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</si>
  <si>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</si>
  <si>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</si>
  <si>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</si>
  <si>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</si>
  <si>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</si>
  <si>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</si>
  <si>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</si>
  <si>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</si>
  <si>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</si>
  <si>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</si>
  <si>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</si>
  <si>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</si>
  <si>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</si>
  <si>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</si>
  <si>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</si>
  <si>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</si>
  <si>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</si>
  <si>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</si>
  <si>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</si>
  <si>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</si>
  <si>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</si>
  <si>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</si>
  <si>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</si>
  <si>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</si>
  <si>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</si>
  <si>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</si>
  <si>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</si>
  <si>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</si>
  <si>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</si>
  <si>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</si>
  <si>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</si>
  <si>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</si>
  <si>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</si>
  <si>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phoneticPr fontId="6"/>
  </si>
  <si>
    <t>あ総務</t>
    <phoneticPr fontId="6"/>
  </si>
  <si>
    <t>あ法務</t>
    <phoneticPr fontId="6"/>
  </si>
  <si>
    <t>あ啓発</t>
    <phoneticPr fontId="6"/>
  </si>
  <si>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</si>
  <si>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</si>
  <si>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</si>
  <si>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仕向地集計＿トップ</t>
    <rPh sb="0" eb="3">
      <t>シムケチ</t>
    </rPh>
    <phoneticPr fontId="6"/>
  </si>
  <si>
    <t>（千円）</t>
    <rPh sb="1" eb="3">
      <t>センエン</t>
    </rPh>
    <phoneticPr fontId="6"/>
  </si>
  <si>
    <t>包括許可(貨物)</t>
    <rPh sb="0" eb="2">
      <t>ホウカツ</t>
    </rPh>
    <rPh sb="2" eb="4">
      <t>キョカ</t>
    </rPh>
    <rPh sb="5" eb="7">
      <t>カモツ</t>
    </rPh>
    <phoneticPr fontId="6"/>
  </si>
  <si>
    <t>包括許可(役務)</t>
    <rPh sb="0" eb="2">
      <t>ホウカツ</t>
    </rPh>
    <rPh sb="2" eb="4">
      <t>キョカ</t>
    </rPh>
    <rPh sb="5" eb="7">
      <t>エキム</t>
    </rPh>
    <phoneticPr fontId="6"/>
  </si>
  <si>
    <t>仕向地別名</t>
    <rPh sb="0" eb="3">
      <t>シムケチ</t>
    </rPh>
    <rPh sb="3" eb="5">
      <t>ベツメイ</t>
    </rPh>
    <phoneticPr fontId="6"/>
  </si>
  <si>
    <t>仕向地別名回数</t>
    <rPh sb="0" eb="3">
      <t>シムケチ</t>
    </rPh>
    <rPh sb="3" eb="5">
      <t>ベツメイ</t>
    </rPh>
    <rPh sb="5" eb="7">
      <t>カイスウ</t>
    </rPh>
    <phoneticPr fontId="6"/>
  </si>
  <si>
    <t>仕向地件数＿トップ</t>
    <rPh sb="0" eb="3">
      <t>シムケチ</t>
    </rPh>
    <rPh sb="3" eb="5">
      <t>ケンスウ</t>
    </rPh>
    <phoneticPr fontId="6"/>
  </si>
  <si>
    <t>仕向地金額＿トップ</t>
    <rPh sb="0" eb="3">
      <t>シムケチ</t>
    </rPh>
    <rPh sb="3" eb="5">
      <t>キンガク</t>
    </rPh>
    <phoneticPr fontId="6"/>
  </si>
  <si>
    <t>組織</t>
    <rPh sb="0" eb="2">
      <t>ソシキ</t>
    </rPh>
    <phoneticPr fontId="6"/>
  </si>
  <si>
    <t>開発用の設定</t>
    <rPh sb="0" eb="2">
      <t>カイハツ</t>
    </rPh>
    <rPh sb="2" eb="3">
      <t>ヨウ</t>
    </rPh>
    <rPh sb="4" eb="6">
      <t>セッテイ</t>
    </rPh>
    <phoneticPr fontId="6"/>
  </si>
  <si>
    <t>未割当別名</t>
    <rPh sb="0" eb="3">
      <t>ミワリアテ</t>
    </rPh>
    <rPh sb="3" eb="5">
      <t>ベツメイ</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</si>
</sst>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 numFmtId="181" formatCode="#,##0,"/>
  </numFmts>
  <fonts count="37">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85">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s>
  <cellStyleXfs count="6">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xf numFmtId="0" fontId="33" fillId="0" borderId="0"/>
  </cellStyleXfs>
  <cellXfs count="214">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180" fontId="30" fillId="0" borderId="0" xfId="0" applyNumberFormat="1" applyFont="1">
      <alignment vertical="center"/>
    </xf>
    <xf numFmtId="0" fontId="30" fillId="0" borderId="67" xfId="0" applyFont="1" applyBorder="1">
      <alignment vertical="center"/>
    </xf>
    <xf numFmtId="0" fontId="34" fillId="0" borderId="0" xfId="5" applyFont="1" applyAlignment="1"/>
    <xf numFmtId="0" fontId="35" fillId="0" borderId="0" xfId="5" applyFont="1" applyAlignment="1"/>
    <xf numFmtId="0" fontId="30" fillId="8" borderId="2" xfId="0" applyFont="1" applyFill="1" applyBorder="1">
      <alignment vertical="center"/>
    </xf>
    <xf numFmtId="0" fontId="30" fillId="8" borderId="11" xfId="0" applyFont="1" applyFill="1" applyBorder="1">
      <alignment vertical="center"/>
    </xf>
    <xf numFmtId="0" fontId="30" fillId="0" borderId="0" xfId="0" applyFont="1" applyBorder="1">
      <alignment vertical="center"/>
    </xf>
    <xf numFmtId="0" fontId="29" fillId="0" borderId="2" xfId="0" applyFont="1" applyBorder="1">
      <alignment vertical="center"/>
    </xf>
    <xf numFmtId="181" fontId="29" fillId="0" borderId="2" xfId="0" applyNumberFormat="1" applyFont="1" applyBorder="1">
      <alignment vertical="center"/>
    </xf>
    <xf numFmtId="181" fontId="30" fillId="0" borderId="0" xfId="0" applyNumberFormat="1" applyFont="1">
      <alignment vertical="center"/>
    </xf>
    <xf numFmtId="181" fontId="30" fillId="0" borderId="0" xfId="0" applyNumberFormat="1" applyFont="1" applyAlignment="1">
      <alignment horizontal="right" vertical="center"/>
    </xf>
    <xf numFmtId="181" fontId="30" fillId="0" borderId="67" xfId="0" applyNumberFormat="1" applyFont="1" applyBorder="1">
      <alignment vertical="center"/>
    </xf>
    <xf numFmtId="181" fontId="30" fillId="0" borderId="2" xfId="0" applyNumberFormat="1" applyFont="1" applyBorder="1">
      <alignment vertical="center"/>
    </xf>
    <xf numFmtId="0" fontId="29" fillId="0" borderId="0" xfId="0" applyNumberFormat="1" applyFont="1" applyBorder="1">
      <alignment vertical="center"/>
    </xf>
    <xf numFmtId="0" fontId="30" fillId="0" borderId="2" xfId="0" applyFont="1" applyBorder="1">
      <alignment vertical="center"/>
    </xf>
    <xf numFmtId="0" fontId="30" fillId="0" borderId="28" xfId="0" applyFont="1" applyBorder="1">
      <alignment vertical="center"/>
    </xf>
    <xf numFmtId="0" fontId="29" fillId="0" borderId="2" xfId="0" applyNumberFormat="1" applyFont="1" applyBorder="1">
      <alignment vertical="center"/>
    </xf>
    <xf numFmtId="0" fontId="30" fillId="0" borderId="68" xfId="0" applyFont="1" applyBorder="1">
      <alignment vertical="center"/>
    </xf>
    <xf numFmtId="0" fontId="34" fillId="0" borderId="0" xfId="5" applyFont="1" applyAlignment="1"/>
    <xf numFmtId="0" fontId="9" fillId="8" borderId="72" xfId="2" applyFont="1" applyFill="1" applyBorder="1" applyAlignment="1">
      <alignment horizontal="center" vertical="top"/>
    </xf>
    <xf numFmtId="0" fontId="9" fillId="0" borderId="73" xfId="2" applyFont="1" applyFill="1" applyBorder="1" applyAlignment="1">
      <alignment horizontal="center" vertical="top"/>
    </xf>
    <xf numFmtId="0" fontId="9" fillId="0" borderId="74" xfId="2" applyFont="1" applyFill="1" applyBorder="1" applyAlignment="1">
      <alignment horizontal="center" vertical="top"/>
    </xf>
    <xf numFmtId="0" fontId="9" fillId="8" borderId="75" xfId="2" applyFont="1" applyFill="1" applyBorder="1" applyAlignment="1">
      <alignment horizontal="center" vertical="top"/>
    </xf>
    <xf numFmtId="0" fontId="9" fillId="6" borderId="73" xfId="2" applyFont="1" applyFill="1" applyBorder="1" applyAlignment="1">
      <alignment horizontal="center" vertical="top"/>
    </xf>
    <xf numFmtId="0" fontId="9" fillId="6" borderId="74" xfId="2" applyFont="1" applyFill="1" applyBorder="1" applyAlignment="1">
      <alignment horizontal="center" vertical="top"/>
    </xf>
    <xf numFmtId="0" fontId="9" fillId="0" borderId="76" xfId="2" applyFont="1" applyFill="1" applyBorder="1" applyAlignment="1">
      <alignment horizontal="center" vertical="top"/>
    </xf>
    <xf numFmtId="0" fontId="9" fillId="8" borderId="77" xfId="2" applyFont="1" applyFill="1" applyBorder="1" applyAlignment="1">
      <alignment horizontal="center" vertical="top"/>
    </xf>
    <xf numFmtId="0" fontId="9" fillId="8" borderId="78" xfId="2" applyFont="1" applyFill="1" applyBorder="1" applyAlignment="1">
      <alignment horizontal="center" vertical="top"/>
    </xf>
    <xf numFmtId="0" fontId="9" fillId="6" borderId="76" xfId="2" applyFont="1" applyFill="1" applyBorder="1" applyAlignment="1">
      <alignment horizontal="center" vertical="top"/>
    </xf>
    <xf numFmtId="0" fontId="9" fillId="8" borderId="79" xfId="2" applyFont="1" applyFill="1" applyBorder="1" applyAlignment="1">
      <alignment horizontal="center" vertical="top"/>
    </xf>
    <xf numFmtId="0" fontId="9" fillId="8" borderId="80" xfId="2" applyFont="1" applyFill="1" applyBorder="1" applyAlignment="1">
      <alignment horizontal="center" vertical="top"/>
    </xf>
    <xf numFmtId="0" fontId="9" fillId="0" borderId="81" xfId="2" applyFont="1" applyFill="1" applyBorder="1" applyAlignment="1">
      <alignment horizontal="center" vertical="top"/>
    </xf>
    <xf numFmtId="0" fontId="9" fillId="8" borderId="82" xfId="2" applyFont="1" applyFill="1" applyBorder="1" applyAlignment="1">
      <alignment horizontal="left" vertical="top"/>
    </xf>
    <xf numFmtId="0" fontId="17" fillId="6" borderId="83" xfId="2" applyFont="1" applyFill="1" applyBorder="1" applyAlignment="1">
      <alignment vertical="top"/>
    </xf>
    <xf numFmtId="0" fontId="17" fillId="0" borderId="84" xfId="2" applyFont="1" applyBorder="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30" fillId="17" borderId="69" xfId="0" applyFont="1" applyFill="1" applyBorder="1" applyAlignment="1">
      <alignment horizontal="center" vertical="center"/>
    </xf>
    <xf numFmtId="0" fontId="30" fillId="17" borderId="70" xfId="0" applyFont="1" applyFill="1" applyBorder="1" applyAlignment="1">
      <alignment horizontal="center" vertical="center"/>
    </xf>
    <xf numFmtId="0" fontId="30" fillId="17" borderId="71" xfId="0" applyFont="1" applyFill="1" applyBorder="1" applyAlignment="1">
      <alignment horizontal="center" vertical="center"/>
    </xf>
    <xf numFmtId="0" fontId="34" fillId="0" borderId="0" xfId="5" applyFont="1" applyAlignment="1"/>
    <xf numFmtId="0" fontId="33" fillId="0" borderId="0" xfId="5" applyFont="1" applyAlignment="1"/>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16" xfId="0" applyBorder="1" applyAlignment="1">
      <alignment horizontal="left" vertical="center"/>
    </xf>
    <xf numFmtId="0" fontId="0" fillId="0" borderId="0" xfId="0" applyBorder="1" applyAlignment="1">
      <alignment horizontal="left" vertical="center"/>
    </xf>
    <xf numFmtId="0" fontId="0" fillId="0" borderId="20" xfId="0" applyBorder="1" applyAlignment="1">
      <alignment horizontal="left" vertical="center"/>
    </xf>
    <xf numFmtId="0" fontId="0" fillId="0" borderId="18"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cellXfs>
  <cellStyles count="6">
    <cellStyle name="桁区切り 2" xfId="4"/>
    <cellStyle name="通貨" xfId="1" builtinId="7"/>
    <cellStyle name="標準" xfId="0" builtinId="0"/>
    <cellStyle name="標準 2" xfId="2"/>
    <cellStyle name="標準 2 2" xfId="3"/>
    <cellStyle name="標準 3" xfId="5"/>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xdr:colOff>
          <xdr:row>4</xdr:row>
          <xdr:rowOff>31750</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50800</xdr:rowOff>
        </xdr:from>
        <xdr:to>
          <xdr:col>1</xdr:col>
          <xdr:colOff>660400</xdr:colOff>
          <xdr:row>2</xdr:row>
          <xdr:rowOff>146050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660400</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4</xdr:row>
          <xdr:rowOff>31750</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4</xdr:row>
          <xdr:rowOff>31750</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200-00000E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4</xdr:row>
          <xdr:rowOff>31750</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200-00000F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4</xdr:row>
          <xdr:rowOff>31750</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200-00001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xdr:row>
          <xdr:rowOff>31750</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200-000013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31750</xdr:colOff>
          <xdr:row>4</xdr:row>
          <xdr:rowOff>31750</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200-000017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107950</xdr:colOff>
          <xdr:row>0</xdr:row>
          <xdr:rowOff>50800</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249"/>
  <sheetViews>
    <sheetView workbookViewId="0">
      <selection activeCell="A2" sqref="A2"/>
    </sheetView>
  </sheetViews>
  <sheetFormatPr defaultRowHeight="18"/>
  <cols>
    <col min="1" max="1" width="17.58203125" bestFit="1" customWidth="1"/>
    <col min="2" max="2" width="10.25" bestFit="1" customWidth="1"/>
    <col min="3" max="3" width="11" bestFit="1" customWidth="1"/>
    <col min="4" max="5" width="19.25" bestFit="1" customWidth="1"/>
    <col min="6" max="6" width="10.25" bestFit="1" customWidth="1"/>
    <col min="7" max="7" width="85.75" bestFit="1" customWidth="1"/>
    <col min="8" max="8" width="15.08203125" bestFit="1" customWidth="1"/>
    <col min="9" max="9" width="42.08203125" bestFit="1" customWidth="1"/>
    <col min="10" max="10" width="11" bestFit="1" customWidth="1"/>
    <col min="11" max="11" width="24.33203125" bestFit="1" customWidth="1"/>
    <col min="12" max="12" width="63.08203125" bestFit="1" customWidth="1"/>
    <col min="13" max="13" width="53.5" bestFit="1" customWidth="1"/>
    <col min="14" max="14" width="52.58203125" bestFit="1" customWidth="1"/>
    <col min="15" max="15" width="11" bestFit="1" customWidth="1"/>
    <col min="16" max="16" width="13" bestFit="1" customWidth="1"/>
    <col min="17" max="17" width="50.5" bestFit="1" customWidth="1"/>
    <col min="18" max="18" width="17.25" bestFit="1" customWidth="1"/>
    <col min="19" max="19" width="40.08203125" bestFit="1" customWidth="1"/>
    <col min="20" max="20" width="44.33203125" bestFit="1" customWidth="1"/>
    <col min="21" max="21" width="11" bestFit="1" customWidth="1"/>
    <col min="22" max="22" width="16.5" bestFit="1" customWidth="1"/>
    <col min="23" max="23" width="255.582031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U256"/>
  <sheetViews>
    <sheetView workbookViewId="0">
      <selection activeCell="T2" sqref="T2:T13"/>
    </sheetView>
  </sheetViews>
  <sheetFormatPr defaultRowHeight="18"/>
  <cols>
    <col min="1" max="1" width="19.25" bestFit="1" customWidth="1"/>
    <col min="3" max="3" width="7.25" bestFit="1" customWidth="1"/>
    <col min="4" max="4" width="5.25" bestFit="1" customWidth="1"/>
    <col min="5" max="5" width="7.08203125" bestFit="1" customWidth="1"/>
    <col min="6" max="6" width="9.5" bestFit="1" customWidth="1"/>
    <col min="7" max="8" width="5.25" bestFit="1" customWidth="1"/>
    <col min="9" max="9" width="12" customWidth="1"/>
    <col min="10" max="10" width="9.58203125" bestFit="1" customWidth="1"/>
    <col min="11" max="11" width="5.25" bestFit="1" customWidth="1"/>
    <col min="12" max="12" width="7.33203125" bestFit="1" customWidth="1"/>
    <col min="15" max="15" width="9.5" bestFit="1" customWidth="1"/>
    <col min="16" max="17" width="5.25" bestFit="1" customWidth="1"/>
    <col min="19" max="20" width="15.08203125" bestFit="1" customWidth="1"/>
    <col min="21" max="21" width="5.25" bestFit="1" customWidth="1"/>
    <col min="22" max="22" width="5.25" customWidth="1"/>
    <col min="23" max="23" width="15.08203125" bestFit="1" customWidth="1"/>
    <col min="24" max="24" width="5.25" bestFit="1" customWidth="1"/>
    <col min="26" max="26" width="24.33203125" bestFit="1" customWidth="1"/>
    <col min="27" max="27" width="14.75" customWidth="1"/>
    <col min="28" max="28" width="24.33203125" bestFit="1" customWidth="1"/>
    <col min="29" max="29" width="5.25" bestFit="1" customWidth="1"/>
    <col min="30" max="30" width="7.33203125" style="12" bestFit="1" customWidth="1"/>
    <col min="31" max="31" width="5.25" bestFit="1" customWidth="1"/>
    <col min="32" max="33" width="5.25" style="12" bestFit="1" customWidth="1"/>
    <col min="34" max="34" width="15.08203125" bestFit="1" customWidth="1"/>
    <col min="38" max="38" width="9.33203125" bestFit="1" customWidth="1"/>
    <col min="43" max="43" width="9.33203125" bestFit="1" customWidth="1"/>
    <col min="44" max="45" width="17.58203125" customWidth="1"/>
    <col min="46" max="46" width="13.25" customWidth="1"/>
    <col min="47" max="47" width="17.582031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8.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8.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8.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8.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19"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8.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8.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8.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8.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8.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8.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8.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8.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8.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8.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8.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8.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8.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8.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8.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8.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8.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8.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8.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F205"/>
  <sheetViews>
    <sheetView tabSelected="1" zoomScaleNormal="100" workbookViewId="0"/>
  </sheetViews>
  <sheetFormatPr defaultColWidth="9" defaultRowHeight="18.75" customHeight="1"/>
  <cols>
    <col min="1" max="1" width="22.75" style="140" bestFit="1" customWidth="1"/>
    <col min="2" max="10" width="9" style="140"/>
    <col min="11" max="11" width="15.08203125" style="140" bestFit="1" customWidth="1"/>
    <col min="12" max="13" width="9" style="140"/>
    <col min="14" max="14" width="13" style="140" bestFit="1" customWidth="1"/>
    <col min="15" max="17" width="9" style="140"/>
    <col min="18" max="18" width="42.75" style="140" bestFit="1" customWidth="1"/>
    <col min="19" max="27" width="9" style="140"/>
    <col min="28" max="32" width="16.58203125" style="140" customWidth="1"/>
    <col min="33" max="16384" width="9" style="140"/>
  </cols>
  <sheetData>
    <row r="1" spans="1:32" ht="18.75" customHeight="1">
      <c r="A1" s="143" t="s">
        <v>1490</v>
      </c>
      <c r="B1" s="140" t="s">
        <v>1501</v>
      </c>
      <c r="D1" s="188" t="s">
        <v>1498</v>
      </c>
      <c r="E1" s="189"/>
      <c r="F1" s="190"/>
      <c r="G1" s="188" t="s">
        <v>1843</v>
      </c>
      <c r="H1" s="189"/>
      <c r="I1" s="190"/>
      <c r="K1" s="188" t="s">
        <v>1507</v>
      </c>
      <c r="L1" s="189"/>
      <c r="M1" s="190"/>
      <c r="N1" s="191" t="s">
        <v>1843</v>
      </c>
      <c r="O1" s="192"/>
      <c r="P1" s="193"/>
      <c r="R1" s="188" t="s">
        <v>1508</v>
      </c>
      <c r="S1" s="189"/>
      <c r="T1" s="190"/>
      <c r="U1" s="188" t="s">
        <v>1857</v>
      </c>
      <c r="V1" s="189"/>
      <c r="W1" s="190"/>
      <c r="X1" s="188" t="s">
        <v>1858</v>
      </c>
      <c r="Y1" s="189"/>
      <c r="Z1" s="190"/>
      <c r="AB1" s="188" t="s">
        <v>1510</v>
      </c>
      <c r="AC1" s="189"/>
      <c r="AD1" s="189"/>
      <c r="AE1" s="189"/>
      <c r="AF1" s="190"/>
    </row>
    <row r="2" spans="1:32" ht="18.75" customHeight="1">
      <c r="A2" s="141">
        <v>43952</v>
      </c>
      <c r="C2" s="140" t="s">
        <v>1493</v>
      </c>
      <c r="N2" s="167"/>
      <c r="O2" s="167"/>
      <c r="P2" s="165"/>
      <c r="R2" s="149"/>
      <c r="S2" s="160"/>
      <c r="T2" s="161"/>
    </row>
    <row r="3" spans="1:32" ht="18.75" customHeight="1">
      <c r="A3" s="142">
        <v>44012</v>
      </c>
      <c r="D3" s="140" t="s">
        <v>1498</v>
      </c>
      <c r="E3" s="140" t="s">
        <v>1491</v>
      </c>
      <c r="F3" s="140" t="s">
        <v>1497</v>
      </c>
      <c r="G3" s="140" t="s">
        <v>1514</v>
      </c>
      <c r="H3" s="140" t="s">
        <v>1491</v>
      </c>
      <c r="I3" s="140" t="s">
        <v>1497</v>
      </c>
      <c r="K3" s="140" t="s">
        <v>1496</v>
      </c>
      <c r="L3" s="140" t="s">
        <v>1497</v>
      </c>
      <c r="M3" s="163" t="s">
        <v>1852</v>
      </c>
      <c r="N3" s="140" t="s">
        <v>1514</v>
      </c>
      <c r="O3" s="140" t="s">
        <v>1497</v>
      </c>
      <c r="P3" s="163" t="s">
        <v>1852</v>
      </c>
      <c r="R3" s="140" t="s">
        <v>1203</v>
      </c>
      <c r="S3" s="140" t="s">
        <v>1497</v>
      </c>
      <c r="V3" s="140" t="s">
        <v>1203</v>
      </c>
      <c r="W3" s="140" t="s">
        <v>1497</v>
      </c>
      <c r="Y3" s="140" t="s">
        <v>1203</v>
      </c>
      <c r="Z3" s="140" t="s">
        <v>1497</v>
      </c>
      <c r="AB3" s="140" t="s">
        <v>1497</v>
      </c>
      <c r="AC3" s="140" t="s">
        <v>1497</v>
      </c>
      <c r="AD3" s="140" t="s">
        <v>1497</v>
      </c>
      <c r="AE3" s="140" t="s">
        <v>1497</v>
      </c>
      <c r="AF3" s="140" t="s">
        <v>1497</v>
      </c>
    </row>
    <row r="4" spans="1:32" ht="18.75" customHeight="1" thickBot="1">
      <c r="D4" s="144" t="s">
        <v>1488</v>
      </c>
      <c r="E4" s="145" t="s">
        <v>1201</v>
      </c>
      <c r="F4" s="145" t="s">
        <v>1201</v>
      </c>
      <c r="G4" s="145" t="s">
        <v>1488</v>
      </c>
      <c r="H4" s="145" t="s">
        <v>1201</v>
      </c>
      <c r="I4" s="146" t="s">
        <v>1201</v>
      </c>
      <c r="K4" s="144" t="s">
        <v>1488</v>
      </c>
      <c r="L4" s="146" t="s">
        <v>1201</v>
      </c>
      <c r="M4" s="146" t="s">
        <v>1513</v>
      </c>
      <c r="N4" s="145" t="s">
        <v>1488</v>
      </c>
      <c r="O4" s="145" t="s">
        <v>1201</v>
      </c>
      <c r="P4" s="146" t="s">
        <v>1513</v>
      </c>
      <c r="R4" s="144" t="s">
        <v>1488</v>
      </c>
      <c r="S4" s="147" t="s">
        <v>1201</v>
      </c>
      <c r="T4" s="146" t="s">
        <v>1513</v>
      </c>
      <c r="U4" s="144" t="s">
        <v>1509</v>
      </c>
      <c r="V4" s="144" t="s">
        <v>1488</v>
      </c>
      <c r="W4" s="146" t="s">
        <v>1201</v>
      </c>
      <c r="X4" s="144" t="s">
        <v>1509</v>
      </c>
      <c r="Y4" s="144" t="s">
        <v>1488</v>
      </c>
      <c r="Z4" s="146" t="s">
        <v>1513</v>
      </c>
      <c r="AB4" s="144" t="s">
        <v>1853</v>
      </c>
      <c r="AC4" s="144" t="s">
        <v>1854</v>
      </c>
      <c r="AD4" s="145" t="s">
        <v>1454</v>
      </c>
      <c r="AE4" s="145" t="s">
        <v>1511</v>
      </c>
      <c r="AF4" s="146" t="s">
        <v>1512</v>
      </c>
    </row>
    <row r="5" spans="1:32" ht="18.75" customHeight="1" thickTop="1">
      <c r="A5" s="143" t="s">
        <v>1494</v>
      </c>
      <c r="C5" s="159"/>
      <c r="D5" s="154"/>
      <c r="E5" s="148" t="s">
        <v>1063</v>
      </c>
      <c r="F5" s="151"/>
      <c r="G5" s="152"/>
      <c r="H5" s="154"/>
      <c r="I5" s="154"/>
      <c r="K5" s="148" t="s">
        <v>1066</v>
      </c>
      <c r="M5" s="168"/>
      <c r="N5" s="170"/>
      <c r="O5" s="154"/>
      <c r="P5" s="164"/>
      <c r="R5" s="154"/>
      <c r="S5" s="154"/>
      <c r="T5" s="151"/>
      <c r="U5" s="152"/>
      <c r="V5" s="154"/>
      <c r="W5" s="154"/>
      <c r="X5" s="152"/>
      <c r="Y5" s="154"/>
      <c r="Z5" s="154"/>
      <c r="AB5" s="154"/>
      <c r="AC5" s="154"/>
      <c r="AD5" s="154"/>
      <c r="AE5" s="154"/>
      <c r="AF5" s="154"/>
    </row>
    <row r="6" spans="1:32" ht="18.75" customHeight="1">
      <c r="A6" s="140" t="s">
        <v>1490</v>
      </c>
      <c r="B6" s="140" t="b">
        <f>ISREF(集計期間)</f>
        <v>1</v>
      </c>
      <c r="D6" s="138" t="s">
        <v>1517</v>
      </c>
      <c r="E6" s="157">
        <v>3</v>
      </c>
      <c r="F6" s="138">
        <v>2</v>
      </c>
      <c r="G6" s="166" t="s">
        <v>1517</v>
      </c>
      <c r="H6" s="166">
        <v>3</v>
      </c>
      <c r="I6" s="166">
        <v>2</v>
      </c>
      <c r="K6" s="149" t="s">
        <v>27</v>
      </c>
      <c r="L6" s="160">
        <v>36</v>
      </c>
      <c r="M6" s="161">
        <v>25691459</v>
      </c>
      <c r="N6" s="169" t="s">
        <v>27</v>
      </c>
      <c r="O6" s="169">
        <v>36</v>
      </c>
      <c r="P6" s="161">
        <v>25691459</v>
      </c>
      <c r="R6" s="169" t="s">
        <v>1569</v>
      </c>
      <c r="S6" s="169">
        <v>0</v>
      </c>
      <c r="T6" s="161">
        <v>0</v>
      </c>
      <c r="U6" s="150"/>
      <c r="V6" s="150"/>
      <c r="W6" s="150"/>
      <c r="X6" s="150"/>
      <c r="Y6" s="150"/>
      <c r="Z6" s="150"/>
    </row>
    <row r="7" spans="1:32" ht="18.75" customHeight="1">
      <c r="A7" s="140" t="s">
        <v>1492</v>
      </c>
      <c r="B7" s="140" t="b">
        <f>ISREF(組織)</f>
        <v>1</v>
      </c>
      <c r="D7" s="138" t="s">
        <v>1242</v>
      </c>
      <c r="F7" s="138">
        <v>0</v>
      </c>
      <c r="G7" s="166" t="s">
        <v>1260</v>
      </c>
      <c r="H7" s="166">
        <v>74</v>
      </c>
      <c r="I7" s="166">
        <v>56</v>
      </c>
      <c r="K7" s="149" t="s">
        <v>54</v>
      </c>
      <c r="L7" s="160">
        <v>13</v>
      </c>
      <c r="M7" s="161">
        <v>0</v>
      </c>
      <c r="N7" s="169" t="s">
        <v>54</v>
      </c>
      <c r="O7" s="169">
        <v>13</v>
      </c>
      <c r="P7" s="161">
        <v>0</v>
      </c>
      <c r="R7" s="169" t="s">
        <v>1570</v>
      </c>
      <c r="S7" s="169">
        <v>14</v>
      </c>
      <c r="T7" s="161">
        <v>6099360</v>
      </c>
    </row>
    <row r="8" spans="1:32" ht="18.75" customHeight="1">
      <c r="A8" s="140" t="s">
        <v>1495</v>
      </c>
      <c r="B8" s="140" t="b">
        <f>ISREF(承認記録)</f>
        <v>1</v>
      </c>
      <c r="D8" s="138" t="s">
        <v>1260</v>
      </c>
      <c r="E8" s="157">
        <v>74</v>
      </c>
      <c r="F8" s="138">
        <v>56</v>
      </c>
      <c r="G8" s="166" t="s">
        <v>1287</v>
      </c>
      <c r="H8" s="166">
        <v>4</v>
      </c>
      <c r="I8" s="166">
        <v>1</v>
      </c>
      <c r="K8" s="149" t="s">
        <v>779</v>
      </c>
      <c r="L8" s="160">
        <v>0</v>
      </c>
      <c r="M8" s="161">
        <v>0</v>
      </c>
      <c r="N8" s="169" t="s">
        <v>166</v>
      </c>
      <c r="O8" s="169">
        <v>2</v>
      </c>
      <c r="P8" s="161">
        <v>0</v>
      </c>
      <c r="R8" s="169" t="s">
        <v>1573</v>
      </c>
      <c r="S8" s="169">
        <v>0</v>
      </c>
      <c r="T8" s="161">
        <v>0</v>
      </c>
    </row>
    <row r="9" spans="1:32" ht="18.75" customHeight="1">
      <c r="A9" s="140" t="s">
        <v>1849</v>
      </c>
      <c r="B9" s="140" t="b">
        <f>ISREF(取引集計)</f>
        <v>1</v>
      </c>
      <c r="D9" s="138" t="s">
        <v>1287</v>
      </c>
      <c r="E9" s="158">
        <v>4</v>
      </c>
      <c r="F9" s="138">
        <v>1</v>
      </c>
      <c r="G9" s="166" t="s">
        <v>1296</v>
      </c>
      <c r="H9" s="166">
        <v>1</v>
      </c>
      <c r="I9" s="166">
        <v>0</v>
      </c>
      <c r="K9" s="149" t="s">
        <v>166</v>
      </c>
      <c r="L9" s="160">
        <v>2</v>
      </c>
      <c r="M9" s="161">
        <v>0</v>
      </c>
      <c r="N9" s="169" t="s">
        <v>87</v>
      </c>
      <c r="O9" s="169">
        <v>1</v>
      </c>
      <c r="P9" s="161">
        <v>0</v>
      </c>
      <c r="R9" s="169" t="s">
        <v>514</v>
      </c>
      <c r="S9" s="169">
        <v>1</v>
      </c>
      <c r="T9" s="161">
        <v>444000</v>
      </c>
    </row>
    <row r="10" spans="1:32" ht="18.75" customHeight="1">
      <c r="A10" s="140" t="s">
        <v>1850</v>
      </c>
      <c r="B10" s="140" t="b">
        <f>ISREF(取引集計＿非ゼロ)</f>
        <v>1</v>
      </c>
      <c r="D10" s="138" t="s">
        <v>1296</v>
      </c>
      <c r="E10" s="158">
        <v>1</v>
      </c>
      <c r="F10" s="138">
        <v>0</v>
      </c>
      <c r="G10" s="166" t="s">
        <v>1526</v>
      </c>
      <c r="H10" s="166">
        <v>0</v>
      </c>
      <c r="I10" s="166">
        <v>1</v>
      </c>
      <c r="K10" s="149" t="s">
        <v>1077</v>
      </c>
      <c r="L10" s="160">
        <v>0</v>
      </c>
      <c r="M10" s="161">
        <v>0</v>
      </c>
      <c r="N10" s="169" t="s">
        <v>494</v>
      </c>
      <c r="O10" s="169">
        <v>4</v>
      </c>
      <c r="P10" s="161">
        <v>109395000</v>
      </c>
      <c r="R10" s="169" t="s">
        <v>1575</v>
      </c>
      <c r="S10" s="169">
        <v>0</v>
      </c>
      <c r="T10" s="161">
        <v>0</v>
      </c>
    </row>
    <row r="11" spans="1:32" ht="18.75" customHeight="1">
      <c r="A11" s="140" t="s">
        <v>1498</v>
      </c>
      <c r="B11" s="140" t="b">
        <f>ISREF(組織集計)</f>
        <v>1</v>
      </c>
      <c r="D11" s="138" t="s">
        <v>1526</v>
      </c>
      <c r="F11" s="138">
        <v>1</v>
      </c>
      <c r="G11" s="166" t="s">
        <v>545</v>
      </c>
      <c r="H11" s="166">
        <v>0</v>
      </c>
      <c r="I11" s="166">
        <v>1</v>
      </c>
      <c r="K11" s="149" t="s">
        <v>87</v>
      </c>
      <c r="L11" s="160">
        <v>1</v>
      </c>
      <c r="M11" s="161">
        <v>0</v>
      </c>
      <c r="N11" s="169" t="s">
        <v>252</v>
      </c>
      <c r="O11" s="169">
        <v>3</v>
      </c>
      <c r="P11" s="161">
        <v>3240000</v>
      </c>
      <c r="R11" s="169" t="s">
        <v>780</v>
      </c>
      <c r="S11" s="169">
        <v>0</v>
      </c>
      <c r="T11" s="161">
        <v>0</v>
      </c>
    </row>
    <row r="12" spans="1:32" ht="18.75" customHeight="1">
      <c r="A12" s="140" t="s">
        <v>1843</v>
      </c>
      <c r="B12" s="140" t="b">
        <f>ISREF(組織集計＿非ゼロ)</f>
        <v>1</v>
      </c>
      <c r="D12" s="138" t="s">
        <v>1532</v>
      </c>
      <c r="F12" s="138">
        <v>0</v>
      </c>
      <c r="G12"/>
      <c r="H12"/>
      <c r="I12"/>
      <c r="K12" s="149" t="s">
        <v>494</v>
      </c>
      <c r="L12" s="160">
        <v>4</v>
      </c>
      <c r="M12" s="161">
        <v>109395000</v>
      </c>
      <c r="N12" s="169" t="s">
        <v>116</v>
      </c>
      <c r="O12" s="169">
        <v>2</v>
      </c>
      <c r="P12" s="161">
        <v>1296000</v>
      </c>
      <c r="R12" s="169" t="s">
        <v>1577</v>
      </c>
      <c r="S12" s="169">
        <v>0</v>
      </c>
      <c r="T12" s="161">
        <v>0</v>
      </c>
    </row>
    <row r="13" spans="1:32" ht="18.75" customHeight="1">
      <c r="A13" s="140" t="s">
        <v>1508</v>
      </c>
      <c r="B13" s="140" t="b">
        <f>ISREF(仕向地集計)</f>
        <v>1</v>
      </c>
      <c r="D13" s="138" t="s">
        <v>1537</v>
      </c>
      <c r="F13" s="138">
        <v>0</v>
      </c>
      <c r="G13" s="138"/>
      <c r="H13" s="138"/>
      <c r="I13" s="138"/>
      <c r="K13" s="149" t="s">
        <v>73</v>
      </c>
      <c r="L13" s="160">
        <v>0</v>
      </c>
      <c r="M13" s="161">
        <v>0</v>
      </c>
      <c r="P13" s="162"/>
      <c r="R13" s="169" t="s">
        <v>639</v>
      </c>
      <c r="S13" s="169">
        <v>1</v>
      </c>
      <c r="T13" s="161">
        <v>708000</v>
      </c>
    </row>
    <row r="14" spans="1:32" ht="18.75" customHeight="1">
      <c r="A14" s="140" t="s">
        <v>1851</v>
      </c>
      <c r="B14" s="140" t="b">
        <f>ISREF(仕向地集計＿トップ)</f>
        <v>0</v>
      </c>
      <c r="D14" s="138" t="s">
        <v>1540</v>
      </c>
      <c r="F14" s="138">
        <v>0</v>
      </c>
      <c r="G14" s="138"/>
      <c r="H14" s="138"/>
      <c r="I14" s="138"/>
      <c r="K14" s="149" t="s">
        <v>259</v>
      </c>
      <c r="L14" s="160">
        <v>0</v>
      </c>
      <c r="M14" s="161">
        <v>0</v>
      </c>
      <c r="P14" s="162"/>
      <c r="R14" s="169" t="s">
        <v>105</v>
      </c>
      <c r="S14" s="169">
        <v>0</v>
      </c>
      <c r="T14" s="161">
        <v>0</v>
      </c>
    </row>
    <row r="15" spans="1:32" ht="18.75" customHeight="1">
      <c r="A15" s="140" t="s">
        <v>1510</v>
      </c>
      <c r="B15" s="140" t="b">
        <f>ISREF(該当取引)</f>
        <v>0</v>
      </c>
      <c r="D15" s="138" t="s">
        <v>1544</v>
      </c>
      <c r="F15" s="138">
        <v>0</v>
      </c>
      <c r="G15" s="138"/>
      <c r="H15" s="138"/>
      <c r="I15" s="138"/>
      <c r="K15" s="149" t="s">
        <v>252</v>
      </c>
      <c r="L15" s="160">
        <v>3</v>
      </c>
      <c r="M15" s="161">
        <v>3240000</v>
      </c>
      <c r="P15" s="162"/>
      <c r="R15" s="169" t="s">
        <v>1582</v>
      </c>
      <c r="S15" s="169">
        <v>0</v>
      </c>
      <c r="T15" s="161">
        <v>0</v>
      </c>
    </row>
    <row r="16" spans="1:32" ht="18.75" customHeight="1">
      <c r="A16" s="140" t="s">
        <v>1516</v>
      </c>
      <c r="B16" s="140" t="b">
        <f>ISREF(Range_組織辞書)</f>
        <v>1</v>
      </c>
      <c r="D16" s="138" t="s">
        <v>1547</v>
      </c>
      <c r="F16" s="138">
        <v>0</v>
      </c>
      <c r="G16" s="138"/>
      <c r="H16" s="138"/>
      <c r="I16" s="138"/>
      <c r="K16" s="149" t="s">
        <v>1085</v>
      </c>
      <c r="L16" s="160">
        <v>0</v>
      </c>
      <c r="M16" s="161">
        <v>0</v>
      </c>
      <c r="P16" s="162"/>
      <c r="R16" s="169" t="s">
        <v>28</v>
      </c>
      <c r="S16" s="169">
        <v>1</v>
      </c>
      <c r="T16" s="161">
        <v>500000</v>
      </c>
    </row>
    <row r="17" spans="1:20" ht="18.75" customHeight="1">
      <c r="A17" s="140" t="s">
        <v>1855</v>
      </c>
      <c r="B17" s="140" t="b">
        <f>ISREF(仕向地別名)</f>
        <v>1</v>
      </c>
      <c r="D17" s="138" t="s">
        <v>1553</v>
      </c>
      <c r="F17" s="138">
        <v>0</v>
      </c>
      <c r="G17" s="138"/>
      <c r="H17" s="138"/>
      <c r="I17" s="138"/>
      <c r="K17" s="149" t="s">
        <v>116</v>
      </c>
      <c r="L17" s="160">
        <v>2</v>
      </c>
      <c r="M17" s="161">
        <v>1296000</v>
      </c>
      <c r="P17" s="162"/>
      <c r="R17" s="169" t="s">
        <v>1583</v>
      </c>
      <c r="S17" s="169">
        <v>0</v>
      </c>
      <c r="T17" s="161">
        <v>0</v>
      </c>
    </row>
    <row r="18" spans="1:20" ht="18.75" customHeight="1">
      <c r="A18" s="140" t="s">
        <v>1856</v>
      </c>
      <c r="B18" s="140" t="b">
        <f>ISREF(仕向地別名回数)</f>
        <v>1</v>
      </c>
      <c r="D18" s="138" t="s">
        <v>1554</v>
      </c>
      <c r="F18" s="138">
        <v>0</v>
      </c>
      <c r="G18" s="138"/>
      <c r="H18" s="138"/>
      <c r="I18" s="138"/>
      <c r="R18" s="169" t="s">
        <v>903</v>
      </c>
      <c r="S18" s="169">
        <v>0</v>
      </c>
      <c r="T18" s="161">
        <v>0</v>
      </c>
    </row>
    <row r="19" spans="1:20" ht="18.75" customHeight="1">
      <c r="A19" s="140" t="s">
        <v>1861</v>
      </c>
      <c r="B19" s="140" t="b">
        <f>ISREF(未割当別名)</f>
        <v>1</v>
      </c>
      <c r="D19" s="138" t="s">
        <v>1558</v>
      </c>
      <c r="F19" s="138">
        <v>0</v>
      </c>
      <c r="G19" s="138"/>
      <c r="H19" s="138"/>
      <c r="I19" s="138"/>
      <c r="R19" s="169" t="s">
        <v>1587</v>
      </c>
      <c r="S19" s="169">
        <v>1</v>
      </c>
      <c r="T19" s="161">
        <v>81882</v>
      </c>
    </row>
    <row r="20" spans="1:20" ht="18.75" customHeight="1">
      <c r="B20" s="153"/>
      <c r="D20" s="138" t="s">
        <v>1385</v>
      </c>
      <c r="F20" s="138">
        <v>0</v>
      </c>
      <c r="G20" s="138"/>
      <c r="H20" s="138"/>
      <c r="I20" s="138"/>
      <c r="R20" s="169" t="s">
        <v>999</v>
      </c>
      <c r="S20" s="169">
        <v>0</v>
      </c>
      <c r="T20" s="161">
        <v>0</v>
      </c>
    </row>
    <row r="21" spans="1:20" ht="18.75" customHeight="1">
      <c r="B21" s="153"/>
      <c r="D21" s="138" t="s">
        <v>1560</v>
      </c>
      <c r="F21" s="138">
        <v>0</v>
      </c>
      <c r="G21" s="138"/>
      <c r="H21" s="138"/>
      <c r="I21" s="138"/>
      <c r="R21" s="169" t="s">
        <v>1588</v>
      </c>
      <c r="S21" s="169">
        <v>0</v>
      </c>
      <c r="T21" s="161">
        <v>0</v>
      </c>
    </row>
    <row r="22" spans="1:20" ht="18.75" customHeight="1">
      <c r="A22" s="143" t="s">
        <v>1499</v>
      </c>
      <c r="B22" s="153"/>
      <c r="D22" s="138" t="s">
        <v>1398</v>
      </c>
      <c r="F22" s="138">
        <v>0</v>
      </c>
      <c r="G22" s="138"/>
      <c r="H22" s="138"/>
      <c r="I22" s="138"/>
      <c r="R22" s="169" t="s">
        <v>222</v>
      </c>
      <c r="S22" s="169">
        <v>4</v>
      </c>
      <c r="T22" s="161">
        <v>2401980</v>
      </c>
    </row>
    <row r="23" spans="1:20" ht="18.75" customHeight="1">
      <c r="A23" s="140" t="s">
        <v>1500</v>
      </c>
      <c r="B23" s="153"/>
      <c r="D23" s="138" t="s">
        <v>1419</v>
      </c>
      <c r="F23" s="138">
        <v>0</v>
      </c>
      <c r="G23" s="138"/>
      <c r="H23" s="138"/>
      <c r="I23" s="138"/>
      <c r="R23" s="169" t="s">
        <v>1589</v>
      </c>
      <c r="S23" s="169">
        <v>0</v>
      </c>
      <c r="T23" s="161">
        <v>0</v>
      </c>
    </row>
    <row r="24" spans="1:20" ht="18.75" customHeight="1">
      <c r="A24" s="140" t="s">
        <v>1502</v>
      </c>
      <c r="B24" s="153"/>
      <c r="D24" s="138" t="s">
        <v>545</v>
      </c>
      <c r="F24" s="138">
        <v>1</v>
      </c>
      <c r="G24" s="138"/>
      <c r="H24" s="138"/>
      <c r="I24" s="138"/>
      <c r="R24" s="169" t="s">
        <v>826</v>
      </c>
      <c r="S24" s="169">
        <v>0</v>
      </c>
      <c r="T24" s="161">
        <v>0</v>
      </c>
    </row>
    <row r="25" spans="1:20" ht="18.75" customHeight="1">
      <c r="A25" s="140" t="s">
        <v>1503</v>
      </c>
      <c r="B25" s="153"/>
      <c r="D25" s="138" t="s">
        <v>1434</v>
      </c>
      <c r="F25" s="138">
        <v>0</v>
      </c>
      <c r="G25" s="138"/>
      <c r="H25" s="138"/>
      <c r="I25" s="138"/>
      <c r="R25" s="169" t="s">
        <v>167</v>
      </c>
      <c r="S25" s="169">
        <v>0</v>
      </c>
      <c r="T25" s="161">
        <v>0</v>
      </c>
    </row>
    <row r="26" spans="1:20" ht="18.75" customHeight="1">
      <c r="A26" s="140" t="s">
        <v>1504</v>
      </c>
      <c r="B26" s="153"/>
      <c r="D26" s="138" t="s">
        <v>1437</v>
      </c>
      <c r="F26" s="138">
        <v>0</v>
      </c>
      <c r="G26" s="138"/>
      <c r="H26" s="138"/>
      <c r="I26" s="138"/>
      <c r="R26" s="169" t="s">
        <v>985</v>
      </c>
      <c r="S26" s="169">
        <v>0</v>
      </c>
      <c r="T26" s="161">
        <v>0</v>
      </c>
    </row>
    <row r="27" spans="1:20" ht="18.75" customHeight="1">
      <c r="A27" s="140" t="s">
        <v>1505</v>
      </c>
      <c r="D27"/>
      <c r="F27"/>
      <c r="G27" s="138"/>
      <c r="H27" s="138"/>
      <c r="I27" s="138"/>
      <c r="R27" s="169" t="s">
        <v>669</v>
      </c>
      <c r="S27" s="169">
        <v>1</v>
      </c>
      <c r="T27" s="161">
        <v>0</v>
      </c>
    </row>
    <row r="28" spans="1:20" ht="18.75" customHeight="1">
      <c r="A28" s="140" t="s">
        <v>1506</v>
      </c>
      <c r="R28" s="169" t="s">
        <v>1595</v>
      </c>
      <c r="S28" s="169">
        <v>0</v>
      </c>
      <c r="T28" s="161">
        <v>0</v>
      </c>
    </row>
    <row r="29" spans="1:20" ht="18.75" customHeight="1">
      <c r="R29" s="169" t="s">
        <v>1597</v>
      </c>
      <c r="S29" s="169">
        <v>0</v>
      </c>
      <c r="T29" s="161">
        <v>0</v>
      </c>
    </row>
    <row r="30" spans="1:20" ht="18.75" customHeight="1">
      <c r="R30" s="169" t="s">
        <v>378</v>
      </c>
      <c r="S30" s="169">
        <v>0</v>
      </c>
      <c r="T30" s="161">
        <v>0</v>
      </c>
    </row>
    <row r="31" spans="1:20" ht="18.75" customHeight="1">
      <c r="R31" s="169" t="s">
        <v>1598</v>
      </c>
      <c r="S31" s="169">
        <v>0</v>
      </c>
      <c r="T31" s="161">
        <v>0</v>
      </c>
    </row>
    <row r="32" spans="1:20" ht="18.75" customHeight="1">
      <c r="R32" s="169" t="s">
        <v>1599</v>
      </c>
      <c r="S32" s="169">
        <v>0</v>
      </c>
      <c r="T32" s="161">
        <v>0</v>
      </c>
    </row>
    <row r="33" spans="18:20" ht="18.75" customHeight="1">
      <c r="R33" s="169" t="s">
        <v>1601</v>
      </c>
      <c r="S33" s="169">
        <v>0</v>
      </c>
      <c r="T33" s="161">
        <v>0</v>
      </c>
    </row>
    <row r="34" spans="18:20" ht="18.75" customHeight="1">
      <c r="R34" s="169" t="s">
        <v>1602</v>
      </c>
      <c r="S34" s="169">
        <v>0</v>
      </c>
      <c r="T34" s="161">
        <v>0</v>
      </c>
    </row>
    <row r="35" spans="18:20" ht="18.75" customHeight="1">
      <c r="R35" s="169" t="s">
        <v>1604</v>
      </c>
      <c r="S35" s="169">
        <v>0</v>
      </c>
      <c r="T35" s="161">
        <v>0</v>
      </c>
    </row>
    <row r="36" spans="18:20" ht="18.75" customHeight="1">
      <c r="R36" s="169" t="s">
        <v>1605</v>
      </c>
      <c r="S36" s="169">
        <v>0</v>
      </c>
      <c r="T36" s="161">
        <v>0</v>
      </c>
    </row>
    <row r="37" spans="18:20" ht="18.75" customHeight="1">
      <c r="R37" s="169" t="s">
        <v>1606</v>
      </c>
      <c r="S37" s="169">
        <v>0</v>
      </c>
      <c r="T37" s="161">
        <v>0</v>
      </c>
    </row>
    <row r="38" spans="18:20" ht="18.75" customHeight="1">
      <c r="R38" s="169" t="s">
        <v>1608</v>
      </c>
      <c r="S38" s="169">
        <v>0</v>
      </c>
      <c r="T38" s="161">
        <v>0</v>
      </c>
    </row>
    <row r="39" spans="18:20" ht="18.75" customHeight="1">
      <c r="R39" s="169" t="s">
        <v>1610</v>
      </c>
      <c r="S39" s="169">
        <v>0</v>
      </c>
      <c r="T39" s="161">
        <v>0</v>
      </c>
    </row>
    <row r="40" spans="18:20" ht="18.75" customHeight="1">
      <c r="R40" s="169" t="s">
        <v>795</v>
      </c>
      <c r="S40" s="169">
        <v>0</v>
      </c>
      <c r="T40" s="161">
        <v>0</v>
      </c>
    </row>
    <row r="41" spans="18:20" ht="18.75" customHeight="1">
      <c r="R41" s="169" t="s">
        <v>1611</v>
      </c>
      <c r="S41" s="169">
        <v>0</v>
      </c>
      <c r="T41" s="161">
        <v>0</v>
      </c>
    </row>
    <row r="42" spans="18:20" ht="18.75" customHeight="1">
      <c r="R42" s="169" t="s">
        <v>1612</v>
      </c>
      <c r="S42" s="169">
        <v>0</v>
      </c>
      <c r="T42" s="161">
        <v>0</v>
      </c>
    </row>
    <row r="43" spans="18:20" ht="18.75" customHeight="1">
      <c r="R43" s="169" t="s">
        <v>99</v>
      </c>
      <c r="S43" s="169">
        <v>0</v>
      </c>
      <c r="T43" s="161">
        <v>0</v>
      </c>
    </row>
    <row r="44" spans="18:20" ht="18.75" customHeight="1">
      <c r="R44" s="169" t="s">
        <v>1037</v>
      </c>
      <c r="S44" s="169">
        <v>0</v>
      </c>
      <c r="T44" s="161">
        <v>0</v>
      </c>
    </row>
    <row r="45" spans="18:20" ht="18.75" customHeight="1">
      <c r="R45" s="169" t="s">
        <v>1615</v>
      </c>
      <c r="S45" s="169">
        <v>0</v>
      </c>
      <c r="T45" s="161">
        <v>0</v>
      </c>
    </row>
    <row r="46" spans="18:20" ht="18.75" customHeight="1">
      <c r="R46" s="169" t="s">
        <v>1617</v>
      </c>
      <c r="S46" s="169">
        <v>0</v>
      </c>
      <c r="T46" s="161">
        <v>0</v>
      </c>
    </row>
    <row r="47" spans="18:20" ht="18.75" customHeight="1">
      <c r="R47" s="169" t="s">
        <v>1619</v>
      </c>
      <c r="S47" s="169">
        <v>0</v>
      </c>
      <c r="T47" s="161">
        <v>0</v>
      </c>
    </row>
    <row r="48" spans="18:20" ht="18.75" customHeight="1">
      <c r="R48" s="169" t="s">
        <v>1620</v>
      </c>
      <c r="S48" s="169">
        <v>0</v>
      </c>
      <c r="T48" s="161">
        <v>0</v>
      </c>
    </row>
    <row r="49" spans="18:20" ht="18.75" customHeight="1">
      <c r="R49" s="169" t="s">
        <v>1621</v>
      </c>
      <c r="S49" s="169">
        <v>0</v>
      </c>
      <c r="T49" s="161">
        <v>0</v>
      </c>
    </row>
    <row r="50" spans="18:20" ht="18.75" customHeight="1">
      <c r="R50" s="169" t="s">
        <v>1622</v>
      </c>
      <c r="S50" s="169">
        <v>0</v>
      </c>
      <c r="T50" s="161">
        <v>0</v>
      </c>
    </row>
    <row r="51" spans="18:20" ht="18.75" customHeight="1">
      <c r="R51" s="169" t="s">
        <v>1628</v>
      </c>
      <c r="S51" s="169">
        <v>0</v>
      </c>
      <c r="T51" s="161">
        <v>0</v>
      </c>
    </row>
    <row r="52" spans="18:20" ht="18.75" customHeight="1">
      <c r="R52" s="169" t="s">
        <v>1630</v>
      </c>
      <c r="S52" s="169">
        <v>0</v>
      </c>
      <c r="T52" s="161">
        <v>0</v>
      </c>
    </row>
    <row r="53" spans="18:20" ht="18.75" customHeight="1">
      <c r="R53" s="169" t="s">
        <v>1632</v>
      </c>
      <c r="S53" s="169">
        <v>0</v>
      </c>
      <c r="T53" s="161">
        <v>0</v>
      </c>
    </row>
    <row r="54" spans="18:20" ht="18.75" customHeight="1">
      <c r="R54" s="169" t="s">
        <v>1634</v>
      </c>
      <c r="S54" s="169">
        <v>0</v>
      </c>
      <c r="T54" s="161">
        <v>0</v>
      </c>
    </row>
    <row r="55" spans="18:20" ht="18.75" customHeight="1">
      <c r="R55" s="169" t="s">
        <v>1635</v>
      </c>
      <c r="S55" s="169">
        <v>0</v>
      </c>
      <c r="T55" s="161">
        <v>0</v>
      </c>
    </row>
    <row r="56" spans="18:20" ht="18.75" customHeight="1">
      <c r="R56" s="169" t="s">
        <v>1636</v>
      </c>
      <c r="S56" s="169">
        <v>0</v>
      </c>
      <c r="T56" s="161">
        <v>0</v>
      </c>
    </row>
    <row r="57" spans="18:20" ht="18.75" customHeight="1">
      <c r="R57" s="169" t="s">
        <v>1637</v>
      </c>
      <c r="S57" s="169">
        <v>0</v>
      </c>
      <c r="T57" s="161">
        <v>0</v>
      </c>
    </row>
    <row r="58" spans="18:20" ht="18.75" customHeight="1">
      <c r="R58" s="169" t="s">
        <v>189</v>
      </c>
      <c r="S58" s="169">
        <v>1</v>
      </c>
      <c r="T58" s="161">
        <v>0</v>
      </c>
    </row>
    <row r="59" spans="18:20" ht="18.75" customHeight="1">
      <c r="R59" s="169" t="s">
        <v>1638</v>
      </c>
      <c r="S59" s="169">
        <v>0</v>
      </c>
      <c r="T59" s="161">
        <v>0</v>
      </c>
    </row>
    <row r="60" spans="18:20" ht="18.75" customHeight="1">
      <c r="R60" s="169" t="s">
        <v>1639</v>
      </c>
      <c r="S60" s="169">
        <v>0</v>
      </c>
      <c r="T60" s="161">
        <v>0</v>
      </c>
    </row>
    <row r="61" spans="18:20" ht="18.75" customHeight="1">
      <c r="R61" s="169" t="s">
        <v>246</v>
      </c>
      <c r="S61" s="169">
        <v>6</v>
      </c>
      <c r="T61" s="161">
        <v>3256080</v>
      </c>
    </row>
    <row r="62" spans="18:20" ht="18.75" customHeight="1">
      <c r="R62" s="169" t="s">
        <v>1640</v>
      </c>
      <c r="S62" s="169">
        <v>0</v>
      </c>
      <c r="T62" s="161">
        <v>0</v>
      </c>
    </row>
    <row r="63" spans="18:20" ht="18.75" customHeight="1">
      <c r="R63" s="169" t="s">
        <v>1642</v>
      </c>
      <c r="S63" s="169">
        <v>0</v>
      </c>
      <c r="T63" s="161">
        <v>0</v>
      </c>
    </row>
    <row r="64" spans="18:20" ht="18.75" customHeight="1">
      <c r="R64" s="169" t="s">
        <v>1643</v>
      </c>
      <c r="S64" s="169">
        <v>0</v>
      </c>
      <c r="T64" s="161">
        <v>0</v>
      </c>
    </row>
    <row r="65" spans="18:20" ht="18.75" customHeight="1">
      <c r="R65" s="169" t="s">
        <v>1644</v>
      </c>
      <c r="S65" s="169">
        <v>0</v>
      </c>
      <c r="T65" s="161">
        <v>0</v>
      </c>
    </row>
    <row r="66" spans="18:20" ht="18.75" customHeight="1">
      <c r="R66" s="169" t="s">
        <v>1645</v>
      </c>
      <c r="S66" s="169">
        <v>0</v>
      </c>
      <c r="T66" s="161">
        <v>0</v>
      </c>
    </row>
    <row r="67" spans="18:20" ht="18.75" customHeight="1">
      <c r="R67" s="169" t="s">
        <v>710</v>
      </c>
      <c r="S67" s="169">
        <v>0</v>
      </c>
      <c r="T67" s="161">
        <v>0</v>
      </c>
    </row>
    <row r="68" spans="18:20" ht="18.75" customHeight="1">
      <c r="R68" s="169" t="s">
        <v>1646</v>
      </c>
      <c r="S68" s="169">
        <v>0</v>
      </c>
      <c r="T68" s="161">
        <v>0</v>
      </c>
    </row>
    <row r="69" spans="18:20" ht="18.75" customHeight="1">
      <c r="R69" s="169" t="s">
        <v>1648</v>
      </c>
      <c r="S69" s="169">
        <v>0</v>
      </c>
      <c r="T69" s="161">
        <v>0</v>
      </c>
    </row>
    <row r="70" spans="18:20" ht="18.75" customHeight="1">
      <c r="R70" s="169" t="s">
        <v>1650</v>
      </c>
      <c r="S70" s="169">
        <v>0</v>
      </c>
      <c r="T70" s="161">
        <v>0</v>
      </c>
    </row>
    <row r="71" spans="18:20" ht="18.75" customHeight="1">
      <c r="R71" s="169" t="s">
        <v>1651</v>
      </c>
      <c r="S71" s="169">
        <v>0</v>
      </c>
      <c r="T71" s="161">
        <v>0</v>
      </c>
    </row>
    <row r="72" spans="18:20" ht="18.75" customHeight="1">
      <c r="R72" s="169" t="s">
        <v>1652</v>
      </c>
      <c r="S72" s="169">
        <v>0</v>
      </c>
      <c r="T72" s="161">
        <v>0</v>
      </c>
    </row>
    <row r="73" spans="18:20" ht="18.75" customHeight="1">
      <c r="R73" s="169" t="s">
        <v>1653</v>
      </c>
      <c r="S73" s="169">
        <v>0</v>
      </c>
      <c r="T73" s="161">
        <v>0</v>
      </c>
    </row>
    <row r="74" spans="18:20" ht="18.75" customHeight="1">
      <c r="R74" s="169" t="s">
        <v>1654</v>
      </c>
      <c r="S74" s="169">
        <v>0</v>
      </c>
      <c r="T74" s="161">
        <v>0</v>
      </c>
    </row>
    <row r="75" spans="18:20" ht="18.75" customHeight="1">
      <c r="R75" s="169" t="s">
        <v>1655</v>
      </c>
      <c r="S75" s="169">
        <v>0</v>
      </c>
      <c r="T75" s="161">
        <v>0</v>
      </c>
    </row>
    <row r="76" spans="18:20" ht="18.75" customHeight="1">
      <c r="R76" s="169" t="s">
        <v>1656</v>
      </c>
      <c r="S76" s="169">
        <v>0</v>
      </c>
      <c r="T76" s="161">
        <v>0</v>
      </c>
    </row>
    <row r="77" spans="18:20" ht="18.75" customHeight="1">
      <c r="R77" s="169" t="s">
        <v>1657</v>
      </c>
      <c r="S77" s="169">
        <v>0</v>
      </c>
      <c r="T77" s="161">
        <v>0</v>
      </c>
    </row>
    <row r="78" spans="18:20" ht="18.75" customHeight="1">
      <c r="R78" s="169" t="s">
        <v>1658</v>
      </c>
      <c r="S78" s="169">
        <v>0</v>
      </c>
      <c r="T78" s="161">
        <v>0</v>
      </c>
    </row>
    <row r="79" spans="18:20" ht="18.75" customHeight="1">
      <c r="R79" s="169" t="s">
        <v>1660</v>
      </c>
      <c r="S79" s="169">
        <v>0</v>
      </c>
      <c r="T79" s="161">
        <v>0</v>
      </c>
    </row>
    <row r="80" spans="18:20" ht="18.75" customHeight="1">
      <c r="R80" s="169" t="s">
        <v>1662</v>
      </c>
      <c r="S80" s="169">
        <v>0</v>
      </c>
      <c r="T80" s="161">
        <v>0</v>
      </c>
    </row>
    <row r="81" spans="18:20" ht="18.75" customHeight="1">
      <c r="R81" s="169" t="s">
        <v>1664</v>
      </c>
      <c r="S81" s="169">
        <v>0</v>
      </c>
      <c r="T81" s="161">
        <v>0</v>
      </c>
    </row>
    <row r="82" spans="18:20" ht="18.75" customHeight="1">
      <c r="R82" s="169" t="s">
        <v>1666</v>
      </c>
      <c r="S82" s="169">
        <v>0</v>
      </c>
      <c r="T82" s="161">
        <v>0</v>
      </c>
    </row>
    <row r="83" spans="18:20" ht="18.75" customHeight="1">
      <c r="R83" s="169" t="s">
        <v>1668</v>
      </c>
      <c r="S83" s="169">
        <v>0</v>
      </c>
      <c r="T83" s="161">
        <v>0</v>
      </c>
    </row>
    <row r="84" spans="18:20" ht="18.75" customHeight="1">
      <c r="R84" s="169" t="s">
        <v>1669</v>
      </c>
      <c r="S84" s="169">
        <v>0</v>
      </c>
      <c r="T84" s="161">
        <v>0</v>
      </c>
    </row>
    <row r="85" spans="18:20" ht="18.75" customHeight="1">
      <c r="R85" s="169" t="s">
        <v>1670</v>
      </c>
      <c r="S85" s="169">
        <v>0</v>
      </c>
      <c r="T85" s="161">
        <v>0</v>
      </c>
    </row>
    <row r="86" spans="18:20" ht="18.75" customHeight="1">
      <c r="R86" s="169" t="s">
        <v>1671</v>
      </c>
      <c r="S86" s="169">
        <v>0</v>
      </c>
      <c r="T86" s="161">
        <v>0</v>
      </c>
    </row>
    <row r="87" spans="18:20" ht="18.75" customHeight="1">
      <c r="R87" s="169" t="s">
        <v>1672</v>
      </c>
      <c r="S87" s="169">
        <v>0</v>
      </c>
      <c r="T87" s="161">
        <v>0</v>
      </c>
    </row>
    <row r="88" spans="18:20" ht="18.75" customHeight="1">
      <c r="R88" s="169" t="s">
        <v>1674</v>
      </c>
      <c r="S88" s="169">
        <v>0</v>
      </c>
      <c r="T88" s="161">
        <v>0</v>
      </c>
    </row>
    <row r="89" spans="18:20" ht="18.75" customHeight="1">
      <c r="R89" s="169" t="s">
        <v>1676</v>
      </c>
      <c r="S89" s="169">
        <v>0</v>
      </c>
      <c r="T89" s="161">
        <v>0</v>
      </c>
    </row>
    <row r="90" spans="18:20" ht="18.75" customHeight="1">
      <c r="R90" s="169" t="s">
        <v>1677</v>
      </c>
      <c r="S90" s="169">
        <v>0</v>
      </c>
      <c r="T90" s="161">
        <v>0</v>
      </c>
    </row>
    <row r="91" spans="18:20" ht="18.75" customHeight="1">
      <c r="R91" s="169" t="s">
        <v>1679</v>
      </c>
      <c r="S91" s="169">
        <v>0</v>
      </c>
      <c r="T91" s="161">
        <v>0</v>
      </c>
    </row>
    <row r="92" spans="18:20" ht="18.75" customHeight="1">
      <c r="R92" s="169" t="s">
        <v>1681</v>
      </c>
      <c r="S92" s="169">
        <v>0</v>
      </c>
      <c r="T92" s="161">
        <v>0</v>
      </c>
    </row>
    <row r="93" spans="18:20" ht="18.75" customHeight="1">
      <c r="R93" s="169" t="s">
        <v>1686</v>
      </c>
      <c r="S93" s="169">
        <v>0</v>
      </c>
      <c r="T93" s="161">
        <v>0</v>
      </c>
    </row>
    <row r="94" spans="18:20" ht="18.75" customHeight="1">
      <c r="R94" s="169" t="s">
        <v>1687</v>
      </c>
      <c r="S94" s="169">
        <v>0</v>
      </c>
      <c r="T94" s="161">
        <v>0</v>
      </c>
    </row>
    <row r="95" spans="18:20" ht="18.75" customHeight="1">
      <c r="R95" s="169" t="s">
        <v>1688</v>
      </c>
      <c r="S95" s="169">
        <v>0</v>
      </c>
      <c r="T95" s="161">
        <v>0</v>
      </c>
    </row>
    <row r="96" spans="18:20" ht="18.75" customHeight="1">
      <c r="R96" s="169" t="s">
        <v>1689</v>
      </c>
      <c r="S96" s="169">
        <v>0</v>
      </c>
      <c r="T96" s="161">
        <v>0</v>
      </c>
    </row>
    <row r="97" spans="18:20" ht="18.75" customHeight="1">
      <c r="R97" s="169" t="s">
        <v>1691</v>
      </c>
      <c r="S97" s="169">
        <v>0</v>
      </c>
      <c r="T97" s="161">
        <v>0</v>
      </c>
    </row>
    <row r="98" spans="18:20" ht="18.75" customHeight="1">
      <c r="R98" s="169" t="s">
        <v>1693</v>
      </c>
      <c r="S98" s="169">
        <v>0</v>
      </c>
      <c r="T98" s="161">
        <v>0</v>
      </c>
    </row>
    <row r="99" spans="18:20" ht="18.75" customHeight="1">
      <c r="R99" s="169" t="s">
        <v>1695</v>
      </c>
      <c r="S99" s="169">
        <v>0</v>
      </c>
      <c r="T99" s="161">
        <v>0</v>
      </c>
    </row>
    <row r="100" spans="18:20" ht="18.75" customHeight="1">
      <c r="R100" s="169" t="s">
        <v>1700</v>
      </c>
      <c r="S100" s="169">
        <v>0</v>
      </c>
      <c r="T100" s="161">
        <v>0</v>
      </c>
    </row>
    <row r="101" spans="18:20" ht="18.75" customHeight="1">
      <c r="R101" s="169" t="s">
        <v>1701</v>
      </c>
      <c r="S101" s="169">
        <v>0</v>
      </c>
      <c r="T101" s="161">
        <v>0</v>
      </c>
    </row>
    <row r="102" spans="18:20" ht="18.75" customHeight="1">
      <c r="R102" s="169" t="s">
        <v>1702</v>
      </c>
      <c r="S102" s="169">
        <v>0</v>
      </c>
      <c r="T102" s="161">
        <v>0</v>
      </c>
    </row>
    <row r="103" spans="18:20" ht="18.75" customHeight="1">
      <c r="R103" s="169" t="s">
        <v>1704</v>
      </c>
      <c r="S103" s="169">
        <v>0</v>
      </c>
      <c r="T103" s="161">
        <v>0</v>
      </c>
    </row>
    <row r="104" spans="18:20" ht="18.75" customHeight="1">
      <c r="R104" s="169" t="s">
        <v>1705</v>
      </c>
      <c r="S104" s="169">
        <v>0</v>
      </c>
      <c r="T104" s="161">
        <v>0</v>
      </c>
    </row>
    <row r="105" spans="18:20" ht="18.75" customHeight="1">
      <c r="R105" s="169" t="s">
        <v>1706</v>
      </c>
      <c r="S105" s="169">
        <v>0</v>
      </c>
      <c r="T105" s="161">
        <v>0</v>
      </c>
    </row>
    <row r="106" spans="18:20" ht="18.75" customHeight="1">
      <c r="R106" s="169" t="s">
        <v>1707</v>
      </c>
      <c r="S106" s="169">
        <v>0</v>
      </c>
      <c r="T106" s="161">
        <v>0</v>
      </c>
    </row>
    <row r="107" spans="18:20" ht="18.75" customHeight="1">
      <c r="R107" s="169" t="s">
        <v>1708</v>
      </c>
      <c r="S107" s="169">
        <v>0</v>
      </c>
      <c r="T107" s="161">
        <v>0</v>
      </c>
    </row>
    <row r="108" spans="18:20" ht="18.75" customHeight="1">
      <c r="R108" s="169" t="s">
        <v>1712</v>
      </c>
      <c r="S108" s="169">
        <v>0</v>
      </c>
      <c r="T108" s="161">
        <v>0</v>
      </c>
    </row>
    <row r="109" spans="18:20" ht="18.75" customHeight="1">
      <c r="R109" s="169" t="s">
        <v>83</v>
      </c>
      <c r="S109" s="169">
        <v>3</v>
      </c>
      <c r="T109" s="161">
        <v>2412247</v>
      </c>
    </row>
    <row r="110" spans="18:20" ht="18.75" customHeight="1">
      <c r="R110" s="169" t="s">
        <v>1714</v>
      </c>
      <c r="S110" s="169">
        <v>0</v>
      </c>
      <c r="T110" s="161">
        <v>0</v>
      </c>
    </row>
    <row r="111" spans="18:20" ht="18.75" customHeight="1">
      <c r="R111" s="169" t="s">
        <v>1715</v>
      </c>
      <c r="S111" s="169">
        <v>0</v>
      </c>
      <c r="T111" s="161">
        <v>0</v>
      </c>
    </row>
    <row r="112" spans="18:20" ht="18.75" customHeight="1">
      <c r="R112" s="169" t="s">
        <v>1716</v>
      </c>
      <c r="S112" s="169">
        <v>0</v>
      </c>
      <c r="T112" s="161">
        <v>0</v>
      </c>
    </row>
    <row r="113" spans="18:20" ht="18.75" customHeight="1">
      <c r="R113" s="169" t="s">
        <v>1717</v>
      </c>
      <c r="S113" s="169">
        <v>0</v>
      </c>
      <c r="T113" s="161">
        <v>0</v>
      </c>
    </row>
    <row r="114" spans="18:20" ht="18.75" customHeight="1">
      <c r="R114" s="169" t="s">
        <v>1718</v>
      </c>
      <c r="S114" s="169">
        <v>0</v>
      </c>
      <c r="T114" s="161">
        <v>0</v>
      </c>
    </row>
    <row r="115" spans="18:20" ht="18.75" customHeight="1">
      <c r="R115" s="169" t="s">
        <v>1722</v>
      </c>
      <c r="S115" s="169">
        <v>0</v>
      </c>
      <c r="T115" s="161">
        <v>0</v>
      </c>
    </row>
    <row r="116" spans="18:20" ht="18.75" customHeight="1">
      <c r="R116" s="169" t="s">
        <v>1726</v>
      </c>
      <c r="S116" s="169">
        <v>0</v>
      </c>
      <c r="T116" s="161">
        <v>0</v>
      </c>
    </row>
    <row r="117" spans="18:20" ht="18.75" customHeight="1">
      <c r="R117" s="169" t="s">
        <v>1727</v>
      </c>
      <c r="S117" s="169">
        <v>0</v>
      </c>
      <c r="T117" s="161">
        <v>0</v>
      </c>
    </row>
    <row r="118" spans="18:20" ht="18.75" customHeight="1">
      <c r="R118" s="169" t="s">
        <v>1728</v>
      </c>
      <c r="S118" s="169">
        <v>0</v>
      </c>
      <c r="T118" s="161">
        <v>0</v>
      </c>
    </row>
    <row r="119" spans="18:20" ht="18.75" customHeight="1">
      <c r="R119" s="169" t="s">
        <v>1730</v>
      </c>
      <c r="S119" s="169">
        <v>0</v>
      </c>
      <c r="T119" s="161">
        <v>0</v>
      </c>
    </row>
    <row r="120" spans="18:20" ht="18.75" customHeight="1">
      <c r="R120" s="169" t="s">
        <v>1731</v>
      </c>
      <c r="S120" s="169">
        <v>0</v>
      </c>
      <c r="T120" s="161">
        <v>0</v>
      </c>
    </row>
    <row r="121" spans="18:20" ht="18.75" customHeight="1">
      <c r="R121" s="169" t="s">
        <v>1732</v>
      </c>
      <c r="S121" s="169">
        <v>0</v>
      </c>
      <c r="T121" s="161">
        <v>0</v>
      </c>
    </row>
    <row r="122" spans="18:20" ht="18.75" customHeight="1">
      <c r="R122" s="169" t="s">
        <v>1733</v>
      </c>
      <c r="S122" s="169">
        <v>0</v>
      </c>
      <c r="T122" s="161">
        <v>0</v>
      </c>
    </row>
    <row r="123" spans="18:20" ht="18.75" customHeight="1">
      <c r="R123" s="169" t="s">
        <v>1735</v>
      </c>
      <c r="S123" s="169">
        <v>0</v>
      </c>
      <c r="T123" s="161">
        <v>0</v>
      </c>
    </row>
    <row r="124" spans="18:20" ht="18.75" customHeight="1">
      <c r="R124" s="169" t="s">
        <v>477</v>
      </c>
      <c r="S124" s="169">
        <v>3</v>
      </c>
      <c r="T124" s="161">
        <v>109095000</v>
      </c>
    </row>
    <row r="125" spans="18:20" ht="18.75" customHeight="1">
      <c r="R125" s="169" t="s">
        <v>44</v>
      </c>
      <c r="S125" s="169">
        <v>4</v>
      </c>
      <c r="T125" s="161">
        <v>3850000</v>
      </c>
    </row>
    <row r="126" spans="18:20" ht="18.75" customHeight="1">
      <c r="R126" s="169" t="s">
        <v>1738</v>
      </c>
      <c r="S126" s="169">
        <v>0</v>
      </c>
      <c r="T126" s="161">
        <v>0</v>
      </c>
    </row>
    <row r="127" spans="18:20" ht="18.75" customHeight="1">
      <c r="R127" s="169" t="s">
        <v>1739</v>
      </c>
      <c r="S127" s="169">
        <v>0</v>
      </c>
      <c r="T127" s="161">
        <v>0</v>
      </c>
    </row>
    <row r="128" spans="18:20" ht="18.75" customHeight="1">
      <c r="R128" s="169" t="s">
        <v>1741</v>
      </c>
      <c r="S128" s="169">
        <v>0</v>
      </c>
      <c r="T128" s="161">
        <v>0</v>
      </c>
    </row>
    <row r="129" spans="18:20" ht="18.75" customHeight="1">
      <c r="R129" s="169" t="s">
        <v>1742</v>
      </c>
      <c r="S129" s="169">
        <v>0</v>
      </c>
      <c r="T129" s="161">
        <v>0</v>
      </c>
    </row>
    <row r="130" spans="18:20" ht="18.75" customHeight="1">
      <c r="R130" s="169" t="s">
        <v>653</v>
      </c>
      <c r="S130" s="169">
        <v>13</v>
      </c>
      <c r="T130" s="161">
        <v>6951910</v>
      </c>
    </row>
    <row r="131" spans="18:20" ht="18.75" customHeight="1">
      <c r="R131" s="169" t="s">
        <v>1743</v>
      </c>
      <c r="S131" s="169">
        <v>0</v>
      </c>
      <c r="T131" s="161">
        <v>0</v>
      </c>
    </row>
    <row r="132" spans="18:20" ht="18.75" customHeight="1">
      <c r="R132" s="169" t="s">
        <v>454</v>
      </c>
      <c r="S132" s="169">
        <v>1</v>
      </c>
      <c r="T132" s="161">
        <v>0</v>
      </c>
    </row>
    <row r="133" spans="18:20" ht="18.75" customHeight="1">
      <c r="R133" s="169" t="s">
        <v>1745</v>
      </c>
      <c r="S133" s="169">
        <v>0</v>
      </c>
      <c r="T133" s="161">
        <v>0</v>
      </c>
    </row>
    <row r="134" spans="18:20" ht="18.75" customHeight="1">
      <c r="R134" s="169" t="s">
        <v>1746</v>
      </c>
      <c r="S134" s="169">
        <v>0</v>
      </c>
      <c r="T134" s="161">
        <v>0</v>
      </c>
    </row>
    <row r="135" spans="18:20" ht="18.75" customHeight="1">
      <c r="R135" s="169" t="s">
        <v>1747</v>
      </c>
      <c r="S135" s="169">
        <v>0</v>
      </c>
      <c r="T135" s="161">
        <v>0</v>
      </c>
    </row>
    <row r="136" spans="18:20" ht="18.75" customHeight="1">
      <c r="R136" s="169" t="s">
        <v>1748</v>
      </c>
      <c r="S136" s="169">
        <v>0</v>
      </c>
      <c r="T136" s="161">
        <v>0</v>
      </c>
    </row>
    <row r="137" spans="18:20" ht="18.75" customHeight="1">
      <c r="R137" s="169" t="s">
        <v>1749</v>
      </c>
      <c r="S137" s="169">
        <v>0</v>
      </c>
      <c r="T137" s="161">
        <v>0</v>
      </c>
    </row>
    <row r="138" spans="18:20" ht="18.75" customHeight="1">
      <c r="R138" s="169" t="s">
        <v>1750</v>
      </c>
      <c r="S138" s="169">
        <v>0</v>
      </c>
      <c r="T138" s="161">
        <v>0</v>
      </c>
    </row>
    <row r="139" spans="18:20" ht="18.75" customHeight="1">
      <c r="R139" s="169" t="s">
        <v>1751</v>
      </c>
      <c r="S139" s="169">
        <v>0</v>
      </c>
      <c r="T139" s="161">
        <v>0</v>
      </c>
    </row>
    <row r="140" spans="18:20" ht="18.75" customHeight="1">
      <c r="R140" s="169" t="s">
        <v>1752</v>
      </c>
      <c r="S140" s="169">
        <v>0</v>
      </c>
      <c r="T140" s="161">
        <v>0</v>
      </c>
    </row>
    <row r="141" spans="18:20" ht="18.75" customHeight="1">
      <c r="R141" s="169" t="s">
        <v>1754</v>
      </c>
      <c r="S141" s="169">
        <v>0</v>
      </c>
      <c r="T141" s="161">
        <v>0</v>
      </c>
    </row>
    <row r="142" spans="18:20" ht="18.75" customHeight="1">
      <c r="R142" s="169" t="s">
        <v>1755</v>
      </c>
      <c r="S142" s="169">
        <v>0</v>
      </c>
      <c r="T142" s="161">
        <v>0</v>
      </c>
    </row>
    <row r="143" spans="18:20" ht="18.75" customHeight="1">
      <c r="R143" s="169" t="s">
        <v>1757</v>
      </c>
      <c r="S143" s="169">
        <v>0</v>
      </c>
      <c r="T143" s="161">
        <v>0</v>
      </c>
    </row>
    <row r="144" spans="18:20" ht="18.75" customHeight="1">
      <c r="R144" s="169" t="s">
        <v>1758</v>
      </c>
      <c r="S144" s="169">
        <v>0</v>
      </c>
      <c r="T144" s="161">
        <v>0</v>
      </c>
    </row>
    <row r="145" spans="18:20" ht="18.75" customHeight="1">
      <c r="R145" s="169" t="s">
        <v>1760</v>
      </c>
      <c r="S145" s="169">
        <v>0</v>
      </c>
      <c r="T145" s="161">
        <v>0</v>
      </c>
    </row>
    <row r="146" spans="18:20" ht="18.75" customHeight="1">
      <c r="R146" s="169" t="s">
        <v>1764</v>
      </c>
      <c r="S146" s="169">
        <v>0</v>
      </c>
      <c r="T146" s="161">
        <v>0</v>
      </c>
    </row>
    <row r="147" spans="18:20" ht="18.75" customHeight="1">
      <c r="R147" s="169" t="s">
        <v>1765</v>
      </c>
      <c r="S147" s="169">
        <v>0</v>
      </c>
      <c r="T147" s="161">
        <v>0</v>
      </c>
    </row>
    <row r="148" spans="18:20" ht="18.75" customHeight="1">
      <c r="R148" s="169" t="s">
        <v>1766</v>
      </c>
      <c r="S148" s="169">
        <v>0</v>
      </c>
      <c r="T148" s="161">
        <v>0</v>
      </c>
    </row>
    <row r="149" spans="18:20" ht="18.75" customHeight="1">
      <c r="R149" s="169" t="s">
        <v>1767</v>
      </c>
      <c r="S149" s="169">
        <v>0</v>
      </c>
      <c r="T149" s="161">
        <v>0</v>
      </c>
    </row>
    <row r="150" spans="18:20" ht="18.75" customHeight="1">
      <c r="R150" s="169" t="s">
        <v>1768</v>
      </c>
      <c r="S150" s="169">
        <v>0</v>
      </c>
      <c r="T150" s="161">
        <v>0</v>
      </c>
    </row>
    <row r="151" spans="18:20" ht="18.75" customHeight="1">
      <c r="R151" s="169" t="s">
        <v>1769</v>
      </c>
      <c r="S151" s="169">
        <v>0</v>
      </c>
      <c r="T151" s="161">
        <v>0</v>
      </c>
    </row>
    <row r="152" spans="18:20" ht="18.75" customHeight="1">
      <c r="R152" s="169" t="s">
        <v>1770</v>
      </c>
      <c r="S152" s="169">
        <v>0</v>
      </c>
      <c r="T152" s="161">
        <v>0</v>
      </c>
    </row>
    <row r="153" spans="18:20" ht="18.75" customHeight="1">
      <c r="R153" s="169" t="s">
        <v>1771</v>
      </c>
      <c r="S153" s="169">
        <v>0</v>
      </c>
      <c r="T153" s="161">
        <v>0</v>
      </c>
    </row>
    <row r="154" spans="18:20" ht="18.75" customHeight="1">
      <c r="R154" s="169" t="s">
        <v>1772</v>
      </c>
      <c r="S154" s="169">
        <v>0</v>
      </c>
      <c r="T154" s="161">
        <v>0</v>
      </c>
    </row>
    <row r="155" spans="18:20" ht="18.75" customHeight="1">
      <c r="R155" s="169" t="s">
        <v>1774</v>
      </c>
      <c r="S155" s="169">
        <v>0</v>
      </c>
      <c r="T155" s="161">
        <v>0</v>
      </c>
    </row>
    <row r="156" spans="18:20" ht="18.75" customHeight="1">
      <c r="R156" s="169" t="s">
        <v>1775</v>
      </c>
      <c r="S156" s="169">
        <v>0</v>
      </c>
      <c r="T156" s="161">
        <v>0</v>
      </c>
    </row>
    <row r="157" spans="18:20" ht="18.75" customHeight="1">
      <c r="R157" s="169" t="s">
        <v>1776</v>
      </c>
      <c r="S157" s="169">
        <v>0</v>
      </c>
      <c r="T157" s="161">
        <v>0</v>
      </c>
    </row>
    <row r="158" spans="18:20" ht="18.75" customHeight="1">
      <c r="R158" s="169" t="s">
        <v>1777</v>
      </c>
      <c r="S158" s="169">
        <v>0</v>
      </c>
      <c r="T158" s="161">
        <v>0</v>
      </c>
    </row>
    <row r="159" spans="18:20" ht="18.75" customHeight="1">
      <c r="R159" s="169" t="s">
        <v>1780</v>
      </c>
      <c r="S159" s="169">
        <v>0</v>
      </c>
      <c r="T159" s="161">
        <v>0</v>
      </c>
    </row>
    <row r="160" spans="18:20" ht="18.75" customHeight="1">
      <c r="R160" s="169" t="s">
        <v>1784</v>
      </c>
      <c r="S160" s="169">
        <v>0</v>
      </c>
      <c r="T160" s="161">
        <v>0</v>
      </c>
    </row>
    <row r="161" spans="18:20" ht="18.75" customHeight="1">
      <c r="R161" s="169" t="s">
        <v>1785</v>
      </c>
      <c r="S161" s="169">
        <v>0</v>
      </c>
      <c r="T161" s="161">
        <v>0</v>
      </c>
    </row>
    <row r="162" spans="18:20" ht="18.75" customHeight="1">
      <c r="R162" s="169" t="s">
        <v>1786</v>
      </c>
      <c r="S162" s="169">
        <v>0</v>
      </c>
      <c r="T162" s="161">
        <v>0</v>
      </c>
    </row>
    <row r="163" spans="18:20" ht="18.75" customHeight="1">
      <c r="R163" s="169" t="s">
        <v>1787</v>
      </c>
      <c r="S163" s="169">
        <v>0</v>
      </c>
      <c r="T163" s="161">
        <v>0</v>
      </c>
    </row>
    <row r="164" spans="18:20" ht="18.75" customHeight="1">
      <c r="R164" s="169" t="s">
        <v>1788</v>
      </c>
      <c r="S164" s="169">
        <v>0</v>
      </c>
      <c r="T164" s="161">
        <v>0</v>
      </c>
    </row>
    <row r="165" spans="18:20" ht="18.75" customHeight="1">
      <c r="R165" s="169" t="s">
        <v>1790</v>
      </c>
      <c r="S165" s="169">
        <v>0</v>
      </c>
      <c r="T165" s="161">
        <v>0</v>
      </c>
    </row>
    <row r="166" spans="18:20" ht="18.75" customHeight="1">
      <c r="R166" s="169" t="s">
        <v>208</v>
      </c>
      <c r="S166" s="169">
        <v>2</v>
      </c>
      <c r="T166" s="161">
        <v>342000</v>
      </c>
    </row>
    <row r="167" spans="18:20" ht="18.75" customHeight="1">
      <c r="R167" s="169" t="s">
        <v>1793</v>
      </c>
      <c r="S167" s="169">
        <v>0</v>
      </c>
      <c r="T167" s="161">
        <v>0</v>
      </c>
    </row>
    <row r="168" spans="18:20" ht="18.75" customHeight="1">
      <c r="R168" s="169" t="s">
        <v>1794</v>
      </c>
      <c r="S168" s="169">
        <v>0</v>
      </c>
      <c r="T168" s="161">
        <v>0</v>
      </c>
    </row>
    <row r="169" spans="18:20" ht="18.75" customHeight="1">
      <c r="R169" s="169" t="s">
        <v>1795</v>
      </c>
      <c r="S169" s="169">
        <v>0</v>
      </c>
      <c r="T169" s="161">
        <v>0</v>
      </c>
    </row>
    <row r="170" spans="18:20" ht="18.75" customHeight="1">
      <c r="R170" s="169" t="s">
        <v>1796</v>
      </c>
      <c r="S170" s="169">
        <v>0</v>
      </c>
      <c r="T170" s="161">
        <v>0</v>
      </c>
    </row>
    <row r="171" spans="18:20" ht="18.75" customHeight="1">
      <c r="R171" s="169" t="s">
        <v>1797</v>
      </c>
      <c r="S171" s="169">
        <v>0</v>
      </c>
      <c r="T171" s="161">
        <v>0</v>
      </c>
    </row>
    <row r="172" spans="18:20" ht="18.75" customHeight="1">
      <c r="R172" s="169" t="s">
        <v>1803</v>
      </c>
      <c r="S172" s="169">
        <v>0</v>
      </c>
      <c r="T172" s="161">
        <v>0</v>
      </c>
    </row>
    <row r="173" spans="18:20" ht="18.75" customHeight="1">
      <c r="R173" s="169" t="s">
        <v>1804</v>
      </c>
      <c r="S173" s="169">
        <v>0</v>
      </c>
      <c r="T173" s="161">
        <v>0</v>
      </c>
    </row>
    <row r="174" spans="18:20" ht="18.75" customHeight="1">
      <c r="R174" s="169" t="s">
        <v>525</v>
      </c>
      <c r="S174" s="169">
        <v>1</v>
      </c>
      <c r="T174" s="161">
        <v>0</v>
      </c>
    </row>
    <row r="175" spans="18:20" ht="18.75" customHeight="1">
      <c r="R175" s="169" t="s">
        <v>1806</v>
      </c>
      <c r="S175" s="169">
        <v>0</v>
      </c>
      <c r="T175" s="161">
        <v>0</v>
      </c>
    </row>
    <row r="176" spans="18:20" ht="18.75" customHeight="1">
      <c r="R176" s="169" t="s">
        <v>1807</v>
      </c>
      <c r="S176" s="169">
        <v>0</v>
      </c>
      <c r="T176" s="161">
        <v>0</v>
      </c>
    </row>
    <row r="177" spans="18:20" ht="18.75" customHeight="1">
      <c r="R177" s="169" t="s">
        <v>1809</v>
      </c>
      <c r="S177" s="169">
        <v>0</v>
      </c>
      <c r="T177" s="161">
        <v>0</v>
      </c>
    </row>
    <row r="178" spans="18:20" ht="18.75" customHeight="1">
      <c r="R178" s="169" t="s">
        <v>1810</v>
      </c>
      <c r="S178" s="169">
        <v>0</v>
      </c>
      <c r="T178" s="161">
        <v>0</v>
      </c>
    </row>
    <row r="179" spans="18:20" ht="18.75" customHeight="1">
      <c r="R179" s="169" t="s">
        <v>1814</v>
      </c>
      <c r="S179" s="169">
        <v>0</v>
      </c>
      <c r="T179" s="161">
        <v>0</v>
      </c>
    </row>
    <row r="180" spans="18:20" ht="18.75" customHeight="1">
      <c r="R180" s="169" t="s">
        <v>1815</v>
      </c>
      <c r="S180" s="169">
        <v>0</v>
      </c>
      <c r="T180" s="161">
        <v>0</v>
      </c>
    </row>
    <row r="181" spans="18:20" ht="18.75" customHeight="1">
      <c r="R181" s="169" t="s">
        <v>1817</v>
      </c>
      <c r="S181" s="169">
        <v>0</v>
      </c>
      <c r="T181" s="161">
        <v>0</v>
      </c>
    </row>
    <row r="182" spans="18:20" ht="18.75" customHeight="1">
      <c r="R182" s="169" t="s">
        <v>532</v>
      </c>
      <c r="S182" s="169">
        <v>3</v>
      </c>
      <c r="T182" s="161">
        <v>3480000</v>
      </c>
    </row>
    <row r="183" spans="18:20" ht="18.75" customHeight="1">
      <c r="R183" s="169" t="s">
        <v>1819</v>
      </c>
      <c r="S183" s="169">
        <v>0</v>
      </c>
      <c r="T183" s="161">
        <v>0</v>
      </c>
    </row>
    <row r="184" spans="18:20" ht="18.75" customHeight="1">
      <c r="R184" s="169" t="s">
        <v>1821</v>
      </c>
      <c r="S184" s="169">
        <v>0</v>
      </c>
      <c r="T184" s="161">
        <v>0</v>
      </c>
    </row>
    <row r="185" spans="18:20" ht="18.75" customHeight="1">
      <c r="R185" s="169" t="s">
        <v>911</v>
      </c>
      <c r="S185" s="169">
        <v>0</v>
      </c>
      <c r="T185" s="161">
        <v>0</v>
      </c>
    </row>
    <row r="186" spans="18:20" ht="18.75" customHeight="1">
      <c r="R186" s="169" t="s">
        <v>773</v>
      </c>
      <c r="S186" s="169">
        <v>0</v>
      </c>
      <c r="T186" s="161">
        <v>0</v>
      </c>
    </row>
    <row r="187" spans="18:20" ht="18.75" customHeight="1">
      <c r="R187" s="169" t="s">
        <v>1823</v>
      </c>
      <c r="S187" s="169">
        <v>0</v>
      </c>
      <c r="T187" s="161">
        <v>0</v>
      </c>
    </row>
    <row r="188" spans="18:20" ht="18.75" customHeight="1">
      <c r="R188" s="169" t="s">
        <v>1824</v>
      </c>
      <c r="S188" s="169">
        <v>0</v>
      </c>
      <c r="T188" s="161">
        <v>0</v>
      </c>
    </row>
    <row r="189" spans="18:20" ht="18.75" customHeight="1">
      <c r="R189" s="169" t="s">
        <v>1825</v>
      </c>
      <c r="S189" s="169">
        <v>0</v>
      </c>
      <c r="T189" s="161">
        <v>0</v>
      </c>
    </row>
    <row r="190" spans="18:20" ht="18.75" customHeight="1">
      <c r="R190" s="169" t="s">
        <v>1826</v>
      </c>
      <c r="S190" s="169">
        <v>0</v>
      </c>
      <c r="T190" s="161">
        <v>0</v>
      </c>
    </row>
    <row r="191" spans="18:20" ht="18.75" customHeight="1">
      <c r="R191" s="169" t="s">
        <v>1827</v>
      </c>
      <c r="S191" s="169">
        <v>0</v>
      </c>
      <c r="T191" s="161">
        <v>0</v>
      </c>
    </row>
    <row r="192" spans="18:20" ht="18.75" customHeight="1">
      <c r="R192" s="169" t="s">
        <v>1828</v>
      </c>
      <c r="S192" s="169">
        <v>0</v>
      </c>
      <c r="T192" s="161">
        <v>0</v>
      </c>
    </row>
    <row r="193" spans="18:20" ht="18.75" customHeight="1">
      <c r="R193" s="169" t="s">
        <v>1829</v>
      </c>
      <c r="S193" s="169">
        <v>0</v>
      </c>
      <c r="T193" s="161">
        <v>0</v>
      </c>
    </row>
    <row r="194" spans="18:20" ht="18.75" customHeight="1">
      <c r="R194" s="169" t="s">
        <v>1830</v>
      </c>
      <c r="S194" s="169">
        <v>0</v>
      </c>
      <c r="T194" s="161">
        <v>0</v>
      </c>
    </row>
    <row r="195" spans="18:20" ht="18.75" customHeight="1">
      <c r="R195" s="169" t="s">
        <v>1831</v>
      </c>
      <c r="S195" s="169">
        <v>0</v>
      </c>
      <c r="T195" s="161">
        <v>0</v>
      </c>
    </row>
    <row r="196" spans="18:20" ht="18.75" customHeight="1">
      <c r="R196" s="169" t="s">
        <v>1832</v>
      </c>
      <c r="S196" s="169">
        <v>0</v>
      </c>
      <c r="T196" s="161">
        <v>0</v>
      </c>
    </row>
    <row r="197" spans="18:20" ht="18.75" customHeight="1">
      <c r="R197" s="169" t="s">
        <v>1833</v>
      </c>
      <c r="S197" s="169">
        <v>0</v>
      </c>
      <c r="T197" s="161">
        <v>0</v>
      </c>
    </row>
    <row r="198" spans="18:20" ht="18.75" customHeight="1">
      <c r="R198" s="169" t="s">
        <v>1834</v>
      </c>
      <c r="S198" s="169">
        <v>0</v>
      </c>
      <c r="T198" s="161">
        <v>0</v>
      </c>
    </row>
    <row r="199" spans="18:20" ht="18.75" customHeight="1">
      <c r="R199" s="169" t="s">
        <v>1836</v>
      </c>
      <c r="S199" s="169">
        <v>0</v>
      </c>
      <c r="T199" s="161">
        <v>0</v>
      </c>
    </row>
    <row r="200" spans="18:20" ht="18.75" customHeight="1">
      <c r="R200" s="169" t="s">
        <v>1837</v>
      </c>
      <c r="S200" s="169">
        <v>0</v>
      </c>
      <c r="T200" s="161">
        <v>0</v>
      </c>
    </row>
    <row r="201" spans="18:20" ht="18.75" customHeight="1">
      <c r="R201" s="169" t="s">
        <v>1839</v>
      </c>
      <c r="S201" s="169">
        <v>0</v>
      </c>
      <c r="T201" s="161">
        <v>0</v>
      </c>
    </row>
    <row r="202" spans="18:20" ht="18.75" customHeight="1">
      <c r="R202" s="169" t="s">
        <v>1840</v>
      </c>
      <c r="S202" s="169">
        <v>0</v>
      </c>
      <c r="T202" s="161">
        <v>0</v>
      </c>
    </row>
    <row r="203" spans="18:20" ht="18.75" customHeight="1">
      <c r="R203" s="169" t="s">
        <v>1841</v>
      </c>
      <c r="S203" s="169">
        <v>0</v>
      </c>
      <c r="T203" s="161">
        <v>0</v>
      </c>
    </row>
    <row r="204" spans="18:20" ht="18.75" customHeight="1">
      <c r="R204" s="169" t="s">
        <v>59</v>
      </c>
      <c r="S204" s="169">
        <v>0</v>
      </c>
      <c r="T204" s="161">
        <v>0</v>
      </c>
    </row>
    <row r="205" spans="18:20" ht="18.75" customHeight="1">
      <c r="R205"/>
      <c r="S205"/>
      <c r="T205"/>
    </row>
  </sheetData>
  <dataConsolidate/>
  <mergeCells count="8">
    <mergeCell ref="AB1:AF1"/>
    <mergeCell ref="K1:M1"/>
    <mergeCell ref="N1:P1"/>
    <mergeCell ref="D1:F1"/>
    <mergeCell ref="G1:I1"/>
    <mergeCell ref="R1:T1"/>
    <mergeCell ref="U1:W1"/>
    <mergeCell ref="X1:Z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50800</xdr:rowOff>
                  </from>
                  <to>
                    <xdr:col>1</xdr:col>
                    <xdr:colOff>660400</xdr:colOff>
                    <xdr:row>2</xdr:row>
                    <xdr:rowOff>146050</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660400</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31750</xdr:colOff>
                    <xdr:row>4</xdr:row>
                    <xdr:rowOff>31750</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31750</xdr:colOff>
                    <xdr:row>4</xdr:row>
                    <xdr:rowOff>31750</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31750</xdr:colOff>
                    <xdr:row>4</xdr:row>
                    <xdr:rowOff>31750</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31750</xdr:colOff>
                    <xdr:row>4</xdr:row>
                    <xdr:rowOff>31750</xdr:rowOff>
                  </from>
                  <to>
                    <xdr:col>6</xdr:col>
                    <xdr:colOff>647700</xdr:colOff>
                    <xdr:row>4</xdr:row>
                    <xdr:rowOff>209550</xdr:rowOff>
                  </to>
                </anchor>
              </controlPr>
            </control>
          </mc:Choice>
        </mc:AlternateContent>
        <mc:AlternateContent xmlns:mc="http://schemas.openxmlformats.org/markup-compatibility/2006">
          <mc:Choice Requires="x14">
            <control shapeId="8210" r:id="rId10" name="Button 18">
              <controlPr defaultSize="0" print="0" autoFill="0" autoPict="0" macro="[0]!Sheet1.取引区分別個別審査件数集計">
                <anchor moveWithCells="1" sizeWithCells="1">
                  <from>
                    <xdr:col>11</xdr:col>
                    <xdr:colOff>31750</xdr:colOff>
                    <xdr:row>4</xdr:row>
                    <xdr:rowOff>31750</xdr:rowOff>
                  </from>
                  <to>
                    <xdr:col>11</xdr:col>
                    <xdr:colOff>647700</xdr:colOff>
                    <xdr:row>4</xdr:row>
                    <xdr:rowOff>209550</xdr:rowOff>
                  </to>
                </anchor>
              </controlPr>
            </control>
          </mc:Choice>
        </mc:AlternateContent>
        <mc:AlternateContent xmlns:mc="http://schemas.openxmlformats.org/markup-compatibility/2006">
          <mc:Choice Requires="x14">
            <control shapeId="8211" r:id="rId11" name="Button 19">
              <controlPr defaultSize="0" print="0" autoFill="0" autoPict="0" macro="[0]!Sheet1.取引集計_非ゼロ更新">
                <anchor moveWithCells="1" sizeWithCells="1">
                  <from>
                    <xdr:col>13</xdr:col>
                    <xdr:colOff>31750</xdr:colOff>
                    <xdr:row>4</xdr:row>
                    <xdr:rowOff>31750</xdr:rowOff>
                  </from>
                  <to>
                    <xdr:col>13</xdr:col>
                    <xdr:colOff>647700</xdr:colOff>
                    <xdr:row>4</xdr:row>
                    <xdr:rowOff>209550</xdr:rowOff>
                  </to>
                </anchor>
              </controlPr>
            </control>
          </mc:Choice>
        </mc:AlternateContent>
        <mc:AlternateContent xmlns:mc="http://schemas.openxmlformats.org/markup-compatibility/2006">
          <mc:Choice Requires="x14">
            <control shapeId="8215" r:id="rId12" name="Button 23">
              <controlPr defaultSize="0" print="0" autoFill="0" autoPict="0" macro="[0]!Sheet1.仕向地別集計">
                <anchor moveWithCells="1" sizeWithCells="1">
                  <from>
                    <xdr:col>17</xdr:col>
                    <xdr:colOff>31750</xdr:colOff>
                    <xdr:row>4</xdr:row>
                    <xdr:rowOff>31750</xdr:rowOff>
                  </from>
                  <to>
                    <xdr:col>17</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R23"/>
  <sheetViews>
    <sheetView workbookViewId="0">
      <selection activeCell="D2" sqref="D2"/>
    </sheetView>
  </sheetViews>
  <sheetFormatPr defaultColWidth="9" defaultRowHeight="13"/>
  <cols>
    <col min="1" max="16384" width="9" style="138"/>
  </cols>
  <sheetData>
    <row r="1" spans="1:18">
      <c r="A1" s="139" t="s">
        <v>1486</v>
      </c>
      <c r="B1" s="139" t="s">
        <v>1487</v>
      </c>
      <c r="D1" s="139" t="s">
        <v>1488</v>
      </c>
      <c r="E1" s="139" t="s">
        <v>1489</v>
      </c>
    </row>
    <row r="2" spans="1:18" ht="18">
      <c r="D2" t="s">
        <v>1517</v>
      </c>
      <c r="E2" t="s">
        <v>1072</v>
      </c>
      <c r="F2" t="s">
        <v>1074</v>
      </c>
      <c r="G2" t="s">
        <v>1518</v>
      </c>
      <c r="H2" t="s">
        <v>1078</v>
      </c>
      <c r="I2" t="s">
        <v>1079</v>
      </c>
      <c r="J2" t="s">
        <v>1081</v>
      </c>
      <c r="K2" t="s">
        <v>1082</v>
      </c>
      <c r="L2" t="s">
        <v>886</v>
      </c>
      <c r="M2" t="s">
        <v>604</v>
      </c>
      <c r="N2" t="s">
        <v>408</v>
      </c>
      <c r="O2" t="s">
        <v>1086</v>
      </c>
      <c r="P2" t="s">
        <v>1087</v>
      </c>
      <c r="Q2" t="s">
        <v>1089</v>
      </c>
      <c r="R2"/>
    </row>
    <row r="3" spans="1:18" ht="18">
      <c r="D3" t="s">
        <v>1242</v>
      </c>
      <c r="E3" t="s">
        <v>1090</v>
      </c>
      <c r="F3" t="s">
        <v>1092</v>
      </c>
      <c r="G3" t="s">
        <v>1093</v>
      </c>
      <c r="H3" t="s">
        <v>1094</v>
      </c>
      <c r="I3" t="s">
        <v>1096</v>
      </c>
      <c r="J3" t="s">
        <v>1519</v>
      </c>
      <c r="K3" t="s">
        <v>1520</v>
      </c>
      <c r="L3" t="s">
        <v>1099</v>
      </c>
      <c r="M3"/>
      <c r="N3"/>
      <c r="O3"/>
      <c r="P3"/>
      <c r="Q3"/>
      <c r="R3"/>
    </row>
    <row r="4" spans="1:18" ht="18">
      <c r="D4" t="s">
        <v>1260</v>
      </c>
      <c r="E4" t="s">
        <v>139</v>
      </c>
      <c r="F4" t="s">
        <v>47</v>
      </c>
      <c r="G4" t="s">
        <v>1102</v>
      </c>
      <c r="H4" t="s">
        <v>1521</v>
      </c>
      <c r="I4" t="s">
        <v>1104</v>
      </c>
      <c r="J4" t="s">
        <v>101</v>
      </c>
      <c r="K4" t="s">
        <v>1105</v>
      </c>
      <c r="L4" t="s">
        <v>32</v>
      </c>
      <c r="M4" t="s">
        <v>128</v>
      </c>
      <c r="N4" t="s">
        <v>1106</v>
      </c>
      <c r="O4" t="s">
        <v>90</v>
      </c>
      <c r="P4" t="s">
        <v>596</v>
      </c>
      <c r="Q4" t="s">
        <v>1109</v>
      </c>
      <c r="R4" t="s">
        <v>1110</v>
      </c>
    </row>
    <row r="5" spans="1:18" ht="18">
      <c r="D5" t="s">
        <v>1287</v>
      </c>
      <c r="E5" t="s">
        <v>1522</v>
      </c>
      <c r="F5" t="s">
        <v>191</v>
      </c>
      <c r="G5" t="s">
        <v>1523</v>
      </c>
      <c r="H5" t="s">
        <v>1524</v>
      </c>
      <c r="I5"/>
      <c r="J5"/>
      <c r="K5"/>
      <c r="L5"/>
      <c r="M5"/>
      <c r="N5"/>
      <c r="O5"/>
      <c r="P5"/>
      <c r="Q5"/>
      <c r="R5"/>
    </row>
    <row r="6" spans="1:18" ht="18">
      <c r="D6" t="s">
        <v>1296</v>
      </c>
      <c r="E6" t="s">
        <v>1525</v>
      </c>
      <c r="F6" t="s">
        <v>368</v>
      </c>
      <c r="G6" t="s">
        <v>1195</v>
      </c>
      <c r="H6" t="s">
        <v>1117</v>
      </c>
      <c r="I6"/>
      <c r="J6"/>
      <c r="K6"/>
      <c r="L6"/>
      <c r="M6"/>
      <c r="N6"/>
      <c r="O6"/>
      <c r="P6"/>
      <c r="Q6"/>
      <c r="R6"/>
    </row>
    <row r="7" spans="1:18" ht="18">
      <c r="D7" t="s">
        <v>1526</v>
      </c>
      <c r="E7" t="s">
        <v>1527</v>
      </c>
      <c r="F7" t="s">
        <v>1528</v>
      </c>
      <c r="G7" t="s">
        <v>635</v>
      </c>
      <c r="H7" t="s">
        <v>1529</v>
      </c>
      <c r="I7" t="s">
        <v>1530</v>
      </c>
      <c r="J7" t="s">
        <v>1531</v>
      </c>
      <c r="K7"/>
      <c r="L7"/>
      <c r="M7"/>
      <c r="N7"/>
      <c r="O7"/>
      <c r="P7"/>
      <c r="Q7"/>
      <c r="R7"/>
    </row>
    <row r="8" spans="1:18" ht="18">
      <c r="D8" t="s">
        <v>1532</v>
      </c>
      <c r="E8" t="s">
        <v>1533</v>
      </c>
      <c r="F8" t="s">
        <v>271</v>
      </c>
      <c r="G8" t="s">
        <v>1534</v>
      </c>
      <c r="H8" t="s">
        <v>1535</v>
      </c>
      <c r="I8" t="s">
        <v>264</v>
      </c>
      <c r="J8" t="s">
        <v>1536</v>
      </c>
      <c r="K8"/>
      <c r="L8"/>
      <c r="M8"/>
      <c r="N8"/>
      <c r="O8"/>
      <c r="P8"/>
      <c r="Q8"/>
      <c r="R8"/>
    </row>
    <row r="9" spans="1:18" ht="18">
      <c r="D9" t="s">
        <v>1537</v>
      </c>
      <c r="E9" t="s">
        <v>1538</v>
      </c>
      <c r="F9" t="s">
        <v>396</v>
      </c>
      <c r="G9" t="s">
        <v>236</v>
      </c>
      <c r="H9" t="s">
        <v>1539</v>
      </c>
      <c r="I9"/>
      <c r="J9"/>
      <c r="K9"/>
      <c r="L9"/>
      <c r="M9"/>
      <c r="N9"/>
      <c r="O9"/>
      <c r="P9"/>
      <c r="Q9"/>
      <c r="R9"/>
    </row>
    <row r="10" spans="1:18" ht="18">
      <c r="D10" t="s">
        <v>1540</v>
      </c>
      <c r="E10" t="s">
        <v>718</v>
      </c>
      <c r="F10" t="s">
        <v>1541</v>
      </c>
      <c r="G10" t="s">
        <v>1542</v>
      </c>
      <c r="H10" t="s">
        <v>1543</v>
      </c>
      <c r="I10"/>
      <c r="J10"/>
      <c r="K10"/>
      <c r="L10"/>
      <c r="M10"/>
      <c r="N10"/>
      <c r="O10"/>
      <c r="P10"/>
      <c r="Q10"/>
      <c r="R10"/>
    </row>
    <row r="11" spans="1:18" ht="18">
      <c r="D11" t="s">
        <v>1544</v>
      </c>
      <c r="E11" t="s">
        <v>1545</v>
      </c>
      <c r="F11" t="s">
        <v>1546</v>
      </c>
      <c r="G11"/>
      <c r="H11"/>
      <c r="I11"/>
      <c r="J11"/>
      <c r="K11"/>
      <c r="L11"/>
      <c r="M11"/>
      <c r="N11"/>
      <c r="O11"/>
      <c r="P11"/>
      <c r="Q11"/>
      <c r="R11"/>
    </row>
    <row r="12" spans="1:18" ht="18">
      <c r="D12" t="s">
        <v>1547</v>
      </c>
      <c r="E12" t="s">
        <v>1548</v>
      </c>
      <c r="F12" t="s">
        <v>1549</v>
      </c>
      <c r="G12" t="s">
        <v>1550</v>
      </c>
      <c r="H12" t="s">
        <v>1551</v>
      </c>
      <c r="I12" t="s">
        <v>1552</v>
      </c>
      <c r="J12"/>
      <c r="K12"/>
      <c r="L12"/>
      <c r="M12"/>
      <c r="N12"/>
      <c r="O12"/>
      <c r="P12"/>
      <c r="Q12"/>
      <c r="R12"/>
    </row>
    <row r="13" spans="1:18" ht="18">
      <c r="D13" t="s">
        <v>1553</v>
      </c>
      <c r="E13"/>
      <c r="F13"/>
      <c r="G13"/>
      <c r="H13"/>
      <c r="I13"/>
      <c r="J13"/>
      <c r="K13"/>
      <c r="L13"/>
      <c r="M13"/>
      <c r="N13"/>
      <c r="O13"/>
      <c r="P13"/>
      <c r="Q13"/>
      <c r="R13"/>
    </row>
    <row r="14" spans="1:18" ht="18">
      <c r="D14" t="s">
        <v>1554</v>
      </c>
      <c r="E14" t="s">
        <v>1555</v>
      </c>
      <c r="F14" t="s">
        <v>1556</v>
      </c>
      <c r="G14" t="s">
        <v>1557</v>
      </c>
      <c r="H14"/>
      <c r="I14"/>
      <c r="J14"/>
      <c r="K14"/>
      <c r="L14"/>
      <c r="M14"/>
      <c r="N14"/>
      <c r="O14"/>
      <c r="P14"/>
      <c r="Q14"/>
      <c r="R14"/>
    </row>
    <row r="15" spans="1:18" ht="18">
      <c r="D15" t="s">
        <v>1558</v>
      </c>
      <c r="E15" t="s">
        <v>1559</v>
      </c>
      <c r="F15" t="s">
        <v>1149</v>
      </c>
      <c r="G15" t="s">
        <v>1150</v>
      </c>
      <c r="H15" t="s">
        <v>1151</v>
      </c>
      <c r="I15"/>
      <c r="J15"/>
      <c r="K15"/>
      <c r="L15"/>
      <c r="M15"/>
      <c r="N15"/>
      <c r="O15"/>
      <c r="P15"/>
      <c r="Q15"/>
      <c r="R15"/>
    </row>
    <row r="16" spans="1:18" ht="18">
      <c r="D16" t="s">
        <v>1385</v>
      </c>
      <c r="E16"/>
      <c r="F16"/>
      <c r="G16"/>
      <c r="H16"/>
      <c r="I16"/>
      <c r="J16"/>
      <c r="K16"/>
      <c r="L16"/>
      <c r="M16"/>
      <c r="N16"/>
      <c r="O16"/>
      <c r="P16"/>
      <c r="Q16"/>
      <c r="R16"/>
    </row>
    <row r="17" spans="4:18" ht="18">
      <c r="D17" t="s">
        <v>1560</v>
      </c>
      <c r="E17" t="s">
        <v>1561</v>
      </c>
      <c r="F17" t="s">
        <v>1562</v>
      </c>
      <c r="G17" t="s">
        <v>1563</v>
      </c>
      <c r="H17" t="s">
        <v>1564</v>
      </c>
      <c r="I17"/>
      <c r="J17"/>
      <c r="K17"/>
      <c r="L17"/>
      <c r="M17"/>
      <c r="N17"/>
      <c r="O17"/>
      <c r="P17"/>
      <c r="Q17"/>
      <c r="R17"/>
    </row>
    <row r="18" spans="4:18" ht="18">
      <c r="D18" t="s">
        <v>1398</v>
      </c>
      <c r="E18" t="s">
        <v>1156</v>
      </c>
      <c r="F18" t="s">
        <v>1157</v>
      </c>
      <c r="G18" t="s">
        <v>1565</v>
      </c>
      <c r="H18" t="s">
        <v>1159</v>
      </c>
      <c r="I18" t="s">
        <v>1160</v>
      </c>
      <c r="J18" t="s">
        <v>1410</v>
      </c>
      <c r="K18" t="s">
        <v>1161</v>
      </c>
      <c r="L18" t="s">
        <v>1566</v>
      </c>
      <c r="M18" t="s">
        <v>1567</v>
      </c>
      <c r="N18"/>
      <c r="O18"/>
      <c r="P18"/>
      <c r="Q18"/>
      <c r="R18"/>
    </row>
    <row r="19" spans="4:18" ht="18">
      <c r="D19" t="s">
        <v>1419</v>
      </c>
      <c r="E19" t="s">
        <v>1164</v>
      </c>
      <c r="F19" t="s">
        <v>1165</v>
      </c>
      <c r="G19" t="s">
        <v>1166</v>
      </c>
      <c r="H19" t="s">
        <v>1167</v>
      </c>
      <c r="I19"/>
      <c r="J19"/>
      <c r="K19"/>
      <c r="L19"/>
      <c r="M19"/>
      <c r="N19"/>
      <c r="O19"/>
      <c r="P19"/>
      <c r="Q19"/>
      <c r="R19"/>
    </row>
    <row r="20" spans="4:18" ht="18">
      <c r="D20" t="s">
        <v>545</v>
      </c>
      <c r="E20" t="s">
        <v>1568</v>
      </c>
      <c r="F20"/>
      <c r="G20"/>
      <c r="H20"/>
      <c r="I20"/>
      <c r="J20"/>
      <c r="K20"/>
      <c r="L20"/>
      <c r="M20"/>
      <c r="N20"/>
      <c r="O20"/>
      <c r="P20"/>
      <c r="Q20"/>
      <c r="R20"/>
    </row>
    <row r="21" spans="4:18" ht="18">
      <c r="D21" t="s">
        <v>1434</v>
      </c>
      <c r="E21"/>
      <c r="F21"/>
      <c r="G21"/>
      <c r="H21"/>
      <c r="I21"/>
      <c r="J21"/>
      <c r="K21"/>
      <c r="L21"/>
      <c r="M21"/>
      <c r="N21"/>
      <c r="O21"/>
      <c r="P21"/>
      <c r="Q21"/>
      <c r="R21"/>
    </row>
    <row r="22" spans="4:18" ht="18">
      <c r="D22" t="s">
        <v>1437</v>
      </c>
      <c r="E22"/>
      <c r="F22"/>
      <c r="G22"/>
      <c r="H22"/>
      <c r="I22"/>
      <c r="J22"/>
      <c r="K22"/>
      <c r="L22"/>
      <c r="M22"/>
      <c r="N22"/>
      <c r="O22"/>
      <c r="P22"/>
      <c r="Q22"/>
      <c r="R22"/>
    </row>
    <row r="23" spans="4:18" ht="18.75" customHeight="1">
      <c r="D23"/>
      <c r="E23"/>
      <c r="F23"/>
      <c r="G23"/>
      <c r="H23"/>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107950</xdr:colOff>
                    <xdr:row>0</xdr:row>
                    <xdr:rowOff>50800</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200"/>
  <sheetViews>
    <sheetView workbookViewId="0">
      <selection activeCell="D1" sqref="D1:D1048576"/>
    </sheetView>
  </sheetViews>
  <sheetFormatPr defaultColWidth="9" defaultRowHeight="13"/>
  <cols>
    <col min="1" max="3" width="9" style="138"/>
    <col min="4" max="4" width="17.25" style="138" bestFit="1" customWidth="1"/>
    <col min="5" max="5" width="9" style="138"/>
    <col min="6" max="11" width="20.08203125" style="138" customWidth="1"/>
    <col min="12" max="16384" width="9" style="138"/>
  </cols>
  <sheetData>
    <row r="1" spans="1:11">
      <c r="A1" s="139" t="s">
        <v>1486</v>
      </c>
      <c r="B1" s="139" t="s">
        <v>1487</v>
      </c>
      <c r="D1" s="139" t="s">
        <v>1861</v>
      </c>
      <c r="F1" s="139" t="s">
        <v>1488</v>
      </c>
      <c r="G1" s="139" t="s">
        <v>1489</v>
      </c>
    </row>
    <row r="2" spans="1:11" ht="17.5">
      <c r="D2" s="166" t="s">
        <v>242</v>
      </c>
      <c r="F2" s="155" t="s">
        <v>1569</v>
      </c>
      <c r="G2" s="155"/>
      <c r="H2" s="155"/>
      <c r="I2" s="155"/>
      <c r="J2" s="155"/>
      <c r="K2" s="155"/>
    </row>
    <row r="3" spans="1:11" ht="17.5">
      <c r="F3" s="155" t="s">
        <v>1570</v>
      </c>
      <c r="G3" s="155" t="s">
        <v>68</v>
      </c>
      <c r="H3" s="155" t="s">
        <v>1571</v>
      </c>
      <c r="I3" s="155" t="s">
        <v>1572</v>
      </c>
      <c r="J3" s="155"/>
      <c r="K3" s="155"/>
    </row>
    <row r="4" spans="1:11" ht="17.5">
      <c r="F4" s="155" t="s">
        <v>1573</v>
      </c>
      <c r="G4" s="155"/>
      <c r="H4" s="155"/>
      <c r="I4" s="155"/>
      <c r="J4" s="155"/>
      <c r="K4" s="155"/>
    </row>
    <row r="5" spans="1:11" ht="17.5">
      <c r="F5" s="155" t="s">
        <v>514</v>
      </c>
      <c r="G5" s="155" t="s">
        <v>1574</v>
      </c>
      <c r="H5" s="155"/>
      <c r="I5" s="155"/>
      <c r="J5" s="155"/>
      <c r="K5" s="155"/>
    </row>
    <row r="6" spans="1:11" ht="17.5">
      <c r="F6" s="155" t="s">
        <v>1575</v>
      </c>
      <c r="G6" s="155" t="s">
        <v>79</v>
      </c>
      <c r="H6" s="155"/>
      <c r="I6" s="155"/>
      <c r="J6" s="155"/>
      <c r="K6" s="155"/>
    </row>
    <row r="7" spans="1:11" ht="17.5">
      <c r="F7" s="155" t="s">
        <v>780</v>
      </c>
      <c r="G7" s="155" t="s">
        <v>1576</v>
      </c>
      <c r="H7" s="155"/>
      <c r="I7" s="155"/>
      <c r="J7" s="155"/>
      <c r="K7" s="155"/>
    </row>
    <row r="8" spans="1:11" ht="17.5">
      <c r="F8" s="155" t="s">
        <v>1577</v>
      </c>
      <c r="G8" s="155" t="s">
        <v>1578</v>
      </c>
      <c r="H8" s="155"/>
      <c r="I8" s="155"/>
      <c r="J8" s="155"/>
      <c r="K8" s="155"/>
    </row>
    <row r="9" spans="1:11" ht="17.5">
      <c r="F9" s="155" t="s">
        <v>639</v>
      </c>
      <c r="G9" s="155" t="s">
        <v>1579</v>
      </c>
      <c r="H9" s="155" t="s">
        <v>1580</v>
      </c>
      <c r="I9" s="155" t="s">
        <v>1581</v>
      </c>
      <c r="J9" s="155"/>
      <c r="K9" s="155"/>
    </row>
    <row r="10" spans="1:11" ht="17.5">
      <c r="F10" s="155" t="s">
        <v>105</v>
      </c>
      <c r="G10" s="155"/>
      <c r="H10" s="155"/>
      <c r="I10" s="155"/>
      <c r="J10" s="155"/>
      <c r="K10" s="155"/>
    </row>
    <row r="11" spans="1:11" ht="17.5">
      <c r="F11" s="155" t="s">
        <v>1582</v>
      </c>
      <c r="G11" s="155"/>
      <c r="H11" s="155"/>
      <c r="I11" s="155"/>
      <c r="J11" s="155"/>
      <c r="K11" s="155"/>
    </row>
    <row r="12" spans="1:11" ht="17.5">
      <c r="F12" s="155" t="s">
        <v>28</v>
      </c>
      <c r="G12" s="155"/>
      <c r="H12" s="155"/>
      <c r="I12" s="155"/>
      <c r="J12" s="155"/>
      <c r="K12" s="155"/>
    </row>
    <row r="13" spans="1:11" ht="17.5">
      <c r="F13" s="155" t="s">
        <v>1583</v>
      </c>
      <c r="G13" s="155" t="s">
        <v>1584</v>
      </c>
      <c r="H13" s="155" t="s">
        <v>1585</v>
      </c>
      <c r="I13" s="155" t="s">
        <v>1586</v>
      </c>
      <c r="J13" s="155"/>
      <c r="K13" s="155"/>
    </row>
    <row r="14" spans="1:11" ht="17.5">
      <c r="F14" s="155" t="s">
        <v>903</v>
      </c>
      <c r="G14" s="155"/>
      <c r="H14" s="155"/>
      <c r="I14" s="155"/>
      <c r="J14" s="155"/>
      <c r="K14" s="155"/>
    </row>
    <row r="15" spans="1:11" ht="17.5">
      <c r="F15" s="155" t="s">
        <v>1587</v>
      </c>
      <c r="G15" s="155" t="s">
        <v>124</v>
      </c>
      <c r="H15" s="171"/>
      <c r="I15" s="155"/>
      <c r="J15" s="155"/>
      <c r="K15" s="155"/>
    </row>
    <row r="16" spans="1:11" ht="17.5">
      <c r="F16" s="155" t="s">
        <v>999</v>
      </c>
      <c r="G16" s="155"/>
      <c r="H16" s="155"/>
      <c r="I16" s="155"/>
      <c r="J16" s="155"/>
      <c r="K16" s="155"/>
    </row>
    <row r="17" spans="6:11" ht="17.5">
      <c r="F17" s="155" t="s">
        <v>1588</v>
      </c>
      <c r="G17" s="155"/>
      <c r="H17" s="155"/>
      <c r="I17" s="155"/>
      <c r="J17" s="155"/>
      <c r="K17" s="155"/>
    </row>
    <row r="18" spans="6:11" ht="17.5">
      <c r="F18" s="155" t="s">
        <v>222</v>
      </c>
      <c r="G18" s="155"/>
      <c r="H18" s="155"/>
      <c r="I18" s="155"/>
      <c r="J18" s="155"/>
      <c r="K18" s="155"/>
    </row>
    <row r="19" spans="6:11" ht="17.5">
      <c r="F19" s="155" t="s">
        <v>1589</v>
      </c>
      <c r="G19" s="155"/>
      <c r="H19" s="155"/>
      <c r="I19" s="155"/>
      <c r="J19" s="155"/>
      <c r="K19" s="155"/>
    </row>
    <row r="20" spans="6:11" ht="17.5">
      <c r="F20" s="155" t="s">
        <v>826</v>
      </c>
      <c r="G20" s="155" t="s">
        <v>1590</v>
      </c>
      <c r="H20" s="155" t="s">
        <v>1591</v>
      </c>
      <c r="I20" s="155" t="s">
        <v>1592</v>
      </c>
      <c r="J20" s="155"/>
      <c r="K20" s="155"/>
    </row>
    <row r="21" spans="6:11" ht="17.5">
      <c r="F21" s="155" t="s">
        <v>167</v>
      </c>
      <c r="G21" s="155" t="s">
        <v>1593</v>
      </c>
      <c r="H21" s="155"/>
      <c r="I21" s="155"/>
      <c r="J21" s="155"/>
      <c r="K21" s="155"/>
    </row>
    <row r="22" spans="6:11" ht="17.5">
      <c r="F22" s="155" t="s">
        <v>985</v>
      </c>
      <c r="G22" s="155" t="s">
        <v>1594</v>
      </c>
      <c r="H22" s="155"/>
      <c r="I22" s="155"/>
      <c r="J22" s="155"/>
      <c r="K22" s="155"/>
    </row>
    <row r="23" spans="6:11" ht="17.5">
      <c r="F23" s="155" t="s">
        <v>669</v>
      </c>
      <c r="G23" s="155"/>
      <c r="H23" s="155"/>
      <c r="I23" s="155"/>
      <c r="J23" s="155"/>
      <c r="K23" s="155"/>
    </row>
    <row r="24" spans="6:11" ht="17.5">
      <c r="F24" s="155" t="s">
        <v>1595</v>
      </c>
      <c r="G24" s="155" t="s">
        <v>1596</v>
      </c>
      <c r="H24" s="155"/>
      <c r="I24" s="155"/>
      <c r="J24" s="155"/>
      <c r="K24" s="155"/>
    </row>
    <row r="25" spans="6:11" ht="17.5">
      <c r="F25" s="155" t="s">
        <v>1597</v>
      </c>
      <c r="G25" s="155"/>
      <c r="H25" s="155"/>
      <c r="I25" s="155"/>
      <c r="J25" s="155"/>
      <c r="K25" s="155"/>
    </row>
    <row r="26" spans="6:11" ht="17.5">
      <c r="F26" s="155" t="s">
        <v>378</v>
      </c>
      <c r="G26" s="155"/>
      <c r="H26" s="155"/>
      <c r="I26" s="155"/>
      <c r="J26" s="155"/>
      <c r="K26" s="155"/>
    </row>
    <row r="27" spans="6:11" ht="17.5">
      <c r="F27" s="155" t="s">
        <v>1598</v>
      </c>
      <c r="G27" s="155"/>
      <c r="H27" s="155"/>
      <c r="I27" s="155"/>
      <c r="J27" s="155"/>
      <c r="K27" s="155"/>
    </row>
    <row r="28" spans="6:11" ht="17.5">
      <c r="F28" s="155" t="s">
        <v>1599</v>
      </c>
      <c r="G28" s="155" t="s">
        <v>1600</v>
      </c>
      <c r="H28" s="155"/>
      <c r="I28" s="155"/>
      <c r="J28" s="155"/>
      <c r="K28" s="155"/>
    </row>
    <row r="29" spans="6:11" ht="17.5">
      <c r="F29" s="155" t="s">
        <v>1601</v>
      </c>
      <c r="G29" s="155"/>
      <c r="H29" s="155"/>
      <c r="I29" s="155"/>
      <c r="J29" s="155"/>
      <c r="K29" s="155"/>
    </row>
    <row r="30" spans="6:11" ht="17.5">
      <c r="F30" s="155" t="s">
        <v>1602</v>
      </c>
      <c r="G30" s="155" t="s">
        <v>1603</v>
      </c>
      <c r="H30" s="155"/>
      <c r="I30" s="155"/>
      <c r="J30" s="155"/>
      <c r="K30" s="155"/>
    </row>
    <row r="31" spans="6:11" ht="17.5">
      <c r="F31" s="155" t="s">
        <v>1604</v>
      </c>
      <c r="G31" s="155"/>
      <c r="H31" s="155"/>
      <c r="I31" s="155"/>
      <c r="J31" s="155"/>
      <c r="K31" s="155"/>
    </row>
    <row r="32" spans="6:11" ht="17.5">
      <c r="F32" s="155" t="s">
        <v>1605</v>
      </c>
      <c r="G32" s="155"/>
      <c r="H32" s="155"/>
      <c r="I32" s="155"/>
      <c r="J32" s="155"/>
      <c r="K32" s="155"/>
    </row>
    <row r="33" spans="6:11" ht="17.5">
      <c r="F33" s="155" t="s">
        <v>1606</v>
      </c>
      <c r="G33" s="155" t="s">
        <v>1607</v>
      </c>
      <c r="H33" s="155"/>
      <c r="I33" s="155"/>
      <c r="J33" s="155"/>
      <c r="K33" s="155"/>
    </row>
    <row r="34" spans="6:11" ht="17.5">
      <c r="F34" s="155" t="s">
        <v>1608</v>
      </c>
      <c r="G34" s="155" t="s">
        <v>1609</v>
      </c>
      <c r="H34" s="155"/>
      <c r="I34" s="155"/>
      <c r="J34" s="155"/>
      <c r="K34" s="155"/>
    </row>
    <row r="35" spans="6:11" ht="17.5">
      <c r="F35" s="155" t="s">
        <v>1610</v>
      </c>
      <c r="G35" s="155"/>
      <c r="H35" s="155"/>
      <c r="I35" s="155"/>
      <c r="J35" s="155"/>
      <c r="K35" s="155"/>
    </row>
    <row r="36" spans="6:11" ht="17.5">
      <c r="F36" s="155" t="s">
        <v>795</v>
      </c>
      <c r="G36" s="155"/>
      <c r="H36" s="155"/>
      <c r="I36" s="155"/>
      <c r="J36" s="155"/>
      <c r="K36" s="155"/>
    </row>
    <row r="37" spans="6:11" ht="17.5">
      <c r="F37" s="155" t="s">
        <v>1611</v>
      </c>
      <c r="G37" s="155"/>
      <c r="H37" s="155"/>
      <c r="I37" s="155"/>
      <c r="J37" s="155"/>
      <c r="K37" s="155"/>
    </row>
    <row r="38" spans="6:11" ht="17.5">
      <c r="F38" s="155" t="s">
        <v>1612</v>
      </c>
      <c r="G38" s="155"/>
      <c r="H38" s="155"/>
      <c r="I38" s="155"/>
      <c r="J38" s="155"/>
      <c r="K38" s="155"/>
    </row>
    <row r="39" spans="6:11" ht="17.5">
      <c r="F39" s="155" t="s">
        <v>99</v>
      </c>
      <c r="G39" s="155" t="s">
        <v>1613</v>
      </c>
      <c r="H39" s="155"/>
      <c r="I39" s="155"/>
      <c r="J39" s="155"/>
      <c r="K39" s="155"/>
    </row>
    <row r="40" spans="6:11" ht="17.5">
      <c r="F40" s="155" t="s">
        <v>1037</v>
      </c>
      <c r="G40" s="155" t="s">
        <v>1614</v>
      </c>
      <c r="H40" s="155"/>
      <c r="I40" s="155"/>
      <c r="J40" s="155"/>
      <c r="K40" s="155"/>
    </row>
    <row r="41" spans="6:11" ht="17.5">
      <c r="F41" s="155" t="s">
        <v>1615</v>
      </c>
      <c r="G41" s="155" t="s">
        <v>1616</v>
      </c>
      <c r="H41" s="155"/>
      <c r="I41" s="155"/>
      <c r="J41" s="155"/>
      <c r="K41" s="155"/>
    </row>
    <row r="42" spans="6:11" ht="17.5">
      <c r="F42" s="155" t="s">
        <v>1617</v>
      </c>
      <c r="G42" s="155" t="s">
        <v>1618</v>
      </c>
      <c r="H42" s="155"/>
      <c r="I42" s="155"/>
      <c r="J42" s="155"/>
      <c r="K42" s="155"/>
    </row>
    <row r="43" spans="6:11" ht="17.5">
      <c r="F43" s="155" t="s">
        <v>1619</v>
      </c>
      <c r="G43" s="155"/>
      <c r="H43" s="155"/>
      <c r="I43" s="155"/>
      <c r="J43" s="155"/>
      <c r="K43" s="155"/>
    </row>
    <row r="44" spans="6:11" ht="17.5">
      <c r="F44" s="155" t="s">
        <v>1620</v>
      </c>
      <c r="G44" s="155"/>
      <c r="H44" s="155"/>
      <c r="I44" s="155"/>
      <c r="J44" s="155"/>
      <c r="K44" s="155"/>
    </row>
    <row r="45" spans="6:11" ht="17.5">
      <c r="F45" s="155" t="s">
        <v>1621</v>
      </c>
      <c r="G45" s="155"/>
      <c r="H45" s="155"/>
      <c r="I45" s="155"/>
      <c r="J45" s="155"/>
      <c r="K45" s="155"/>
    </row>
    <row r="46" spans="6:11" ht="17.5">
      <c r="F46" s="155" t="s">
        <v>1622</v>
      </c>
      <c r="G46" s="155" t="s">
        <v>1623</v>
      </c>
      <c r="H46" s="155" t="s">
        <v>1624</v>
      </c>
      <c r="I46" s="155" t="s">
        <v>1625</v>
      </c>
      <c r="J46" s="155" t="s">
        <v>1626</v>
      </c>
      <c r="K46" s="155" t="s">
        <v>1627</v>
      </c>
    </row>
    <row r="47" spans="6:11" ht="17.5">
      <c r="F47" s="155" t="s">
        <v>1628</v>
      </c>
      <c r="G47" s="155" t="s">
        <v>1629</v>
      </c>
      <c r="H47" s="155"/>
      <c r="I47" s="155"/>
      <c r="J47" s="155"/>
      <c r="K47" s="155"/>
    </row>
    <row r="48" spans="6:11" ht="17.5">
      <c r="F48" s="155" t="s">
        <v>1630</v>
      </c>
      <c r="G48" s="155" t="s">
        <v>1631</v>
      </c>
      <c r="H48" s="155"/>
      <c r="I48" s="155"/>
      <c r="J48" s="155"/>
      <c r="K48" s="155"/>
    </row>
    <row r="49" spans="6:11" ht="17.5">
      <c r="F49" s="155" t="s">
        <v>1632</v>
      </c>
      <c r="G49" s="155" t="s">
        <v>1633</v>
      </c>
      <c r="H49" s="155"/>
      <c r="I49" s="155"/>
      <c r="J49" s="155"/>
      <c r="K49" s="155"/>
    </row>
    <row r="50" spans="6:11" ht="17.5">
      <c r="F50" s="155" t="s">
        <v>1634</v>
      </c>
      <c r="G50" s="155"/>
      <c r="H50" s="155"/>
      <c r="I50" s="155"/>
      <c r="J50" s="155"/>
      <c r="K50" s="155"/>
    </row>
    <row r="51" spans="6:11" ht="17.5">
      <c r="F51" s="155" t="s">
        <v>1635</v>
      </c>
      <c r="G51" s="155"/>
      <c r="H51" s="155"/>
      <c r="I51" s="155"/>
      <c r="J51" s="155"/>
      <c r="K51" s="155"/>
    </row>
    <row r="52" spans="6:11" ht="17.5">
      <c r="F52" s="155" t="s">
        <v>1636</v>
      </c>
      <c r="G52" s="155"/>
      <c r="H52" s="155"/>
      <c r="I52" s="155"/>
      <c r="J52" s="155"/>
      <c r="K52" s="155"/>
    </row>
    <row r="53" spans="6:11" ht="17.5">
      <c r="F53" s="155" t="s">
        <v>1637</v>
      </c>
      <c r="G53" s="155"/>
      <c r="H53" s="155"/>
      <c r="I53" s="155"/>
      <c r="J53" s="155"/>
      <c r="K53" s="155"/>
    </row>
    <row r="54" spans="6:11" ht="17.5">
      <c r="F54" s="155" t="s">
        <v>189</v>
      </c>
      <c r="G54" s="155"/>
      <c r="H54" s="155"/>
      <c r="I54" s="155"/>
      <c r="J54" s="155"/>
      <c r="K54" s="155"/>
    </row>
    <row r="55" spans="6:11" ht="17.5">
      <c r="F55" s="155" t="s">
        <v>1638</v>
      </c>
      <c r="G55" s="155"/>
      <c r="H55" s="155"/>
      <c r="I55" s="155"/>
      <c r="J55" s="155"/>
      <c r="K55" s="155"/>
    </row>
    <row r="56" spans="6:11" ht="17.5">
      <c r="F56" s="155" t="s">
        <v>1639</v>
      </c>
      <c r="G56" s="155"/>
      <c r="H56" s="155"/>
      <c r="I56" s="155"/>
      <c r="J56" s="155"/>
      <c r="K56" s="155"/>
    </row>
    <row r="57" spans="6:11" ht="17.5">
      <c r="F57" s="155" t="s">
        <v>246</v>
      </c>
      <c r="G57" s="155"/>
      <c r="H57" s="155"/>
      <c r="I57" s="155"/>
      <c r="J57" s="155"/>
      <c r="K57" s="155"/>
    </row>
    <row r="58" spans="6:11" ht="17.5">
      <c r="F58" s="155" t="s">
        <v>1640</v>
      </c>
      <c r="G58" s="155" t="s">
        <v>1641</v>
      </c>
      <c r="H58" s="155"/>
      <c r="I58" s="155"/>
      <c r="J58" s="155"/>
      <c r="K58" s="155"/>
    </row>
    <row r="59" spans="6:11" ht="17.5">
      <c r="F59" s="155" t="s">
        <v>1642</v>
      </c>
      <c r="G59" s="155"/>
      <c r="H59" s="155"/>
      <c r="I59" s="155"/>
      <c r="J59" s="155"/>
      <c r="K59" s="155"/>
    </row>
    <row r="60" spans="6:11" ht="17.5">
      <c r="F60" s="155" t="s">
        <v>1643</v>
      </c>
      <c r="G60" s="155"/>
      <c r="H60" s="155"/>
      <c r="I60" s="155"/>
      <c r="J60" s="155"/>
      <c r="K60" s="155"/>
    </row>
    <row r="61" spans="6:11" ht="17.5">
      <c r="F61" s="155" t="s">
        <v>1644</v>
      </c>
      <c r="G61" s="155"/>
      <c r="H61" s="155"/>
      <c r="I61" s="155"/>
      <c r="J61" s="155"/>
      <c r="K61" s="155"/>
    </row>
    <row r="62" spans="6:11" ht="17.5">
      <c r="F62" s="155" t="s">
        <v>1645</v>
      </c>
      <c r="G62" s="155"/>
      <c r="H62" s="155"/>
      <c r="I62" s="155"/>
      <c r="J62" s="155"/>
      <c r="K62" s="155"/>
    </row>
    <row r="63" spans="6:11" ht="17.5">
      <c r="F63" s="155" t="s">
        <v>710</v>
      </c>
      <c r="G63" s="155"/>
      <c r="H63" s="155"/>
      <c r="I63" s="155"/>
      <c r="J63" s="155"/>
      <c r="K63" s="155"/>
    </row>
    <row r="64" spans="6:11" ht="17.5">
      <c r="F64" s="155" t="s">
        <v>1646</v>
      </c>
      <c r="G64" s="155" t="s">
        <v>1647</v>
      </c>
      <c r="H64" s="155"/>
      <c r="I64" s="155"/>
      <c r="J64" s="155"/>
      <c r="K64" s="155"/>
    </row>
    <row r="65" spans="6:11" ht="17.5">
      <c r="F65" s="155" t="s">
        <v>1648</v>
      </c>
      <c r="G65" s="155" t="s">
        <v>1649</v>
      </c>
      <c r="H65" s="155"/>
      <c r="I65" s="155"/>
      <c r="J65" s="155"/>
      <c r="K65" s="155"/>
    </row>
    <row r="66" spans="6:11" ht="17.5">
      <c r="F66" s="155" t="s">
        <v>1650</v>
      </c>
      <c r="G66" s="155"/>
      <c r="H66" s="155"/>
      <c r="I66" s="155"/>
      <c r="J66" s="155"/>
      <c r="K66" s="155"/>
    </row>
    <row r="67" spans="6:11" ht="17.5">
      <c r="F67" s="155" t="s">
        <v>1651</v>
      </c>
      <c r="G67" s="155"/>
      <c r="H67" s="155"/>
      <c r="I67" s="155"/>
      <c r="J67" s="155"/>
      <c r="K67" s="155"/>
    </row>
    <row r="68" spans="6:11" ht="17.5">
      <c r="F68" s="155" t="s">
        <v>1652</v>
      </c>
      <c r="G68" s="155"/>
      <c r="H68" s="155"/>
      <c r="I68" s="155"/>
      <c r="J68" s="155"/>
      <c r="K68" s="155"/>
    </row>
    <row r="69" spans="6:11" ht="17.5">
      <c r="F69" s="155" t="s">
        <v>1653</v>
      </c>
      <c r="G69" s="155"/>
      <c r="H69" s="155"/>
      <c r="I69" s="155"/>
      <c r="J69" s="155"/>
      <c r="K69" s="155"/>
    </row>
    <row r="70" spans="6:11" ht="17.5">
      <c r="F70" s="155" t="s">
        <v>1654</v>
      </c>
      <c r="G70" s="155"/>
      <c r="H70" s="155"/>
      <c r="I70" s="155"/>
      <c r="J70" s="155"/>
      <c r="K70" s="155"/>
    </row>
    <row r="71" spans="6:11" ht="17.5">
      <c r="F71" s="155" t="s">
        <v>1655</v>
      </c>
      <c r="G71" s="155"/>
      <c r="H71" s="155"/>
      <c r="I71" s="155"/>
      <c r="J71" s="155"/>
      <c r="K71" s="155"/>
    </row>
    <row r="72" spans="6:11" ht="17.5">
      <c r="F72" s="155" t="s">
        <v>1656</v>
      </c>
      <c r="G72" s="155"/>
      <c r="H72" s="155"/>
      <c r="I72" s="155"/>
      <c r="J72" s="155"/>
      <c r="K72" s="155"/>
    </row>
    <row r="73" spans="6:11" ht="17.5">
      <c r="F73" s="155" t="s">
        <v>1657</v>
      </c>
      <c r="G73" s="155"/>
      <c r="H73" s="155"/>
      <c r="I73" s="155"/>
      <c r="J73" s="155"/>
      <c r="K73" s="155"/>
    </row>
    <row r="74" spans="6:11" ht="17.5">
      <c r="F74" s="155" t="s">
        <v>1658</v>
      </c>
      <c r="G74" s="155" t="s">
        <v>1659</v>
      </c>
      <c r="H74" s="155"/>
      <c r="I74" s="155"/>
      <c r="J74" s="155"/>
      <c r="K74" s="155"/>
    </row>
    <row r="75" spans="6:11" ht="17.5">
      <c r="F75" s="155" t="s">
        <v>1660</v>
      </c>
      <c r="G75" s="155" t="s">
        <v>1661</v>
      </c>
      <c r="H75" s="155"/>
      <c r="I75" s="155"/>
      <c r="J75" s="155"/>
      <c r="K75" s="155"/>
    </row>
    <row r="76" spans="6:11" ht="17.5">
      <c r="F76" s="155" t="s">
        <v>1662</v>
      </c>
      <c r="G76" s="194" t="s">
        <v>1663</v>
      </c>
      <c r="H76" s="195"/>
      <c r="I76" s="155"/>
      <c r="J76" s="155"/>
      <c r="K76" s="155"/>
    </row>
    <row r="77" spans="6:11" ht="17.5">
      <c r="F77" s="155" t="s">
        <v>1664</v>
      </c>
      <c r="G77" s="155" t="s">
        <v>1665</v>
      </c>
      <c r="H77" s="155"/>
      <c r="I77" s="155"/>
      <c r="J77" s="155"/>
      <c r="K77" s="155"/>
    </row>
    <row r="78" spans="6:11" ht="17.5">
      <c r="F78" s="155" t="s">
        <v>1666</v>
      </c>
      <c r="G78" s="155" t="s">
        <v>1667</v>
      </c>
      <c r="H78" s="155"/>
      <c r="I78" s="155"/>
      <c r="J78" s="155"/>
      <c r="K78" s="155"/>
    </row>
    <row r="79" spans="6:11" ht="17.5">
      <c r="F79" s="155" t="s">
        <v>1668</v>
      </c>
      <c r="G79" s="155"/>
      <c r="H79" s="155"/>
      <c r="I79" s="155"/>
      <c r="J79" s="155"/>
      <c r="K79" s="155"/>
    </row>
    <row r="80" spans="6:11" ht="17.5">
      <c r="F80" s="155" t="s">
        <v>1669</v>
      </c>
      <c r="G80" s="155"/>
      <c r="H80" s="155"/>
      <c r="I80" s="155"/>
      <c r="J80" s="155"/>
      <c r="K80" s="155"/>
    </row>
    <row r="81" spans="6:11" ht="17.5">
      <c r="F81" s="155" t="s">
        <v>1670</v>
      </c>
      <c r="G81" s="155"/>
      <c r="H81" s="155"/>
      <c r="I81" s="155"/>
      <c r="J81" s="155"/>
      <c r="K81" s="155"/>
    </row>
    <row r="82" spans="6:11" ht="17.5">
      <c r="F82" s="155" t="s">
        <v>1671</v>
      </c>
      <c r="G82" s="155"/>
      <c r="H82" s="155"/>
      <c r="I82" s="155"/>
      <c r="J82" s="155"/>
      <c r="K82" s="155"/>
    </row>
    <row r="83" spans="6:11" ht="17.5">
      <c r="F83" s="155" t="s">
        <v>1672</v>
      </c>
      <c r="G83" s="155" t="s">
        <v>1673</v>
      </c>
      <c r="H83" s="155"/>
      <c r="I83" s="155"/>
      <c r="J83" s="155"/>
      <c r="K83" s="155"/>
    </row>
    <row r="84" spans="6:11" ht="17.5">
      <c r="F84" s="155" t="s">
        <v>1674</v>
      </c>
      <c r="G84" s="155" t="s">
        <v>1675</v>
      </c>
      <c r="H84" s="155"/>
      <c r="I84" s="155"/>
      <c r="J84" s="155"/>
      <c r="K84" s="155"/>
    </row>
    <row r="85" spans="6:11" ht="17.5">
      <c r="F85" s="155" t="s">
        <v>1676</v>
      </c>
      <c r="G85" s="155"/>
      <c r="H85" s="155"/>
      <c r="I85" s="155"/>
      <c r="J85" s="155"/>
      <c r="K85" s="155"/>
    </row>
    <row r="86" spans="6:11" ht="17.5">
      <c r="F86" s="155" t="s">
        <v>1677</v>
      </c>
      <c r="G86" s="155" t="s">
        <v>1678</v>
      </c>
      <c r="H86" s="155"/>
      <c r="I86" s="155"/>
      <c r="J86" s="155"/>
      <c r="K86" s="155"/>
    </row>
    <row r="87" spans="6:11" ht="17.5">
      <c r="F87" s="155" t="s">
        <v>1679</v>
      </c>
      <c r="G87" s="155" t="s">
        <v>1680</v>
      </c>
      <c r="H87" s="155"/>
      <c r="I87" s="155"/>
      <c r="J87" s="155"/>
      <c r="K87" s="155"/>
    </row>
    <row r="88" spans="6:11" ht="17.5">
      <c r="F88" s="155" t="s">
        <v>1681</v>
      </c>
      <c r="G88" s="155" t="s">
        <v>1682</v>
      </c>
      <c r="H88" s="155" t="s">
        <v>1683</v>
      </c>
      <c r="I88" s="155" t="s">
        <v>1684</v>
      </c>
      <c r="J88" s="194" t="s">
        <v>1685</v>
      </c>
      <c r="K88" s="195"/>
    </row>
    <row r="89" spans="6:11" ht="17.5">
      <c r="F89" s="155" t="s">
        <v>1686</v>
      </c>
      <c r="G89" s="155"/>
      <c r="H89" s="155"/>
      <c r="I89" s="155"/>
      <c r="J89" s="155"/>
      <c r="K89" s="155"/>
    </row>
    <row r="90" spans="6:11" ht="17.5">
      <c r="F90" s="155" t="s">
        <v>1687</v>
      </c>
      <c r="G90" s="155"/>
      <c r="H90" s="155"/>
      <c r="I90" s="155"/>
      <c r="J90" s="155"/>
      <c r="K90" s="155"/>
    </row>
    <row r="91" spans="6:11" ht="17.5">
      <c r="F91" s="155" t="s">
        <v>1688</v>
      </c>
      <c r="G91" s="155"/>
      <c r="H91" s="155"/>
      <c r="I91" s="155"/>
      <c r="J91" s="155"/>
      <c r="K91" s="155"/>
    </row>
    <row r="92" spans="6:11" ht="17.5">
      <c r="F92" s="155" t="s">
        <v>1689</v>
      </c>
      <c r="G92" s="155" t="s">
        <v>1690</v>
      </c>
      <c r="H92" s="155"/>
      <c r="I92" s="155"/>
      <c r="J92" s="155"/>
      <c r="K92" s="155"/>
    </row>
    <row r="93" spans="6:11" ht="17.5">
      <c r="F93" s="155" t="s">
        <v>1691</v>
      </c>
      <c r="G93" s="155" t="s">
        <v>1692</v>
      </c>
      <c r="H93" s="155"/>
      <c r="I93" s="155"/>
      <c r="J93" s="155"/>
      <c r="K93" s="155"/>
    </row>
    <row r="94" spans="6:11" ht="17.5">
      <c r="F94" s="155" t="s">
        <v>1693</v>
      </c>
      <c r="G94" s="155" t="s">
        <v>1694</v>
      </c>
      <c r="H94" s="155"/>
      <c r="I94" s="155"/>
      <c r="J94" s="155"/>
      <c r="K94" s="155"/>
    </row>
    <row r="95" spans="6:11" ht="17.5">
      <c r="F95" s="155" t="s">
        <v>1695</v>
      </c>
      <c r="G95" s="155" t="s">
        <v>1696</v>
      </c>
      <c r="H95" s="155" t="s">
        <v>1697</v>
      </c>
      <c r="I95" s="155" t="s">
        <v>1698</v>
      </c>
      <c r="J95" s="155" t="s">
        <v>1699</v>
      </c>
      <c r="K95" s="155"/>
    </row>
    <row r="96" spans="6:11" ht="17.5">
      <c r="F96" s="155" t="s">
        <v>1700</v>
      </c>
      <c r="G96" s="155"/>
      <c r="H96" s="155"/>
      <c r="I96" s="155"/>
      <c r="J96" s="155"/>
      <c r="K96" s="155"/>
    </row>
    <row r="97" spans="6:11" ht="17.5">
      <c r="F97" s="155" t="s">
        <v>1701</v>
      </c>
      <c r="G97" s="155"/>
      <c r="H97" s="155"/>
      <c r="I97" s="155"/>
      <c r="J97" s="155"/>
      <c r="K97" s="155"/>
    </row>
    <row r="98" spans="6:11" ht="17.5">
      <c r="F98" s="155" t="s">
        <v>1702</v>
      </c>
      <c r="G98" s="155" t="s">
        <v>1703</v>
      </c>
      <c r="H98" s="155"/>
      <c r="I98" s="155"/>
      <c r="J98" s="155"/>
      <c r="K98" s="155"/>
    </row>
    <row r="99" spans="6:11" ht="17.5">
      <c r="F99" s="155" t="s">
        <v>1704</v>
      </c>
      <c r="G99" s="155"/>
      <c r="H99" s="155"/>
      <c r="I99" s="155"/>
      <c r="J99" s="155"/>
      <c r="K99" s="155"/>
    </row>
    <row r="100" spans="6:11" ht="17.5">
      <c r="F100" s="155" t="s">
        <v>1705</v>
      </c>
      <c r="G100" s="155"/>
      <c r="H100" s="155"/>
      <c r="I100" s="155"/>
      <c r="J100" s="155"/>
      <c r="K100" s="155"/>
    </row>
    <row r="101" spans="6:11" ht="17.5">
      <c r="F101" s="155" t="s">
        <v>1706</v>
      </c>
      <c r="G101" s="155"/>
      <c r="H101" s="155"/>
      <c r="I101" s="155"/>
      <c r="J101" s="155"/>
      <c r="K101" s="155"/>
    </row>
    <row r="102" spans="6:11" ht="17.5">
      <c r="F102" s="155" t="s">
        <v>1707</v>
      </c>
      <c r="G102" s="155"/>
      <c r="H102" s="155"/>
      <c r="I102" s="155"/>
      <c r="J102" s="155"/>
      <c r="K102" s="155"/>
    </row>
    <row r="103" spans="6:11" ht="17.5">
      <c r="F103" s="155" t="s">
        <v>1708</v>
      </c>
      <c r="G103" s="155" t="s">
        <v>1709</v>
      </c>
      <c r="H103" s="155" t="s">
        <v>1710</v>
      </c>
      <c r="I103" s="155" t="s">
        <v>1711</v>
      </c>
      <c r="J103" s="155"/>
      <c r="K103" s="155"/>
    </row>
    <row r="104" spans="6:11" ht="17.5">
      <c r="F104" s="155" t="s">
        <v>1712</v>
      </c>
      <c r="G104" s="155" t="s">
        <v>1713</v>
      </c>
      <c r="H104" s="155"/>
      <c r="I104" s="155"/>
      <c r="J104" s="155"/>
      <c r="K104" s="155"/>
    </row>
    <row r="105" spans="6:11" ht="17.5">
      <c r="F105" s="155" t="s">
        <v>83</v>
      </c>
      <c r="G105" s="155"/>
      <c r="H105" s="155"/>
      <c r="I105" s="155"/>
      <c r="J105" s="155"/>
      <c r="K105" s="155"/>
    </row>
    <row r="106" spans="6:11" ht="17.5">
      <c r="F106" s="155" t="s">
        <v>1714</v>
      </c>
      <c r="G106" s="155"/>
      <c r="H106" s="155"/>
      <c r="I106" s="155"/>
      <c r="J106" s="155"/>
      <c r="K106" s="155"/>
    </row>
    <row r="107" spans="6:11" ht="17.5">
      <c r="F107" s="155" t="s">
        <v>1715</v>
      </c>
      <c r="G107" s="155"/>
      <c r="H107" s="155"/>
      <c r="I107" s="155"/>
      <c r="J107" s="155"/>
      <c r="K107" s="155"/>
    </row>
    <row r="108" spans="6:11" ht="17.5">
      <c r="F108" s="155" t="s">
        <v>1716</v>
      </c>
      <c r="G108" s="155"/>
      <c r="H108" s="155"/>
      <c r="I108" s="155"/>
      <c r="J108" s="155"/>
      <c r="K108" s="155"/>
    </row>
    <row r="109" spans="6:11" ht="17.5">
      <c r="F109" s="155" t="s">
        <v>1717</v>
      </c>
      <c r="G109" s="155"/>
      <c r="H109" s="155"/>
      <c r="I109" s="155"/>
      <c r="J109" s="155"/>
      <c r="K109" s="155"/>
    </row>
    <row r="110" spans="6:11" ht="17.5">
      <c r="F110" s="155" t="s">
        <v>1718</v>
      </c>
      <c r="G110" s="155" t="s">
        <v>1719</v>
      </c>
      <c r="H110" s="155" t="s">
        <v>1720</v>
      </c>
      <c r="I110" s="155" t="s">
        <v>1721</v>
      </c>
      <c r="J110" s="155"/>
      <c r="K110" s="155"/>
    </row>
    <row r="111" spans="6:11" ht="17.5">
      <c r="F111" s="155" t="s">
        <v>1722</v>
      </c>
      <c r="G111" s="155" t="s">
        <v>1723</v>
      </c>
      <c r="H111" s="155" t="s">
        <v>1724</v>
      </c>
      <c r="I111" s="155" t="s">
        <v>1725</v>
      </c>
      <c r="J111" s="155"/>
      <c r="K111" s="155"/>
    </row>
    <row r="112" spans="6:11" ht="17.5">
      <c r="F112" s="155" t="s">
        <v>1726</v>
      </c>
      <c r="G112" s="155" t="s">
        <v>1664</v>
      </c>
      <c r="H112" s="155" t="s">
        <v>1665</v>
      </c>
      <c r="I112" s="155"/>
      <c r="J112" s="155"/>
      <c r="K112" s="155"/>
    </row>
    <row r="113" spans="6:11" ht="17.5">
      <c r="F113" s="155" t="s">
        <v>1727</v>
      </c>
      <c r="G113" s="155"/>
      <c r="H113" s="155"/>
      <c r="I113" s="155"/>
      <c r="J113" s="155"/>
      <c r="K113" s="155"/>
    </row>
    <row r="114" spans="6:11" ht="17.5">
      <c r="F114" s="155" t="s">
        <v>1728</v>
      </c>
      <c r="G114" s="155" t="s">
        <v>1729</v>
      </c>
      <c r="H114" s="155"/>
      <c r="I114" s="155"/>
      <c r="J114" s="155"/>
      <c r="K114" s="155"/>
    </row>
    <row r="115" spans="6:11" ht="17.5">
      <c r="F115" s="155" t="s">
        <v>1730</v>
      </c>
      <c r="G115" s="155"/>
      <c r="H115" s="155"/>
      <c r="I115" s="155"/>
      <c r="J115" s="155"/>
      <c r="K115" s="155"/>
    </row>
    <row r="116" spans="6:11" ht="17.5">
      <c r="F116" s="194" t="s">
        <v>1731</v>
      </c>
      <c r="G116" s="195"/>
      <c r="H116" s="155"/>
      <c r="I116" s="155"/>
      <c r="J116" s="155"/>
      <c r="K116" s="155"/>
    </row>
    <row r="117" spans="6:11" ht="17.5">
      <c r="F117" s="155" t="s">
        <v>1732</v>
      </c>
      <c r="G117" s="155"/>
      <c r="H117" s="155"/>
      <c r="I117" s="155"/>
      <c r="J117" s="155"/>
      <c r="K117" s="155"/>
    </row>
    <row r="118" spans="6:11" ht="17.5">
      <c r="F118" s="155" t="s">
        <v>1733</v>
      </c>
      <c r="G118" s="155" t="s">
        <v>1734</v>
      </c>
      <c r="H118" s="155"/>
      <c r="I118" s="155"/>
      <c r="J118" s="155"/>
      <c r="K118" s="155"/>
    </row>
    <row r="119" spans="6:11" ht="17.5">
      <c r="F119" s="155" t="s">
        <v>1735</v>
      </c>
      <c r="G119" s="155" t="s">
        <v>1736</v>
      </c>
      <c r="H119" s="155"/>
      <c r="I119" s="155"/>
      <c r="J119" s="155"/>
      <c r="K119" s="155"/>
    </row>
    <row r="120" spans="6:11" ht="17.5">
      <c r="F120" s="155" t="s">
        <v>477</v>
      </c>
      <c r="G120" s="155" t="s">
        <v>450</v>
      </c>
      <c r="H120" s="155"/>
      <c r="I120" s="155"/>
      <c r="J120" s="155"/>
      <c r="K120" s="155"/>
    </row>
    <row r="121" spans="6:11" ht="17.5">
      <c r="F121" s="155" t="s">
        <v>44</v>
      </c>
      <c r="G121" s="155" t="s">
        <v>1737</v>
      </c>
      <c r="H121" s="171"/>
      <c r="I121" s="155"/>
      <c r="J121" s="155"/>
      <c r="K121" s="155"/>
    </row>
    <row r="122" spans="6:11" ht="17.5">
      <c r="F122" s="155" t="s">
        <v>1738</v>
      </c>
      <c r="G122" s="155"/>
      <c r="H122" s="155"/>
      <c r="I122" s="155"/>
      <c r="J122" s="155"/>
      <c r="K122" s="155"/>
    </row>
    <row r="123" spans="6:11" ht="17.5">
      <c r="F123" s="155" t="s">
        <v>1739</v>
      </c>
      <c r="G123" s="155" t="s">
        <v>1740</v>
      </c>
      <c r="H123" s="155"/>
      <c r="I123" s="155"/>
      <c r="J123" s="155"/>
      <c r="K123" s="155"/>
    </row>
    <row r="124" spans="6:11" ht="17.5">
      <c r="F124" s="155" t="s">
        <v>1741</v>
      </c>
      <c r="G124" s="155"/>
      <c r="H124" s="155"/>
      <c r="I124" s="155"/>
      <c r="J124" s="155"/>
      <c r="K124" s="155"/>
    </row>
    <row r="125" spans="6:11" ht="17.5">
      <c r="F125" s="155" t="s">
        <v>1742</v>
      </c>
      <c r="G125" s="155"/>
      <c r="H125" s="155"/>
      <c r="I125" s="155"/>
      <c r="J125" s="155"/>
      <c r="K125" s="155"/>
    </row>
    <row r="126" spans="6:11" ht="17.5">
      <c r="F126" s="155" t="s">
        <v>653</v>
      </c>
      <c r="G126" s="155" t="s">
        <v>37</v>
      </c>
      <c r="H126" s="171"/>
      <c r="I126" s="155"/>
      <c r="J126" s="155"/>
      <c r="K126" s="155"/>
    </row>
    <row r="127" spans="6:11" ht="17.5">
      <c r="F127" s="155" t="s">
        <v>1743</v>
      </c>
      <c r="G127" s="155" t="s">
        <v>1744</v>
      </c>
      <c r="H127" s="155"/>
      <c r="I127" s="155"/>
      <c r="J127" s="155"/>
      <c r="K127" s="155"/>
    </row>
    <row r="128" spans="6:11" ht="17.5">
      <c r="F128" s="155" t="s">
        <v>454</v>
      </c>
      <c r="G128" s="155"/>
      <c r="H128" s="155"/>
      <c r="I128" s="155"/>
      <c r="J128" s="155"/>
      <c r="K128" s="155"/>
    </row>
    <row r="129" spans="6:11" ht="17.5">
      <c r="F129" s="155" t="s">
        <v>1745</v>
      </c>
      <c r="G129" s="155"/>
      <c r="H129" s="155"/>
      <c r="I129" s="155"/>
      <c r="J129" s="155"/>
      <c r="K129" s="155"/>
    </row>
    <row r="130" spans="6:11" ht="17.5">
      <c r="F130" s="155" t="s">
        <v>1746</v>
      </c>
      <c r="G130" s="155"/>
      <c r="H130" s="155"/>
      <c r="I130" s="155"/>
      <c r="J130" s="155"/>
      <c r="K130" s="155"/>
    </row>
    <row r="131" spans="6:11" ht="17.5">
      <c r="F131" s="155" t="s">
        <v>1747</v>
      </c>
      <c r="G131" s="155"/>
      <c r="H131" s="155"/>
      <c r="I131" s="155"/>
      <c r="J131" s="155"/>
      <c r="K131" s="155"/>
    </row>
    <row r="132" spans="6:11" ht="17.5">
      <c r="F132" s="155" t="s">
        <v>1748</v>
      </c>
      <c r="G132" s="155"/>
      <c r="H132" s="155"/>
      <c r="I132" s="155"/>
      <c r="J132" s="155"/>
      <c r="K132" s="155"/>
    </row>
    <row r="133" spans="6:11" ht="17.5">
      <c r="F133" s="155" t="s">
        <v>1749</v>
      </c>
      <c r="G133" s="155"/>
      <c r="H133" s="155"/>
      <c r="I133" s="155"/>
      <c r="J133" s="155"/>
      <c r="K133" s="155"/>
    </row>
    <row r="134" spans="6:11" ht="17.5">
      <c r="F134" s="155" t="s">
        <v>1750</v>
      </c>
      <c r="G134" s="155"/>
      <c r="H134" s="155"/>
      <c r="I134" s="155"/>
      <c r="J134" s="155"/>
      <c r="K134" s="155"/>
    </row>
    <row r="135" spans="6:11" ht="17.5">
      <c r="F135" s="155" t="s">
        <v>1751</v>
      </c>
      <c r="G135" s="155"/>
      <c r="H135" s="155"/>
      <c r="I135" s="155"/>
      <c r="J135" s="155"/>
      <c r="K135" s="155"/>
    </row>
    <row r="136" spans="6:11" ht="17.5">
      <c r="F136" s="155" t="s">
        <v>1752</v>
      </c>
      <c r="G136" s="155" t="s">
        <v>1753</v>
      </c>
      <c r="H136" s="155"/>
      <c r="I136" s="155"/>
      <c r="J136" s="155"/>
      <c r="K136" s="155"/>
    </row>
    <row r="137" spans="6:11" ht="17.5">
      <c r="F137" s="155" t="s">
        <v>1754</v>
      </c>
      <c r="G137" s="155"/>
      <c r="H137" s="155"/>
      <c r="I137" s="155"/>
      <c r="J137" s="155"/>
      <c r="K137" s="155"/>
    </row>
    <row r="138" spans="6:11" ht="17.5">
      <c r="F138" s="155" t="s">
        <v>1755</v>
      </c>
      <c r="G138" s="155" t="s">
        <v>1756</v>
      </c>
      <c r="H138" s="155"/>
      <c r="I138" s="155"/>
      <c r="J138" s="155"/>
      <c r="K138" s="155"/>
    </row>
    <row r="139" spans="6:11" ht="17.5">
      <c r="F139" s="155" t="s">
        <v>1757</v>
      </c>
      <c r="G139" s="155"/>
      <c r="H139" s="155"/>
      <c r="I139" s="155"/>
      <c r="J139" s="155"/>
      <c r="K139" s="155"/>
    </row>
    <row r="140" spans="6:11" ht="17.5">
      <c r="F140" s="155" t="s">
        <v>1758</v>
      </c>
      <c r="G140" s="155" t="s">
        <v>1759</v>
      </c>
      <c r="H140" s="155"/>
      <c r="I140" s="155"/>
      <c r="J140" s="155"/>
      <c r="K140" s="155"/>
    </row>
    <row r="141" spans="6:11" ht="17.5">
      <c r="F141" s="155" t="s">
        <v>1760</v>
      </c>
      <c r="G141" s="155" t="s">
        <v>1761</v>
      </c>
      <c r="H141" s="155" t="s">
        <v>1762</v>
      </c>
      <c r="I141" s="155" t="s">
        <v>1763</v>
      </c>
      <c r="J141" s="155"/>
      <c r="K141" s="155"/>
    </row>
    <row r="142" spans="6:11" ht="17.5">
      <c r="F142" s="155" t="s">
        <v>1764</v>
      </c>
      <c r="G142" s="155"/>
      <c r="H142" s="155"/>
      <c r="I142" s="155"/>
      <c r="J142" s="155"/>
      <c r="K142" s="155"/>
    </row>
    <row r="143" spans="6:11" ht="17.5">
      <c r="F143" s="155" t="s">
        <v>1765</v>
      </c>
      <c r="G143" s="155"/>
      <c r="H143" s="155"/>
      <c r="I143" s="155"/>
      <c r="J143" s="155"/>
      <c r="K143" s="155"/>
    </row>
    <row r="144" spans="6:11" ht="17.5">
      <c r="F144" s="155" t="s">
        <v>1766</v>
      </c>
      <c r="G144" s="155"/>
      <c r="H144" s="155"/>
      <c r="I144" s="155"/>
      <c r="J144" s="155"/>
      <c r="K144" s="155"/>
    </row>
    <row r="145" spans="6:11" ht="17.5">
      <c r="F145" s="155" t="s">
        <v>1767</v>
      </c>
      <c r="G145" s="155"/>
      <c r="H145" s="155"/>
      <c r="I145" s="155"/>
      <c r="J145" s="155"/>
      <c r="K145" s="155"/>
    </row>
    <row r="146" spans="6:11" ht="17.5">
      <c r="F146" s="155" t="s">
        <v>1768</v>
      </c>
      <c r="G146" s="155"/>
      <c r="H146" s="155"/>
      <c r="I146" s="155"/>
      <c r="J146" s="155"/>
      <c r="K146" s="155"/>
    </row>
    <row r="147" spans="6:11" ht="17.5">
      <c r="F147" s="155" t="s">
        <v>1769</v>
      </c>
      <c r="G147" s="155"/>
      <c r="H147" s="155"/>
      <c r="I147" s="155"/>
      <c r="J147" s="155"/>
      <c r="K147" s="155"/>
    </row>
    <row r="148" spans="6:11" ht="17.5">
      <c r="F148" s="155" t="s">
        <v>1770</v>
      </c>
      <c r="G148" s="155"/>
      <c r="H148" s="155"/>
      <c r="I148" s="155"/>
      <c r="J148" s="155"/>
      <c r="K148" s="155"/>
    </row>
    <row r="149" spans="6:11" ht="17.5">
      <c r="F149" s="155" t="s">
        <v>1771</v>
      </c>
      <c r="G149" s="155"/>
      <c r="H149" s="155"/>
      <c r="I149" s="155"/>
      <c r="J149" s="155"/>
      <c r="K149" s="155"/>
    </row>
    <row r="150" spans="6:11" ht="17.5">
      <c r="F150" s="155" t="s">
        <v>1772</v>
      </c>
      <c r="G150" s="155" t="s">
        <v>1773</v>
      </c>
      <c r="H150" s="155"/>
      <c r="I150" s="155"/>
      <c r="J150" s="155"/>
      <c r="K150" s="155"/>
    </row>
    <row r="151" spans="6:11" ht="17.5">
      <c r="F151" s="155" t="s">
        <v>1774</v>
      </c>
      <c r="G151" s="155"/>
      <c r="H151" s="155"/>
      <c r="I151" s="155"/>
      <c r="J151" s="155"/>
      <c r="K151" s="155"/>
    </row>
    <row r="152" spans="6:11" ht="17.5">
      <c r="F152" s="155" t="s">
        <v>1775</v>
      </c>
      <c r="G152" s="155"/>
      <c r="H152" s="155"/>
      <c r="I152" s="155"/>
      <c r="J152" s="155"/>
      <c r="K152" s="155"/>
    </row>
    <row r="153" spans="6:11" ht="17.5">
      <c r="F153" s="155" t="s">
        <v>1776</v>
      </c>
      <c r="G153" s="155"/>
      <c r="H153" s="155"/>
      <c r="I153" s="155"/>
      <c r="J153" s="155"/>
      <c r="K153" s="155"/>
    </row>
    <row r="154" spans="6:11" ht="17.5">
      <c r="F154" s="155" t="s">
        <v>1777</v>
      </c>
      <c r="G154" s="155" t="s">
        <v>1778</v>
      </c>
      <c r="H154" s="155" t="s">
        <v>1779</v>
      </c>
      <c r="I154" s="155"/>
      <c r="J154" s="155"/>
      <c r="K154" s="155"/>
    </row>
    <row r="155" spans="6:11" ht="17.5">
      <c r="F155" s="155" t="s">
        <v>1780</v>
      </c>
      <c r="G155" s="156" t="s">
        <v>1781</v>
      </c>
      <c r="H155" s="155" t="s">
        <v>1782</v>
      </c>
      <c r="I155" s="155" t="s">
        <v>1783</v>
      </c>
      <c r="J155" s="155"/>
      <c r="K155" s="155"/>
    </row>
    <row r="156" spans="6:11" ht="17.5">
      <c r="F156" s="155" t="s">
        <v>1784</v>
      </c>
      <c r="G156" s="155"/>
      <c r="H156" s="155"/>
      <c r="I156" s="155"/>
      <c r="J156" s="155"/>
      <c r="K156" s="155"/>
    </row>
    <row r="157" spans="6:11" ht="17.5">
      <c r="F157" s="155" t="s">
        <v>1785</v>
      </c>
      <c r="G157" s="155"/>
      <c r="H157" s="155"/>
      <c r="I157" s="155"/>
      <c r="J157" s="155"/>
      <c r="K157" s="155"/>
    </row>
    <row r="158" spans="6:11" ht="17.5">
      <c r="F158" s="155" t="s">
        <v>1786</v>
      </c>
      <c r="G158" s="155"/>
      <c r="H158" s="155"/>
      <c r="I158" s="155"/>
      <c r="J158" s="155"/>
      <c r="K158" s="155"/>
    </row>
    <row r="159" spans="6:11" ht="17.5">
      <c r="F159" s="155" t="s">
        <v>1787</v>
      </c>
      <c r="G159" s="155"/>
      <c r="H159" s="155"/>
      <c r="I159" s="155"/>
      <c r="J159" s="155"/>
      <c r="K159" s="155"/>
    </row>
    <row r="160" spans="6:11" ht="17.5">
      <c r="F160" s="155" t="s">
        <v>1788</v>
      </c>
      <c r="G160" s="155" t="s">
        <v>1789</v>
      </c>
      <c r="H160" s="155"/>
      <c r="I160" s="155"/>
      <c r="J160" s="155"/>
      <c r="K160" s="155"/>
    </row>
    <row r="161" spans="6:11" ht="17.5">
      <c r="F161" s="155" t="s">
        <v>1790</v>
      </c>
      <c r="G161" s="155"/>
      <c r="H161" s="155"/>
      <c r="I161" s="155"/>
      <c r="J161" s="155"/>
      <c r="K161" s="155"/>
    </row>
    <row r="162" spans="6:11" ht="17.5">
      <c r="F162" s="155" t="s">
        <v>208</v>
      </c>
      <c r="G162" s="155" t="s">
        <v>1791</v>
      </c>
      <c r="H162" s="155" t="s">
        <v>1792</v>
      </c>
      <c r="I162" s="155"/>
      <c r="J162" s="155"/>
      <c r="K162" s="155"/>
    </row>
    <row r="163" spans="6:11" ht="17.5">
      <c r="F163" s="155" t="s">
        <v>1793</v>
      </c>
      <c r="G163" s="155"/>
      <c r="H163" s="155"/>
      <c r="I163" s="155"/>
      <c r="J163" s="155"/>
      <c r="K163" s="155"/>
    </row>
    <row r="164" spans="6:11" ht="17.5">
      <c r="F164" s="155" t="s">
        <v>1794</v>
      </c>
      <c r="G164" s="155"/>
      <c r="H164" s="155"/>
      <c r="I164" s="155"/>
      <c r="J164" s="155"/>
      <c r="K164" s="155"/>
    </row>
    <row r="165" spans="6:11" ht="17.5">
      <c r="F165" s="155" t="s">
        <v>1795</v>
      </c>
      <c r="G165" s="155"/>
      <c r="H165" s="155"/>
      <c r="I165" s="155"/>
      <c r="J165" s="155"/>
      <c r="K165" s="155"/>
    </row>
    <row r="166" spans="6:11" ht="17.5">
      <c r="F166" s="155" t="s">
        <v>1796</v>
      </c>
      <c r="G166" s="155"/>
      <c r="H166" s="155"/>
      <c r="I166" s="155"/>
      <c r="J166" s="155"/>
      <c r="K166" s="155"/>
    </row>
    <row r="167" spans="6:11" ht="17.5">
      <c r="F167" s="155" t="s">
        <v>1797</v>
      </c>
      <c r="G167" s="155" t="s">
        <v>1798</v>
      </c>
      <c r="H167" s="155" t="s">
        <v>1799</v>
      </c>
      <c r="I167" s="155" t="s">
        <v>1800</v>
      </c>
      <c r="J167" s="155" t="s">
        <v>1801</v>
      </c>
      <c r="K167" s="155" t="s">
        <v>1802</v>
      </c>
    </row>
    <row r="168" spans="6:11" ht="17.5">
      <c r="F168" s="155" t="s">
        <v>1803</v>
      </c>
      <c r="G168" s="155"/>
      <c r="H168" s="155"/>
      <c r="I168" s="155"/>
      <c r="J168" s="155"/>
      <c r="K168" s="155"/>
    </row>
    <row r="169" spans="6:11" ht="17.5">
      <c r="F169" s="155" t="s">
        <v>1804</v>
      </c>
      <c r="G169" s="155" t="s">
        <v>1805</v>
      </c>
      <c r="H169" s="155"/>
      <c r="I169" s="155"/>
      <c r="J169" s="155"/>
      <c r="K169" s="155"/>
    </row>
    <row r="170" spans="6:11" ht="17.5">
      <c r="F170" s="155" t="s">
        <v>525</v>
      </c>
      <c r="G170" s="155"/>
      <c r="H170" s="155"/>
      <c r="I170" s="155"/>
      <c r="J170" s="155"/>
      <c r="K170" s="155"/>
    </row>
    <row r="171" spans="6:11" ht="17.5">
      <c r="F171" s="155" t="s">
        <v>1806</v>
      </c>
      <c r="G171" s="155"/>
      <c r="H171" s="155"/>
      <c r="I171" s="155"/>
      <c r="J171" s="155"/>
      <c r="K171" s="155"/>
    </row>
    <row r="172" spans="6:11" ht="17.5">
      <c r="F172" s="155" t="s">
        <v>1807</v>
      </c>
      <c r="G172" s="155" t="s">
        <v>1808</v>
      </c>
      <c r="H172" s="155"/>
      <c r="I172" s="155"/>
      <c r="J172" s="155"/>
      <c r="K172" s="155"/>
    </row>
    <row r="173" spans="6:11" ht="17.5">
      <c r="F173" s="155" t="s">
        <v>1809</v>
      </c>
      <c r="G173" s="155"/>
      <c r="H173" s="155"/>
      <c r="I173" s="155"/>
      <c r="J173" s="155"/>
      <c r="K173" s="155"/>
    </row>
    <row r="174" spans="6:11" ht="17.5">
      <c r="F174" s="155" t="s">
        <v>1810</v>
      </c>
      <c r="G174" s="155" t="s">
        <v>1811</v>
      </c>
      <c r="H174" s="155" t="s">
        <v>1812</v>
      </c>
      <c r="I174" s="155" t="s">
        <v>1813</v>
      </c>
      <c r="J174" s="155"/>
      <c r="K174" s="155"/>
    </row>
    <row r="175" spans="6:11" ht="17.5">
      <c r="F175" s="155" t="s">
        <v>1814</v>
      </c>
      <c r="G175" s="155"/>
      <c r="H175" s="155"/>
      <c r="I175" s="155"/>
      <c r="J175" s="155"/>
      <c r="K175" s="155"/>
    </row>
    <row r="176" spans="6:11" ht="17.5">
      <c r="F176" s="155" t="s">
        <v>1815</v>
      </c>
      <c r="G176" s="155" t="s">
        <v>1816</v>
      </c>
      <c r="H176" s="155"/>
      <c r="I176" s="155"/>
      <c r="J176" s="155"/>
      <c r="K176" s="155"/>
    </row>
    <row r="177" spans="6:11" ht="17.5">
      <c r="F177" s="155" t="s">
        <v>1817</v>
      </c>
      <c r="G177" s="155"/>
      <c r="H177" s="155"/>
      <c r="I177" s="155"/>
      <c r="J177" s="155"/>
      <c r="K177" s="155"/>
    </row>
    <row r="178" spans="6:11" ht="17.5">
      <c r="F178" s="155" t="s">
        <v>532</v>
      </c>
      <c r="G178" s="155" t="s">
        <v>1818</v>
      </c>
      <c r="H178" s="155"/>
      <c r="I178" s="155"/>
      <c r="J178" s="155"/>
      <c r="K178" s="155"/>
    </row>
    <row r="179" spans="6:11" ht="17.5">
      <c r="F179" s="155" t="s">
        <v>1819</v>
      </c>
      <c r="G179" s="155" t="s">
        <v>1820</v>
      </c>
      <c r="H179" s="155"/>
      <c r="I179" s="155"/>
      <c r="J179" s="155"/>
      <c r="K179" s="155"/>
    </row>
    <row r="180" spans="6:11" ht="17.5">
      <c r="F180" s="155" t="s">
        <v>1821</v>
      </c>
      <c r="G180" s="155"/>
      <c r="H180" s="155"/>
      <c r="I180" s="155"/>
      <c r="J180" s="155"/>
      <c r="K180" s="155"/>
    </row>
    <row r="181" spans="6:11" ht="17.5">
      <c r="F181" s="155" t="s">
        <v>911</v>
      </c>
      <c r="G181" s="155" t="s">
        <v>1822</v>
      </c>
      <c r="H181" s="155"/>
      <c r="I181" s="155"/>
      <c r="J181" s="155"/>
      <c r="K181" s="155"/>
    </row>
    <row r="182" spans="6:11" ht="17.5">
      <c r="F182" s="155" t="s">
        <v>773</v>
      </c>
      <c r="G182" s="155"/>
      <c r="H182" s="155"/>
      <c r="I182" s="155"/>
      <c r="J182" s="155"/>
      <c r="K182" s="155"/>
    </row>
    <row r="183" spans="6:11" ht="17.5">
      <c r="F183" s="155" t="s">
        <v>1823</v>
      </c>
      <c r="G183" s="155"/>
      <c r="H183" s="155"/>
      <c r="I183" s="155"/>
      <c r="J183" s="155"/>
      <c r="K183" s="155"/>
    </row>
    <row r="184" spans="6:11" ht="17.5">
      <c r="F184" s="155" t="s">
        <v>1824</v>
      </c>
      <c r="G184" s="155"/>
      <c r="H184" s="155"/>
      <c r="I184" s="155"/>
      <c r="J184" s="155"/>
      <c r="K184" s="155"/>
    </row>
    <row r="185" spans="6:11" ht="17.5">
      <c r="F185" s="155" t="s">
        <v>1825</v>
      </c>
      <c r="G185" s="155"/>
      <c r="H185" s="155"/>
      <c r="I185" s="155"/>
      <c r="J185" s="155"/>
      <c r="K185" s="155"/>
    </row>
    <row r="186" spans="6:11" ht="17.5">
      <c r="F186" s="155" t="s">
        <v>1826</v>
      </c>
      <c r="G186" s="155"/>
      <c r="H186" s="155"/>
      <c r="I186" s="155"/>
      <c r="J186" s="155"/>
      <c r="K186" s="155"/>
    </row>
    <row r="187" spans="6:11" ht="17.5">
      <c r="F187" s="155" t="s">
        <v>1827</v>
      </c>
      <c r="G187" s="155"/>
      <c r="H187" s="155"/>
      <c r="I187" s="155"/>
      <c r="J187" s="155"/>
      <c r="K187" s="155"/>
    </row>
    <row r="188" spans="6:11" ht="17.5">
      <c r="F188" s="155" t="s">
        <v>1828</v>
      </c>
      <c r="G188" s="155"/>
      <c r="H188" s="155"/>
      <c r="I188" s="155"/>
      <c r="J188" s="155"/>
      <c r="K188" s="155"/>
    </row>
    <row r="189" spans="6:11" ht="17.5">
      <c r="F189" s="155" t="s">
        <v>1829</v>
      </c>
      <c r="G189" s="155"/>
      <c r="H189" s="155"/>
      <c r="I189" s="155"/>
      <c r="J189" s="155"/>
      <c r="K189" s="155"/>
    </row>
    <row r="190" spans="6:11" ht="17.5">
      <c r="F190" s="155" t="s">
        <v>1830</v>
      </c>
      <c r="G190" s="155"/>
      <c r="H190" s="155"/>
      <c r="I190" s="155"/>
      <c r="J190" s="155"/>
      <c r="K190" s="155"/>
    </row>
    <row r="191" spans="6:11" ht="17.5">
      <c r="F191" s="155" t="s">
        <v>1831</v>
      </c>
      <c r="G191" s="155"/>
      <c r="H191" s="155"/>
      <c r="I191" s="155"/>
      <c r="J191" s="155"/>
      <c r="K191" s="155"/>
    </row>
    <row r="192" spans="6:11" ht="17.5">
      <c r="F192" s="155" t="s">
        <v>1832</v>
      </c>
      <c r="G192" s="155"/>
      <c r="H192" s="155"/>
      <c r="I192" s="155"/>
      <c r="J192" s="155"/>
      <c r="K192" s="155"/>
    </row>
    <row r="193" spans="6:11" ht="17.5">
      <c r="F193" s="155" t="s">
        <v>1833</v>
      </c>
      <c r="G193" s="155"/>
      <c r="H193" s="155"/>
      <c r="I193" s="155"/>
      <c r="J193" s="155"/>
      <c r="K193" s="155"/>
    </row>
    <row r="194" spans="6:11" ht="17.5">
      <c r="F194" s="155" t="s">
        <v>1834</v>
      </c>
      <c r="G194" s="155" t="s">
        <v>1835</v>
      </c>
      <c r="H194" s="155"/>
      <c r="I194" s="155"/>
      <c r="J194" s="155"/>
      <c r="K194" s="155"/>
    </row>
    <row r="195" spans="6:11" ht="17.5">
      <c r="F195" s="155" t="s">
        <v>1836</v>
      </c>
      <c r="G195" s="155"/>
      <c r="H195" s="155"/>
      <c r="I195" s="155"/>
      <c r="J195" s="155"/>
      <c r="K195" s="155"/>
    </row>
    <row r="196" spans="6:11" ht="17.5">
      <c r="F196" s="155" t="s">
        <v>1837</v>
      </c>
      <c r="G196" s="155" t="s">
        <v>1838</v>
      </c>
      <c r="H196" s="155"/>
      <c r="I196" s="155"/>
      <c r="J196" s="155"/>
      <c r="K196" s="155"/>
    </row>
    <row r="197" spans="6:11" ht="17.5">
      <c r="F197" s="155" t="s">
        <v>1839</v>
      </c>
      <c r="G197" s="155"/>
      <c r="H197" s="155"/>
      <c r="I197" s="155"/>
      <c r="J197" s="155"/>
      <c r="K197" s="155"/>
    </row>
    <row r="198" spans="6:11" ht="17.5">
      <c r="F198" s="155" t="s">
        <v>1840</v>
      </c>
      <c r="G198" s="155"/>
      <c r="H198" s="155"/>
      <c r="I198" s="155"/>
      <c r="J198" s="155"/>
      <c r="K198" s="155"/>
    </row>
    <row r="199" spans="6:11" ht="17.5">
      <c r="F199" s="155" t="s">
        <v>1841</v>
      </c>
      <c r="G199" s="155"/>
      <c r="H199" s="155"/>
      <c r="I199" s="155"/>
      <c r="J199" s="155"/>
      <c r="K199" s="155"/>
    </row>
    <row r="200" spans="6:11" ht="17.5">
      <c r="F200" s="155" t="s">
        <v>59</v>
      </c>
      <c r="G200" s="155" t="s">
        <v>1842</v>
      </c>
      <c r="H200" s="155"/>
      <c r="I200" s="155"/>
      <c r="J200" s="155"/>
      <c r="K200" s="155"/>
    </row>
  </sheetData>
  <mergeCells count="3">
    <mergeCell ref="G76:H76"/>
    <mergeCell ref="J88:K88"/>
    <mergeCell ref="F116:G116"/>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I243"/>
  <sheetViews>
    <sheetView showGridLines="0" view="pageBreakPreview" topLeftCell="A97" zoomScale="90" zoomScaleNormal="85" zoomScaleSheetLayoutView="90" workbookViewId="0">
      <selection activeCell="G122" sqref="G122"/>
    </sheetView>
  </sheetViews>
  <sheetFormatPr defaultRowHeight="13"/>
  <cols>
    <col min="1" max="1" width="5.58203125" style="62" customWidth="1"/>
    <col min="2" max="3" width="15.08203125" style="62" customWidth="1"/>
    <col min="4" max="4" width="43.08203125" style="62" customWidth="1"/>
    <col min="5" max="5" width="10.58203125" style="62" customWidth="1"/>
    <col min="6" max="6" width="82.58203125" style="62" bestFit="1" customWidth="1"/>
    <col min="7" max="7" width="7.33203125" style="64" customWidth="1"/>
    <col min="8" max="8" width="15" style="62" bestFit="1" customWidth="1"/>
    <col min="9" max="256" width="9" style="62"/>
    <col min="257" max="257" width="5.58203125" style="62" customWidth="1"/>
    <col min="258" max="259" width="15.08203125" style="62" customWidth="1"/>
    <col min="260" max="260" width="43.08203125" style="62" customWidth="1"/>
    <col min="261" max="261" width="10.58203125" style="62" customWidth="1"/>
    <col min="262" max="262" width="82.58203125" style="62" bestFit="1" customWidth="1"/>
    <col min="263" max="263" width="7.33203125" style="62" customWidth="1"/>
    <col min="264" max="512" width="9" style="62"/>
    <col min="513" max="513" width="5.58203125" style="62" customWidth="1"/>
    <col min="514" max="515" width="15.08203125" style="62" customWidth="1"/>
    <col min="516" max="516" width="43.08203125" style="62" customWidth="1"/>
    <col min="517" max="517" width="10.58203125" style="62" customWidth="1"/>
    <col min="518" max="518" width="82.58203125" style="62" bestFit="1" customWidth="1"/>
    <col min="519" max="519" width="7.33203125" style="62" customWidth="1"/>
    <col min="520" max="768" width="9" style="62"/>
    <col min="769" max="769" width="5.58203125" style="62" customWidth="1"/>
    <col min="770" max="771" width="15.08203125" style="62" customWidth="1"/>
    <col min="772" max="772" width="43.08203125" style="62" customWidth="1"/>
    <col min="773" max="773" width="10.58203125" style="62" customWidth="1"/>
    <col min="774" max="774" width="82.58203125" style="62" bestFit="1" customWidth="1"/>
    <col min="775" max="775" width="7.33203125" style="62" customWidth="1"/>
    <col min="776" max="1024" width="9" style="62"/>
    <col min="1025" max="1025" width="5.58203125" style="62" customWidth="1"/>
    <col min="1026" max="1027" width="15.08203125" style="62" customWidth="1"/>
    <col min="1028" max="1028" width="43.08203125" style="62" customWidth="1"/>
    <col min="1029" max="1029" width="10.58203125" style="62" customWidth="1"/>
    <col min="1030" max="1030" width="82.58203125" style="62" bestFit="1" customWidth="1"/>
    <col min="1031" max="1031" width="7.33203125" style="62" customWidth="1"/>
    <col min="1032" max="1280" width="9" style="62"/>
    <col min="1281" max="1281" width="5.58203125" style="62" customWidth="1"/>
    <col min="1282" max="1283" width="15.08203125" style="62" customWidth="1"/>
    <col min="1284" max="1284" width="43.08203125" style="62" customWidth="1"/>
    <col min="1285" max="1285" width="10.58203125" style="62" customWidth="1"/>
    <col min="1286" max="1286" width="82.58203125" style="62" bestFit="1" customWidth="1"/>
    <col min="1287" max="1287" width="7.33203125" style="62" customWidth="1"/>
    <col min="1288" max="1536" width="9" style="62"/>
    <col min="1537" max="1537" width="5.58203125" style="62" customWidth="1"/>
    <col min="1538" max="1539" width="15.08203125" style="62" customWidth="1"/>
    <col min="1540" max="1540" width="43.08203125" style="62" customWidth="1"/>
    <col min="1541" max="1541" width="10.58203125" style="62" customWidth="1"/>
    <col min="1542" max="1542" width="82.58203125" style="62" bestFit="1" customWidth="1"/>
    <col min="1543" max="1543" width="7.33203125" style="62" customWidth="1"/>
    <col min="1544" max="1792" width="9" style="62"/>
    <col min="1793" max="1793" width="5.58203125" style="62" customWidth="1"/>
    <col min="1794" max="1795" width="15.08203125" style="62" customWidth="1"/>
    <col min="1796" max="1796" width="43.08203125" style="62" customWidth="1"/>
    <col min="1797" max="1797" width="10.58203125" style="62" customWidth="1"/>
    <col min="1798" max="1798" width="82.58203125" style="62" bestFit="1" customWidth="1"/>
    <col min="1799" max="1799" width="7.33203125" style="62" customWidth="1"/>
    <col min="1800" max="2048" width="9" style="62"/>
    <col min="2049" max="2049" width="5.58203125" style="62" customWidth="1"/>
    <col min="2050" max="2051" width="15.08203125" style="62" customWidth="1"/>
    <col min="2052" max="2052" width="43.08203125" style="62" customWidth="1"/>
    <col min="2053" max="2053" width="10.58203125" style="62" customWidth="1"/>
    <col min="2054" max="2054" width="82.58203125" style="62" bestFit="1" customWidth="1"/>
    <col min="2055" max="2055" width="7.33203125" style="62" customWidth="1"/>
    <col min="2056" max="2304" width="9" style="62"/>
    <col min="2305" max="2305" width="5.58203125" style="62" customWidth="1"/>
    <col min="2306" max="2307" width="15.08203125" style="62" customWidth="1"/>
    <col min="2308" max="2308" width="43.08203125" style="62" customWidth="1"/>
    <col min="2309" max="2309" width="10.58203125" style="62" customWidth="1"/>
    <col min="2310" max="2310" width="82.58203125" style="62" bestFit="1" customWidth="1"/>
    <col min="2311" max="2311" width="7.33203125" style="62" customWidth="1"/>
    <col min="2312" max="2560" width="9" style="62"/>
    <col min="2561" max="2561" width="5.58203125" style="62" customWidth="1"/>
    <col min="2562" max="2563" width="15.08203125" style="62" customWidth="1"/>
    <col min="2564" max="2564" width="43.08203125" style="62" customWidth="1"/>
    <col min="2565" max="2565" width="10.58203125" style="62" customWidth="1"/>
    <col min="2566" max="2566" width="82.58203125" style="62" bestFit="1" customWidth="1"/>
    <col min="2567" max="2567" width="7.33203125" style="62" customWidth="1"/>
    <col min="2568" max="2816" width="9" style="62"/>
    <col min="2817" max="2817" width="5.58203125" style="62" customWidth="1"/>
    <col min="2818" max="2819" width="15.08203125" style="62" customWidth="1"/>
    <col min="2820" max="2820" width="43.08203125" style="62" customWidth="1"/>
    <col min="2821" max="2821" width="10.58203125" style="62" customWidth="1"/>
    <col min="2822" max="2822" width="82.58203125" style="62" bestFit="1" customWidth="1"/>
    <col min="2823" max="2823" width="7.33203125" style="62" customWidth="1"/>
    <col min="2824" max="3072" width="9" style="62"/>
    <col min="3073" max="3073" width="5.58203125" style="62" customWidth="1"/>
    <col min="3074" max="3075" width="15.08203125" style="62" customWidth="1"/>
    <col min="3076" max="3076" width="43.08203125" style="62" customWidth="1"/>
    <col min="3077" max="3077" width="10.58203125" style="62" customWidth="1"/>
    <col min="3078" max="3078" width="82.58203125" style="62" bestFit="1" customWidth="1"/>
    <col min="3079" max="3079" width="7.33203125" style="62" customWidth="1"/>
    <col min="3080" max="3328" width="9" style="62"/>
    <col min="3329" max="3329" width="5.58203125" style="62" customWidth="1"/>
    <col min="3330" max="3331" width="15.08203125" style="62" customWidth="1"/>
    <col min="3332" max="3332" width="43.08203125" style="62" customWidth="1"/>
    <col min="3333" max="3333" width="10.58203125" style="62" customWidth="1"/>
    <col min="3334" max="3334" width="82.58203125" style="62" bestFit="1" customWidth="1"/>
    <col min="3335" max="3335" width="7.33203125" style="62" customWidth="1"/>
    <col min="3336" max="3584" width="9" style="62"/>
    <col min="3585" max="3585" width="5.58203125" style="62" customWidth="1"/>
    <col min="3586" max="3587" width="15.08203125" style="62" customWidth="1"/>
    <col min="3588" max="3588" width="43.08203125" style="62" customWidth="1"/>
    <col min="3589" max="3589" width="10.58203125" style="62" customWidth="1"/>
    <col min="3590" max="3590" width="82.58203125" style="62" bestFit="1" customWidth="1"/>
    <col min="3591" max="3591" width="7.33203125" style="62" customWidth="1"/>
    <col min="3592" max="3840" width="9" style="62"/>
    <col min="3841" max="3841" width="5.58203125" style="62" customWidth="1"/>
    <col min="3842" max="3843" width="15.08203125" style="62" customWidth="1"/>
    <col min="3844" max="3844" width="43.08203125" style="62" customWidth="1"/>
    <col min="3845" max="3845" width="10.58203125" style="62" customWidth="1"/>
    <col min="3846" max="3846" width="82.58203125" style="62" bestFit="1" customWidth="1"/>
    <col min="3847" max="3847" width="7.33203125" style="62" customWidth="1"/>
    <col min="3848" max="4096" width="9" style="62"/>
    <col min="4097" max="4097" width="5.58203125" style="62" customWidth="1"/>
    <col min="4098" max="4099" width="15.08203125" style="62" customWidth="1"/>
    <col min="4100" max="4100" width="43.08203125" style="62" customWidth="1"/>
    <col min="4101" max="4101" width="10.58203125" style="62" customWidth="1"/>
    <col min="4102" max="4102" width="82.58203125" style="62" bestFit="1" customWidth="1"/>
    <col min="4103" max="4103" width="7.33203125" style="62" customWidth="1"/>
    <col min="4104" max="4352" width="9" style="62"/>
    <col min="4353" max="4353" width="5.58203125" style="62" customWidth="1"/>
    <col min="4354" max="4355" width="15.08203125" style="62" customWidth="1"/>
    <col min="4356" max="4356" width="43.08203125" style="62" customWidth="1"/>
    <col min="4357" max="4357" width="10.58203125" style="62" customWidth="1"/>
    <col min="4358" max="4358" width="82.58203125" style="62" bestFit="1" customWidth="1"/>
    <col min="4359" max="4359" width="7.33203125" style="62" customWidth="1"/>
    <col min="4360" max="4608" width="9" style="62"/>
    <col min="4609" max="4609" width="5.58203125" style="62" customWidth="1"/>
    <col min="4610" max="4611" width="15.08203125" style="62" customWidth="1"/>
    <col min="4612" max="4612" width="43.08203125" style="62" customWidth="1"/>
    <col min="4613" max="4613" width="10.58203125" style="62" customWidth="1"/>
    <col min="4614" max="4614" width="82.58203125" style="62" bestFit="1" customWidth="1"/>
    <col min="4615" max="4615" width="7.33203125" style="62" customWidth="1"/>
    <col min="4616" max="4864" width="9" style="62"/>
    <col min="4865" max="4865" width="5.58203125" style="62" customWidth="1"/>
    <col min="4866" max="4867" width="15.08203125" style="62" customWidth="1"/>
    <col min="4868" max="4868" width="43.08203125" style="62" customWidth="1"/>
    <col min="4869" max="4869" width="10.58203125" style="62" customWidth="1"/>
    <col min="4870" max="4870" width="82.58203125" style="62" bestFit="1" customWidth="1"/>
    <col min="4871" max="4871" width="7.33203125" style="62" customWidth="1"/>
    <col min="4872" max="5120" width="9" style="62"/>
    <col min="5121" max="5121" width="5.58203125" style="62" customWidth="1"/>
    <col min="5122" max="5123" width="15.08203125" style="62" customWidth="1"/>
    <col min="5124" max="5124" width="43.08203125" style="62" customWidth="1"/>
    <col min="5125" max="5125" width="10.58203125" style="62" customWidth="1"/>
    <col min="5126" max="5126" width="82.58203125" style="62" bestFit="1" customWidth="1"/>
    <col min="5127" max="5127" width="7.33203125" style="62" customWidth="1"/>
    <col min="5128" max="5376" width="9" style="62"/>
    <col min="5377" max="5377" width="5.58203125" style="62" customWidth="1"/>
    <col min="5378" max="5379" width="15.08203125" style="62" customWidth="1"/>
    <col min="5380" max="5380" width="43.08203125" style="62" customWidth="1"/>
    <col min="5381" max="5381" width="10.58203125" style="62" customWidth="1"/>
    <col min="5382" max="5382" width="82.58203125" style="62" bestFit="1" customWidth="1"/>
    <col min="5383" max="5383" width="7.33203125" style="62" customWidth="1"/>
    <col min="5384" max="5632" width="9" style="62"/>
    <col min="5633" max="5633" width="5.58203125" style="62" customWidth="1"/>
    <col min="5634" max="5635" width="15.08203125" style="62" customWidth="1"/>
    <col min="5636" max="5636" width="43.08203125" style="62" customWidth="1"/>
    <col min="5637" max="5637" width="10.58203125" style="62" customWidth="1"/>
    <col min="5638" max="5638" width="82.58203125" style="62" bestFit="1" customWidth="1"/>
    <col min="5639" max="5639" width="7.33203125" style="62" customWidth="1"/>
    <col min="5640" max="5888" width="9" style="62"/>
    <col min="5889" max="5889" width="5.58203125" style="62" customWidth="1"/>
    <col min="5890" max="5891" width="15.08203125" style="62" customWidth="1"/>
    <col min="5892" max="5892" width="43.08203125" style="62" customWidth="1"/>
    <col min="5893" max="5893" width="10.58203125" style="62" customWidth="1"/>
    <col min="5894" max="5894" width="82.58203125" style="62" bestFit="1" customWidth="1"/>
    <col min="5895" max="5895" width="7.33203125" style="62" customWidth="1"/>
    <col min="5896" max="6144" width="9" style="62"/>
    <col min="6145" max="6145" width="5.58203125" style="62" customWidth="1"/>
    <col min="6146" max="6147" width="15.08203125" style="62" customWidth="1"/>
    <col min="6148" max="6148" width="43.08203125" style="62" customWidth="1"/>
    <col min="6149" max="6149" width="10.58203125" style="62" customWidth="1"/>
    <col min="6150" max="6150" width="82.58203125" style="62" bestFit="1" customWidth="1"/>
    <col min="6151" max="6151" width="7.33203125" style="62" customWidth="1"/>
    <col min="6152" max="6400" width="9" style="62"/>
    <col min="6401" max="6401" width="5.58203125" style="62" customWidth="1"/>
    <col min="6402" max="6403" width="15.08203125" style="62" customWidth="1"/>
    <col min="6404" max="6404" width="43.08203125" style="62" customWidth="1"/>
    <col min="6405" max="6405" width="10.58203125" style="62" customWidth="1"/>
    <col min="6406" max="6406" width="82.58203125" style="62" bestFit="1" customWidth="1"/>
    <col min="6407" max="6407" width="7.33203125" style="62" customWidth="1"/>
    <col min="6408" max="6656" width="9" style="62"/>
    <col min="6657" max="6657" width="5.58203125" style="62" customWidth="1"/>
    <col min="6658" max="6659" width="15.08203125" style="62" customWidth="1"/>
    <col min="6660" max="6660" width="43.08203125" style="62" customWidth="1"/>
    <col min="6661" max="6661" width="10.58203125" style="62" customWidth="1"/>
    <col min="6662" max="6662" width="82.58203125" style="62" bestFit="1" customWidth="1"/>
    <col min="6663" max="6663" width="7.33203125" style="62" customWidth="1"/>
    <col min="6664" max="6912" width="9" style="62"/>
    <col min="6913" max="6913" width="5.58203125" style="62" customWidth="1"/>
    <col min="6914" max="6915" width="15.08203125" style="62" customWidth="1"/>
    <col min="6916" max="6916" width="43.08203125" style="62" customWidth="1"/>
    <col min="6917" max="6917" width="10.58203125" style="62" customWidth="1"/>
    <col min="6918" max="6918" width="82.58203125" style="62" bestFit="1" customWidth="1"/>
    <col min="6919" max="6919" width="7.33203125" style="62" customWidth="1"/>
    <col min="6920" max="7168" width="9" style="62"/>
    <col min="7169" max="7169" width="5.58203125" style="62" customWidth="1"/>
    <col min="7170" max="7171" width="15.08203125" style="62" customWidth="1"/>
    <col min="7172" max="7172" width="43.08203125" style="62" customWidth="1"/>
    <col min="7173" max="7173" width="10.58203125" style="62" customWidth="1"/>
    <col min="7174" max="7174" width="82.58203125" style="62" bestFit="1" customWidth="1"/>
    <col min="7175" max="7175" width="7.33203125" style="62" customWidth="1"/>
    <col min="7176" max="7424" width="9" style="62"/>
    <col min="7425" max="7425" width="5.58203125" style="62" customWidth="1"/>
    <col min="7426" max="7427" width="15.08203125" style="62" customWidth="1"/>
    <col min="7428" max="7428" width="43.08203125" style="62" customWidth="1"/>
    <col min="7429" max="7429" width="10.58203125" style="62" customWidth="1"/>
    <col min="7430" max="7430" width="82.58203125" style="62" bestFit="1" customWidth="1"/>
    <col min="7431" max="7431" width="7.33203125" style="62" customWidth="1"/>
    <col min="7432" max="7680" width="9" style="62"/>
    <col min="7681" max="7681" width="5.58203125" style="62" customWidth="1"/>
    <col min="7682" max="7683" width="15.08203125" style="62" customWidth="1"/>
    <col min="7684" max="7684" width="43.08203125" style="62" customWidth="1"/>
    <col min="7685" max="7685" width="10.58203125" style="62" customWidth="1"/>
    <col min="7686" max="7686" width="82.58203125" style="62" bestFit="1" customWidth="1"/>
    <col min="7687" max="7687" width="7.33203125" style="62" customWidth="1"/>
    <col min="7688" max="7936" width="9" style="62"/>
    <col min="7937" max="7937" width="5.58203125" style="62" customWidth="1"/>
    <col min="7938" max="7939" width="15.08203125" style="62" customWidth="1"/>
    <col min="7940" max="7940" width="43.08203125" style="62" customWidth="1"/>
    <col min="7941" max="7941" width="10.58203125" style="62" customWidth="1"/>
    <col min="7942" max="7942" width="82.58203125" style="62" bestFit="1" customWidth="1"/>
    <col min="7943" max="7943" width="7.33203125" style="62" customWidth="1"/>
    <col min="7944" max="8192" width="9" style="62"/>
    <col min="8193" max="8193" width="5.58203125" style="62" customWidth="1"/>
    <col min="8194" max="8195" width="15.08203125" style="62" customWidth="1"/>
    <col min="8196" max="8196" width="43.08203125" style="62" customWidth="1"/>
    <col min="8197" max="8197" width="10.58203125" style="62" customWidth="1"/>
    <col min="8198" max="8198" width="82.58203125" style="62" bestFit="1" customWidth="1"/>
    <col min="8199" max="8199" width="7.33203125" style="62" customWidth="1"/>
    <col min="8200" max="8448" width="9" style="62"/>
    <col min="8449" max="8449" width="5.58203125" style="62" customWidth="1"/>
    <col min="8450" max="8451" width="15.08203125" style="62" customWidth="1"/>
    <col min="8452" max="8452" width="43.08203125" style="62" customWidth="1"/>
    <col min="8453" max="8453" width="10.58203125" style="62" customWidth="1"/>
    <col min="8454" max="8454" width="82.58203125" style="62" bestFit="1" customWidth="1"/>
    <col min="8455" max="8455" width="7.33203125" style="62" customWidth="1"/>
    <col min="8456" max="8704" width="9" style="62"/>
    <col min="8705" max="8705" width="5.58203125" style="62" customWidth="1"/>
    <col min="8706" max="8707" width="15.08203125" style="62" customWidth="1"/>
    <col min="8708" max="8708" width="43.08203125" style="62" customWidth="1"/>
    <col min="8709" max="8709" width="10.58203125" style="62" customWidth="1"/>
    <col min="8710" max="8710" width="82.58203125" style="62" bestFit="1" customWidth="1"/>
    <col min="8711" max="8711" width="7.33203125" style="62" customWidth="1"/>
    <col min="8712" max="8960" width="9" style="62"/>
    <col min="8961" max="8961" width="5.58203125" style="62" customWidth="1"/>
    <col min="8962" max="8963" width="15.08203125" style="62" customWidth="1"/>
    <col min="8964" max="8964" width="43.08203125" style="62" customWidth="1"/>
    <col min="8965" max="8965" width="10.58203125" style="62" customWidth="1"/>
    <col min="8966" max="8966" width="82.58203125" style="62" bestFit="1" customWidth="1"/>
    <col min="8967" max="8967" width="7.33203125" style="62" customWidth="1"/>
    <col min="8968" max="9216" width="9" style="62"/>
    <col min="9217" max="9217" width="5.58203125" style="62" customWidth="1"/>
    <col min="9218" max="9219" width="15.08203125" style="62" customWidth="1"/>
    <col min="9220" max="9220" width="43.08203125" style="62" customWidth="1"/>
    <col min="9221" max="9221" width="10.58203125" style="62" customWidth="1"/>
    <col min="9222" max="9222" width="82.58203125" style="62" bestFit="1" customWidth="1"/>
    <col min="9223" max="9223" width="7.33203125" style="62" customWidth="1"/>
    <col min="9224" max="9472" width="9" style="62"/>
    <col min="9473" max="9473" width="5.58203125" style="62" customWidth="1"/>
    <col min="9474" max="9475" width="15.08203125" style="62" customWidth="1"/>
    <col min="9476" max="9476" width="43.08203125" style="62" customWidth="1"/>
    <col min="9477" max="9477" width="10.58203125" style="62" customWidth="1"/>
    <col min="9478" max="9478" width="82.58203125" style="62" bestFit="1" customWidth="1"/>
    <col min="9479" max="9479" width="7.33203125" style="62" customWidth="1"/>
    <col min="9480" max="9728" width="9" style="62"/>
    <col min="9729" max="9729" width="5.58203125" style="62" customWidth="1"/>
    <col min="9730" max="9731" width="15.08203125" style="62" customWidth="1"/>
    <col min="9732" max="9732" width="43.08203125" style="62" customWidth="1"/>
    <col min="9733" max="9733" width="10.58203125" style="62" customWidth="1"/>
    <col min="9734" max="9734" width="82.58203125" style="62" bestFit="1" customWidth="1"/>
    <col min="9735" max="9735" width="7.33203125" style="62" customWidth="1"/>
    <col min="9736" max="9984" width="9" style="62"/>
    <col min="9985" max="9985" width="5.58203125" style="62" customWidth="1"/>
    <col min="9986" max="9987" width="15.08203125" style="62" customWidth="1"/>
    <col min="9988" max="9988" width="43.08203125" style="62" customWidth="1"/>
    <col min="9989" max="9989" width="10.58203125" style="62" customWidth="1"/>
    <col min="9990" max="9990" width="82.58203125" style="62" bestFit="1" customWidth="1"/>
    <col min="9991" max="9991" width="7.33203125" style="62" customWidth="1"/>
    <col min="9992" max="10240" width="9" style="62"/>
    <col min="10241" max="10241" width="5.58203125" style="62" customWidth="1"/>
    <col min="10242" max="10243" width="15.08203125" style="62" customWidth="1"/>
    <col min="10244" max="10244" width="43.08203125" style="62" customWidth="1"/>
    <col min="10245" max="10245" width="10.58203125" style="62" customWidth="1"/>
    <col min="10246" max="10246" width="82.58203125" style="62" bestFit="1" customWidth="1"/>
    <col min="10247" max="10247" width="7.33203125" style="62" customWidth="1"/>
    <col min="10248" max="10496" width="9" style="62"/>
    <col min="10497" max="10497" width="5.58203125" style="62" customWidth="1"/>
    <col min="10498" max="10499" width="15.08203125" style="62" customWidth="1"/>
    <col min="10500" max="10500" width="43.08203125" style="62" customWidth="1"/>
    <col min="10501" max="10501" width="10.58203125" style="62" customWidth="1"/>
    <col min="10502" max="10502" width="82.58203125" style="62" bestFit="1" customWidth="1"/>
    <col min="10503" max="10503" width="7.33203125" style="62" customWidth="1"/>
    <col min="10504" max="10752" width="9" style="62"/>
    <col min="10753" max="10753" width="5.58203125" style="62" customWidth="1"/>
    <col min="10754" max="10755" width="15.08203125" style="62" customWidth="1"/>
    <col min="10756" max="10756" width="43.08203125" style="62" customWidth="1"/>
    <col min="10757" max="10757" width="10.58203125" style="62" customWidth="1"/>
    <col min="10758" max="10758" width="82.58203125" style="62" bestFit="1" customWidth="1"/>
    <col min="10759" max="10759" width="7.33203125" style="62" customWidth="1"/>
    <col min="10760" max="11008" width="9" style="62"/>
    <col min="11009" max="11009" width="5.58203125" style="62" customWidth="1"/>
    <col min="11010" max="11011" width="15.08203125" style="62" customWidth="1"/>
    <col min="11012" max="11012" width="43.08203125" style="62" customWidth="1"/>
    <col min="11013" max="11013" width="10.58203125" style="62" customWidth="1"/>
    <col min="11014" max="11014" width="82.58203125" style="62" bestFit="1" customWidth="1"/>
    <col min="11015" max="11015" width="7.33203125" style="62" customWidth="1"/>
    <col min="11016" max="11264" width="9" style="62"/>
    <col min="11265" max="11265" width="5.58203125" style="62" customWidth="1"/>
    <col min="11266" max="11267" width="15.08203125" style="62" customWidth="1"/>
    <col min="11268" max="11268" width="43.08203125" style="62" customWidth="1"/>
    <col min="11269" max="11269" width="10.58203125" style="62" customWidth="1"/>
    <col min="11270" max="11270" width="82.58203125" style="62" bestFit="1" customWidth="1"/>
    <col min="11271" max="11271" width="7.33203125" style="62" customWidth="1"/>
    <col min="11272" max="11520" width="9" style="62"/>
    <col min="11521" max="11521" width="5.58203125" style="62" customWidth="1"/>
    <col min="11522" max="11523" width="15.08203125" style="62" customWidth="1"/>
    <col min="11524" max="11524" width="43.08203125" style="62" customWidth="1"/>
    <col min="11525" max="11525" width="10.58203125" style="62" customWidth="1"/>
    <col min="11526" max="11526" width="82.58203125" style="62" bestFit="1" customWidth="1"/>
    <col min="11527" max="11527" width="7.33203125" style="62" customWidth="1"/>
    <col min="11528" max="11776" width="9" style="62"/>
    <col min="11777" max="11777" width="5.58203125" style="62" customWidth="1"/>
    <col min="11778" max="11779" width="15.08203125" style="62" customWidth="1"/>
    <col min="11780" max="11780" width="43.08203125" style="62" customWidth="1"/>
    <col min="11781" max="11781" width="10.58203125" style="62" customWidth="1"/>
    <col min="11782" max="11782" width="82.58203125" style="62" bestFit="1" customWidth="1"/>
    <col min="11783" max="11783" width="7.33203125" style="62" customWidth="1"/>
    <col min="11784" max="12032" width="9" style="62"/>
    <col min="12033" max="12033" width="5.58203125" style="62" customWidth="1"/>
    <col min="12034" max="12035" width="15.08203125" style="62" customWidth="1"/>
    <col min="12036" max="12036" width="43.08203125" style="62" customWidth="1"/>
    <col min="12037" max="12037" width="10.58203125" style="62" customWidth="1"/>
    <col min="12038" max="12038" width="82.58203125" style="62" bestFit="1" customWidth="1"/>
    <col min="12039" max="12039" width="7.33203125" style="62" customWidth="1"/>
    <col min="12040" max="12288" width="9" style="62"/>
    <col min="12289" max="12289" width="5.58203125" style="62" customWidth="1"/>
    <col min="12290" max="12291" width="15.08203125" style="62" customWidth="1"/>
    <col min="12292" max="12292" width="43.08203125" style="62" customWidth="1"/>
    <col min="12293" max="12293" width="10.58203125" style="62" customWidth="1"/>
    <col min="12294" max="12294" width="82.58203125" style="62" bestFit="1" customWidth="1"/>
    <col min="12295" max="12295" width="7.33203125" style="62" customWidth="1"/>
    <col min="12296" max="12544" width="9" style="62"/>
    <col min="12545" max="12545" width="5.58203125" style="62" customWidth="1"/>
    <col min="12546" max="12547" width="15.08203125" style="62" customWidth="1"/>
    <col min="12548" max="12548" width="43.08203125" style="62" customWidth="1"/>
    <col min="12549" max="12549" width="10.58203125" style="62" customWidth="1"/>
    <col min="12550" max="12550" width="82.58203125" style="62" bestFit="1" customWidth="1"/>
    <col min="12551" max="12551" width="7.33203125" style="62" customWidth="1"/>
    <col min="12552" max="12800" width="9" style="62"/>
    <col min="12801" max="12801" width="5.58203125" style="62" customWidth="1"/>
    <col min="12802" max="12803" width="15.08203125" style="62" customWidth="1"/>
    <col min="12804" max="12804" width="43.08203125" style="62" customWidth="1"/>
    <col min="12805" max="12805" width="10.58203125" style="62" customWidth="1"/>
    <col min="12806" max="12806" width="82.58203125" style="62" bestFit="1" customWidth="1"/>
    <col min="12807" max="12807" width="7.33203125" style="62" customWidth="1"/>
    <col min="12808" max="13056" width="9" style="62"/>
    <col min="13057" max="13057" width="5.58203125" style="62" customWidth="1"/>
    <col min="13058" max="13059" width="15.08203125" style="62" customWidth="1"/>
    <col min="13060" max="13060" width="43.08203125" style="62" customWidth="1"/>
    <col min="13061" max="13061" width="10.58203125" style="62" customWidth="1"/>
    <col min="13062" max="13062" width="82.58203125" style="62" bestFit="1" customWidth="1"/>
    <col min="13063" max="13063" width="7.33203125" style="62" customWidth="1"/>
    <col min="13064" max="13312" width="9" style="62"/>
    <col min="13313" max="13313" width="5.58203125" style="62" customWidth="1"/>
    <col min="13314" max="13315" width="15.08203125" style="62" customWidth="1"/>
    <col min="13316" max="13316" width="43.08203125" style="62" customWidth="1"/>
    <col min="13317" max="13317" width="10.58203125" style="62" customWidth="1"/>
    <col min="13318" max="13318" width="82.58203125" style="62" bestFit="1" customWidth="1"/>
    <col min="13319" max="13319" width="7.33203125" style="62" customWidth="1"/>
    <col min="13320" max="13568" width="9" style="62"/>
    <col min="13569" max="13569" width="5.58203125" style="62" customWidth="1"/>
    <col min="13570" max="13571" width="15.08203125" style="62" customWidth="1"/>
    <col min="13572" max="13572" width="43.08203125" style="62" customWidth="1"/>
    <col min="13573" max="13573" width="10.58203125" style="62" customWidth="1"/>
    <col min="13574" max="13574" width="82.58203125" style="62" bestFit="1" customWidth="1"/>
    <col min="13575" max="13575" width="7.33203125" style="62" customWidth="1"/>
    <col min="13576" max="13824" width="9" style="62"/>
    <col min="13825" max="13825" width="5.58203125" style="62" customWidth="1"/>
    <col min="13826" max="13827" width="15.08203125" style="62" customWidth="1"/>
    <col min="13828" max="13828" width="43.08203125" style="62" customWidth="1"/>
    <col min="13829" max="13829" width="10.58203125" style="62" customWidth="1"/>
    <col min="13830" max="13830" width="82.58203125" style="62" bestFit="1" customWidth="1"/>
    <col min="13831" max="13831" width="7.33203125" style="62" customWidth="1"/>
    <col min="13832" max="14080" width="9" style="62"/>
    <col min="14081" max="14081" width="5.58203125" style="62" customWidth="1"/>
    <col min="14082" max="14083" width="15.08203125" style="62" customWidth="1"/>
    <col min="14084" max="14084" width="43.08203125" style="62" customWidth="1"/>
    <col min="14085" max="14085" width="10.58203125" style="62" customWidth="1"/>
    <col min="14086" max="14086" width="82.58203125" style="62" bestFit="1" customWidth="1"/>
    <col min="14087" max="14087" width="7.33203125" style="62" customWidth="1"/>
    <col min="14088" max="14336" width="9" style="62"/>
    <col min="14337" max="14337" width="5.58203125" style="62" customWidth="1"/>
    <col min="14338" max="14339" width="15.08203125" style="62" customWidth="1"/>
    <col min="14340" max="14340" width="43.08203125" style="62" customWidth="1"/>
    <col min="14341" max="14341" width="10.58203125" style="62" customWidth="1"/>
    <col min="14342" max="14342" width="82.58203125" style="62" bestFit="1" customWidth="1"/>
    <col min="14343" max="14343" width="7.33203125" style="62" customWidth="1"/>
    <col min="14344" max="14592" width="9" style="62"/>
    <col min="14593" max="14593" width="5.58203125" style="62" customWidth="1"/>
    <col min="14594" max="14595" width="15.08203125" style="62" customWidth="1"/>
    <col min="14596" max="14596" width="43.08203125" style="62" customWidth="1"/>
    <col min="14597" max="14597" width="10.58203125" style="62" customWidth="1"/>
    <col min="14598" max="14598" width="82.58203125" style="62" bestFit="1" customWidth="1"/>
    <col min="14599" max="14599" width="7.33203125" style="62" customWidth="1"/>
    <col min="14600" max="14848" width="9" style="62"/>
    <col min="14849" max="14849" width="5.58203125" style="62" customWidth="1"/>
    <col min="14850" max="14851" width="15.08203125" style="62" customWidth="1"/>
    <col min="14852" max="14852" width="43.08203125" style="62" customWidth="1"/>
    <col min="14853" max="14853" width="10.58203125" style="62" customWidth="1"/>
    <col min="14854" max="14854" width="82.58203125" style="62" bestFit="1" customWidth="1"/>
    <col min="14855" max="14855" width="7.33203125" style="62" customWidth="1"/>
    <col min="14856" max="15104" width="9" style="62"/>
    <col min="15105" max="15105" width="5.58203125" style="62" customWidth="1"/>
    <col min="15106" max="15107" width="15.08203125" style="62" customWidth="1"/>
    <col min="15108" max="15108" width="43.08203125" style="62" customWidth="1"/>
    <col min="15109" max="15109" width="10.58203125" style="62" customWidth="1"/>
    <col min="15110" max="15110" width="82.58203125" style="62" bestFit="1" customWidth="1"/>
    <col min="15111" max="15111" width="7.33203125" style="62" customWidth="1"/>
    <col min="15112" max="15360" width="9" style="62"/>
    <col min="15361" max="15361" width="5.58203125" style="62" customWidth="1"/>
    <col min="15362" max="15363" width="15.08203125" style="62" customWidth="1"/>
    <col min="15364" max="15364" width="43.08203125" style="62" customWidth="1"/>
    <col min="15365" max="15365" width="10.58203125" style="62" customWidth="1"/>
    <col min="15366" max="15366" width="82.58203125" style="62" bestFit="1" customWidth="1"/>
    <col min="15367" max="15367" width="7.33203125" style="62" customWidth="1"/>
    <col min="15368" max="15616" width="9" style="62"/>
    <col min="15617" max="15617" width="5.58203125" style="62" customWidth="1"/>
    <col min="15618" max="15619" width="15.08203125" style="62" customWidth="1"/>
    <col min="15620" max="15620" width="43.08203125" style="62" customWidth="1"/>
    <col min="15621" max="15621" width="10.58203125" style="62" customWidth="1"/>
    <col min="15622" max="15622" width="82.58203125" style="62" bestFit="1" customWidth="1"/>
    <col min="15623" max="15623" width="7.33203125" style="62" customWidth="1"/>
    <col min="15624" max="15872" width="9" style="62"/>
    <col min="15873" max="15873" width="5.58203125" style="62" customWidth="1"/>
    <col min="15874" max="15875" width="15.08203125" style="62" customWidth="1"/>
    <col min="15876" max="15876" width="43.08203125" style="62" customWidth="1"/>
    <col min="15877" max="15877" width="10.58203125" style="62" customWidth="1"/>
    <col min="15878" max="15878" width="82.58203125" style="62" bestFit="1" customWidth="1"/>
    <col min="15879" max="15879" width="7.33203125" style="62" customWidth="1"/>
    <col min="15880" max="16128" width="9" style="62"/>
    <col min="16129" max="16129" width="5.58203125" style="62" customWidth="1"/>
    <col min="16130" max="16131" width="15.08203125" style="62" customWidth="1"/>
    <col min="16132" max="16132" width="43.08203125" style="62" customWidth="1"/>
    <col min="16133" max="16133" width="10.58203125" style="62" customWidth="1"/>
    <col min="16134" max="16134" width="82.58203125" style="62" bestFit="1" customWidth="1"/>
    <col min="16135" max="16135" width="7.33203125" style="62" customWidth="1"/>
    <col min="16136" max="16384" width="9" style="62"/>
  </cols>
  <sheetData>
    <row r="1" spans="2:7" ht="14">
      <c r="F1" s="63" t="s">
        <v>1207</v>
      </c>
    </row>
    <row r="2" spans="2:7" ht="16.5">
      <c r="B2" s="65" t="s">
        <v>1208</v>
      </c>
      <c r="E2" s="66"/>
      <c r="F2" s="67">
        <v>44013</v>
      </c>
    </row>
    <row r="3" spans="2:7" ht="13.5" thickBot="1">
      <c r="F3" s="68" t="s">
        <v>1209</v>
      </c>
    </row>
    <row r="4" spans="2:7" ht="13.5" customHeight="1">
      <c r="B4" s="196" t="s">
        <v>1210</v>
      </c>
      <c r="C4" s="197"/>
      <c r="D4" s="198"/>
      <c r="E4" s="202" t="s">
        <v>1211</v>
      </c>
      <c r="F4" s="202" t="s">
        <v>1212</v>
      </c>
    </row>
    <row r="5" spans="2:7" ht="13.5" thickBot="1">
      <c r="B5" s="199"/>
      <c r="C5" s="200"/>
      <c r="D5" s="201"/>
      <c r="E5" s="203"/>
      <c r="F5" s="203"/>
    </row>
    <row r="6" spans="2:7" s="72" customFormat="1" ht="14.25" customHeight="1" thickTop="1">
      <c r="B6" s="204" t="s">
        <v>1213</v>
      </c>
      <c r="C6" s="205"/>
      <c r="D6" s="69"/>
      <c r="E6" s="13" t="s">
        <v>1515</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3.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206" t="s">
        <v>1250</v>
      </c>
      <c r="D24" s="207"/>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3.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
      <c r="B32" s="73"/>
      <c r="C32" s="92"/>
      <c r="D32" s="93" t="s">
        <v>1264</v>
      </c>
      <c r="E32" s="18" t="s">
        <v>1102</v>
      </c>
      <c r="F32" s="76" t="s">
        <v>1265</v>
      </c>
      <c r="G32" s="71"/>
    </row>
    <row r="33" spans="2:7" s="72" customFormat="1" ht="14">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
      <c r="B40" s="73"/>
      <c r="C40" s="78"/>
      <c r="D40" s="93" t="s">
        <v>1280</v>
      </c>
      <c r="E40" s="18" t="s">
        <v>1107</v>
      </c>
      <c r="F40" s="76" t="s">
        <v>1281</v>
      </c>
      <c r="G40" s="71"/>
    </row>
    <row r="41" spans="2:7" s="72" customFormat="1" ht="14">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3.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3.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3.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3.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3.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3.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3.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3.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3.5" thickBot="1">
      <c r="B86" s="96"/>
      <c r="C86" s="110" t="s">
        <v>1258</v>
      </c>
      <c r="D86" s="111"/>
      <c r="E86" s="29" t="s">
        <v>1144</v>
      </c>
      <c r="F86" s="99" t="s">
        <v>1240</v>
      </c>
      <c r="G86" s="71"/>
    </row>
    <row r="87" spans="2:7" s="72" customFormat="1" ht="13.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3.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3.5" thickBot="1">
      <c r="B96" s="96"/>
      <c r="C96" s="97" t="s">
        <v>1383</v>
      </c>
      <c r="D96" s="98"/>
      <c r="E96" s="29" t="s">
        <v>1151</v>
      </c>
      <c r="F96" s="99" t="s">
        <v>1240</v>
      </c>
      <c r="G96" s="71"/>
    </row>
    <row r="97" spans="2:9" s="72" customFormat="1" ht="13.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3.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3.5" thickBot="1">
      <c r="B112" s="73"/>
      <c r="C112" s="77" t="s">
        <v>1416</v>
      </c>
      <c r="D112" s="81"/>
      <c r="E112" s="22" t="s">
        <v>1163</v>
      </c>
      <c r="F112" s="82" t="s">
        <v>1417</v>
      </c>
      <c r="G112" s="71"/>
    </row>
    <row r="113" spans="1:8" s="72" customFormat="1">
      <c r="B113" s="83" t="s">
        <v>1418</v>
      </c>
      <c r="C113" s="84"/>
      <c r="D113" s="85"/>
      <c r="E113" s="23" t="s">
        <v>1419</v>
      </c>
      <c r="F113" s="86" t="s">
        <v>1420</v>
      </c>
      <c r="G113" s="71"/>
    </row>
    <row r="114" spans="1:8">
      <c r="A114" s="72"/>
      <c r="B114" s="73"/>
      <c r="C114" s="74" t="s">
        <v>1421</v>
      </c>
      <c r="D114" s="75"/>
      <c r="E114" s="18" t="s">
        <v>1164</v>
      </c>
      <c r="F114" s="76" t="s">
        <v>1422</v>
      </c>
      <c r="G114" s="71"/>
    </row>
    <row r="115" spans="1:8">
      <c r="A115" s="72"/>
      <c r="B115" s="73"/>
      <c r="C115" s="74" t="s">
        <v>1423</v>
      </c>
      <c r="D115" s="75"/>
      <c r="E115" s="18" t="s">
        <v>1165</v>
      </c>
      <c r="F115" s="76" t="s">
        <v>1424</v>
      </c>
      <c r="G115" s="71"/>
    </row>
    <row r="116" spans="1:8">
      <c r="A116" s="72"/>
      <c r="B116" s="73"/>
      <c r="C116" s="74" t="s">
        <v>1425</v>
      </c>
      <c r="D116" s="75"/>
      <c r="E116" s="18" t="s">
        <v>1166</v>
      </c>
      <c r="F116" s="76" t="s">
        <v>1426</v>
      </c>
      <c r="G116" s="71"/>
    </row>
    <row r="117" spans="1:8" ht="13.5" thickBot="1">
      <c r="A117" s="72"/>
      <c r="B117" s="73"/>
      <c r="C117" s="77" t="s">
        <v>1427</v>
      </c>
      <c r="D117" s="81"/>
      <c r="E117" s="22" t="s">
        <v>1167</v>
      </c>
      <c r="F117" s="82" t="s">
        <v>1428</v>
      </c>
      <c r="G117" s="71"/>
    </row>
    <row r="118" spans="1:8">
      <c r="A118" s="72"/>
      <c r="B118" s="83" t="s">
        <v>1429</v>
      </c>
      <c r="C118" s="84"/>
      <c r="D118" s="85"/>
      <c r="E118" s="23" t="s">
        <v>545</v>
      </c>
      <c r="F118" s="86" t="s">
        <v>1430</v>
      </c>
      <c r="G118" s="71"/>
    </row>
    <row r="119" spans="1:8" ht="13.5" thickBot="1">
      <c r="A119" s="72"/>
      <c r="B119" s="96"/>
      <c r="C119" s="97" t="s">
        <v>1431</v>
      </c>
      <c r="D119" s="98"/>
      <c r="E119" s="29" t="s">
        <v>1168</v>
      </c>
      <c r="F119" s="99" t="s">
        <v>1432</v>
      </c>
      <c r="G119" s="71"/>
    </row>
    <row r="120" spans="1:8" ht="13.5" thickBot="1">
      <c r="A120" s="72"/>
      <c r="B120" s="100" t="s">
        <v>1433</v>
      </c>
      <c r="C120" s="121"/>
      <c r="D120" s="122"/>
      <c r="E120" s="34" t="s">
        <v>1434</v>
      </c>
      <c r="F120" s="120" t="s">
        <v>1435</v>
      </c>
      <c r="G120" s="71"/>
    </row>
    <row r="121" spans="1:8" ht="14" thickTop="1" thickBot="1">
      <c r="A121" s="72"/>
      <c r="B121" s="114" t="s">
        <v>1436</v>
      </c>
      <c r="C121" s="115"/>
      <c r="D121" s="116"/>
      <c r="E121" s="33" t="s">
        <v>1437</v>
      </c>
      <c r="F121" s="185" t="s">
        <v>1438</v>
      </c>
      <c r="G121" s="186" t="s">
        <v>1859</v>
      </c>
      <c r="H121" s="187" t="s">
        <v>1860</v>
      </c>
    </row>
    <row r="122" spans="1:8" ht="13.5" thickTop="1">
      <c r="G122" s="172" t="s">
        <v>1515</v>
      </c>
    </row>
    <row r="123" spans="1:8">
      <c r="G123" s="173" t="s">
        <v>1072</v>
      </c>
    </row>
    <row r="124" spans="1:8">
      <c r="G124" s="173" t="s">
        <v>1074</v>
      </c>
    </row>
    <row r="125" spans="1:8">
      <c r="G125" s="173" t="s">
        <v>1075</v>
      </c>
    </row>
    <row r="126" spans="1:8">
      <c r="G126" s="173" t="s">
        <v>1078</v>
      </c>
    </row>
    <row r="127" spans="1:8">
      <c r="G127" s="173" t="s">
        <v>1079</v>
      </c>
    </row>
    <row r="128" spans="1:8">
      <c r="G128" s="173" t="s">
        <v>1081</v>
      </c>
    </row>
    <row r="129" spans="7:7">
      <c r="G129" s="173" t="s">
        <v>1082</v>
      </c>
    </row>
    <row r="130" spans="7:7">
      <c r="G130" s="173" t="s">
        <v>886</v>
      </c>
    </row>
    <row r="131" spans="7:7">
      <c r="G131" s="173" t="s">
        <v>604</v>
      </c>
    </row>
    <row r="132" spans="7:7">
      <c r="G132" s="173" t="s">
        <v>408</v>
      </c>
    </row>
    <row r="133" spans="7:7">
      <c r="G133" s="173" t="s">
        <v>1086</v>
      </c>
    </row>
    <row r="134" spans="7:7">
      <c r="G134" s="174" t="s">
        <v>1087</v>
      </c>
    </row>
    <row r="135" spans="7:7" ht="13.5" thickBot="1">
      <c r="G135" s="174" t="s">
        <v>1089</v>
      </c>
    </row>
    <row r="136" spans="7:7">
      <c r="G136" s="175" t="s">
        <v>1242</v>
      </c>
    </row>
    <row r="137" spans="7:7">
      <c r="G137" s="173" t="s">
        <v>1090</v>
      </c>
    </row>
    <row r="138" spans="7:7">
      <c r="G138" s="173" t="s">
        <v>1092</v>
      </c>
    </row>
    <row r="139" spans="7:7">
      <c r="G139" s="173" t="s">
        <v>1093</v>
      </c>
    </row>
    <row r="140" spans="7:7">
      <c r="G140" s="176" t="s">
        <v>1094</v>
      </c>
    </row>
    <row r="141" spans="7:7">
      <c r="G141" s="176" t="s">
        <v>1096</v>
      </c>
    </row>
    <row r="142" spans="7:7">
      <c r="G142" s="176" t="s">
        <v>1097</v>
      </c>
    </row>
    <row r="143" spans="7:7">
      <c r="G143" s="177" t="s">
        <v>1098</v>
      </c>
    </row>
    <row r="144" spans="7:7" ht="13.5" thickBot="1">
      <c r="G144" s="174" t="s">
        <v>1099</v>
      </c>
    </row>
    <row r="145" spans="7:7">
      <c r="G145" s="175" t="s">
        <v>1260</v>
      </c>
    </row>
    <row r="146" spans="7:7">
      <c r="G146" s="173" t="s">
        <v>1101</v>
      </c>
    </row>
    <row r="147" spans="7:7">
      <c r="G147" s="173" t="s">
        <v>47</v>
      </c>
    </row>
    <row r="148" spans="7:7">
      <c r="G148" s="173" t="s">
        <v>1102</v>
      </c>
    </row>
    <row r="149" spans="7:7">
      <c r="G149" s="173" t="s">
        <v>1103</v>
      </c>
    </row>
    <row r="150" spans="7:7">
      <c r="G150" s="173" t="s">
        <v>1104</v>
      </c>
    </row>
    <row r="151" spans="7:7">
      <c r="G151" s="173" t="s">
        <v>101</v>
      </c>
    </row>
    <row r="152" spans="7:7">
      <c r="G152" s="173" t="s">
        <v>1105</v>
      </c>
    </row>
    <row r="153" spans="7:7">
      <c r="G153" s="173" t="s">
        <v>32</v>
      </c>
    </row>
    <row r="154" spans="7:7">
      <c r="G154" s="173" t="s">
        <v>128</v>
      </c>
    </row>
    <row r="155" spans="7:7">
      <c r="G155" s="173" t="s">
        <v>1106</v>
      </c>
    </row>
    <row r="156" spans="7:7">
      <c r="G156" s="173" t="s">
        <v>1107</v>
      </c>
    </row>
    <row r="157" spans="7:7">
      <c r="G157" s="173" t="s">
        <v>1108</v>
      </c>
    </row>
    <row r="158" spans="7:7">
      <c r="G158" s="173" t="s">
        <v>1109</v>
      </c>
    </row>
    <row r="159" spans="7:7" ht="13.5" thickBot="1">
      <c r="G159" s="178" t="s">
        <v>1110</v>
      </c>
    </row>
    <row r="160" spans="7:7">
      <c r="G160" s="179" t="s">
        <v>1287</v>
      </c>
    </row>
    <row r="161" spans="7:7">
      <c r="G161" s="176" t="s">
        <v>1111</v>
      </c>
    </row>
    <row r="162" spans="7:7">
      <c r="G162" s="173" t="s">
        <v>1112</v>
      </c>
    </row>
    <row r="163" spans="7:7">
      <c r="G163" s="173" t="s">
        <v>1113</v>
      </c>
    </row>
    <row r="164" spans="7:7" ht="13.5" thickBot="1">
      <c r="G164" s="174" t="s">
        <v>1114</v>
      </c>
    </row>
    <row r="165" spans="7:7">
      <c r="G165" s="175" t="s">
        <v>1296</v>
      </c>
    </row>
    <row r="166" spans="7:7">
      <c r="G166" s="176" t="s">
        <v>1115</v>
      </c>
    </row>
    <row r="167" spans="7:7">
      <c r="G167" s="173" t="s">
        <v>368</v>
      </c>
    </row>
    <row r="168" spans="7:7">
      <c r="G168" s="173" t="s">
        <v>1116</v>
      </c>
    </row>
    <row r="169" spans="7:7" ht="13.5" thickBot="1">
      <c r="G169" s="178" t="s">
        <v>1117</v>
      </c>
    </row>
    <row r="170" spans="7:7">
      <c r="G170" s="179" t="s">
        <v>1305</v>
      </c>
    </row>
    <row r="171" spans="7:7">
      <c r="G171" s="173" t="s">
        <v>1118</v>
      </c>
    </row>
    <row r="172" spans="7:7">
      <c r="G172" s="173" t="s">
        <v>1119</v>
      </c>
    </row>
    <row r="173" spans="7:7">
      <c r="G173" s="173" t="s">
        <v>1120</v>
      </c>
    </row>
    <row r="174" spans="7:7">
      <c r="G174" s="173" t="s">
        <v>1121</v>
      </c>
    </row>
    <row r="175" spans="7:7">
      <c r="G175" s="173" t="s">
        <v>1122</v>
      </c>
    </row>
    <row r="176" spans="7:7" ht="13.5" thickBot="1">
      <c r="G176" s="174" t="s">
        <v>1123</v>
      </c>
    </row>
    <row r="177" spans="7:7">
      <c r="G177" s="175" t="s">
        <v>1318</v>
      </c>
    </row>
    <row r="178" spans="7:7">
      <c r="G178" s="173" t="s">
        <v>1124</v>
      </c>
    </row>
    <row r="179" spans="7:7">
      <c r="G179" s="173" t="s">
        <v>1125</v>
      </c>
    </row>
    <row r="180" spans="7:7">
      <c r="G180" s="173" t="s">
        <v>1126</v>
      </c>
    </row>
    <row r="181" spans="7:7">
      <c r="G181" s="176" t="s">
        <v>1127</v>
      </c>
    </row>
    <row r="182" spans="7:7">
      <c r="G182" s="174" t="s">
        <v>1128</v>
      </c>
    </row>
    <row r="183" spans="7:7" ht="13.5" thickBot="1">
      <c r="G183" s="174" t="s">
        <v>1129</v>
      </c>
    </row>
    <row r="184" spans="7:7">
      <c r="G184" s="175" t="s">
        <v>1332</v>
      </c>
    </row>
    <row r="185" spans="7:7">
      <c r="G185" s="173" t="s">
        <v>1130</v>
      </c>
    </row>
    <row r="186" spans="7:7">
      <c r="G186" s="173" t="s">
        <v>1131</v>
      </c>
    </row>
    <row r="187" spans="7:7">
      <c r="G187" s="173" t="s">
        <v>1132</v>
      </c>
    </row>
    <row r="188" spans="7:7" ht="13.5" thickBot="1">
      <c r="G188" s="178" t="s">
        <v>1133</v>
      </c>
    </row>
    <row r="189" spans="7:7">
      <c r="G189" s="179" t="s">
        <v>1341</v>
      </c>
    </row>
    <row r="190" spans="7:7">
      <c r="G190" s="173" t="s">
        <v>1134</v>
      </c>
    </row>
    <row r="191" spans="7:7">
      <c r="G191" s="173" t="s">
        <v>1135</v>
      </c>
    </row>
    <row r="192" spans="7:7">
      <c r="G192" s="173" t="s">
        <v>1136</v>
      </c>
    </row>
    <row r="193" spans="7:7" ht="13.5" thickBot="1">
      <c r="G193" s="174" t="s">
        <v>1137</v>
      </c>
    </row>
    <row r="194" spans="7:7">
      <c r="G194" s="180" t="s">
        <v>1350</v>
      </c>
    </row>
    <row r="195" spans="7:7">
      <c r="G195" s="177" t="s">
        <v>1138</v>
      </c>
    </row>
    <row r="196" spans="7:7" ht="13.5" thickBot="1">
      <c r="G196" s="181" t="s">
        <v>1139</v>
      </c>
    </row>
    <row r="197" spans="7:7">
      <c r="G197" s="175" t="s">
        <v>1356</v>
      </c>
    </row>
    <row r="198" spans="7:7">
      <c r="G198" s="173" t="s">
        <v>1140</v>
      </c>
    </row>
    <row r="199" spans="7:7">
      <c r="G199" s="174" t="s">
        <v>1141</v>
      </c>
    </row>
    <row r="200" spans="7:7">
      <c r="G200" s="174" t="s">
        <v>1142</v>
      </c>
    </row>
    <row r="201" spans="7:7">
      <c r="G201" s="174" t="s">
        <v>1143</v>
      </c>
    </row>
    <row r="202" spans="7:7" ht="13.5" thickBot="1">
      <c r="G202" s="178" t="s">
        <v>1144</v>
      </c>
    </row>
    <row r="203" spans="7:7" ht="13.5" thickBot="1">
      <c r="G203" s="182" t="s">
        <v>1367</v>
      </c>
    </row>
    <row r="204" spans="7:7">
      <c r="G204" s="180" t="s">
        <v>1370</v>
      </c>
    </row>
    <row r="205" spans="7:7">
      <c r="G205" s="177" t="s">
        <v>1145</v>
      </c>
    </row>
    <row r="206" spans="7:7">
      <c r="G206" s="177" t="s">
        <v>1146</v>
      </c>
    </row>
    <row r="207" spans="7:7" ht="13.5" thickBot="1">
      <c r="G207" s="177" t="s">
        <v>1147</v>
      </c>
    </row>
    <row r="208" spans="7:7">
      <c r="G208" s="180" t="s">
        <v>1375</v>
      </c>
    </row>
    <row r="209" spans="7:7">
      <c r="G209" s="173" t="s">
        <v>1148</v>
      </c>
    </row>
    <row r="210" spans="7:7">
      <c r="G210" s="173" t="s">
        <v>1149</v>
      </c>
    </row>
    <row r="211" spans="7:7">
      <c r="G211" s="173" t="s">
        <v>1150</v>
      </c>
    </row>
    <row r="212" spans="7:7" ht="13.5" thickBot="1">
      <c r="G212" s="178" t="s">
        <v>1151</v>
      </c>
    </row>
    <row r="213" spans="7:7" ht="13.5" thickBot="1">
      <c r="G213" s="183" t="s">
        <v>1385</v>
      </c>
    </row>
    <row r="214" spans="7:7">
      <c r="G214" s="175" t="s">
        <v>1388</v>
      </c>
    </row>
    <row r="215" spans="7:7">
      <c r="G215" s="173" t="s">
        <v>1152</v>
      </c>
    </row>
    <row r="216" spans="7:7">
      <c r="G216" s="173" t="s">
        <v>1153</v>
      </c>
    </row>
    <row r="217" spans="7:7">
      <c r="G217" s="173" t="s">
        <v>1154</v>
      </c>
    </row>
    <row r="218" spans="7:7" ht="13.5" thickBot="1">
      <c r="G218" s="178" t="s">
        <v>1155</v>
      </c>
    </row>
    <row r="219" spans="7:7">
      <c r="G219" s="179" t="s">
        <v>1398</v>
      </c>
    </row>
    <row r="220" spans="7:7">
      <c r="G220" s="173" t="s">
        <v>1156</v>
      </c>
    </row>
    <row r="221" spans="7:7">
      <c r="G221" s="176" t="s">
        <v>1157</v>
      </c>
    </row>
    <row r="222" spans="7:7">
      <c r="G222" s="176" t="s">
        <v>1158</v>
      </c>
    </row>
    <row r="223" spans="7:7">
      <c r="G223" s="176" t="s">
        <v>1159</v>
      </c>
    </row>
    <row r="224" spans="7:7">
      <c r="G224" s="173" t="s">
        <v>1160</v>
      </c>
    </row>
    <row r="225" spans="7:7">
      <c r="G225" s="173" t="s">
        <v>1410</v>
      </c>
    </row>
    <row r="226" spans="7:7">
      <c r="G226" s="173" t="s">
        <v>1161</v>
      </c>
    </row>
    <row r="227" spans="7:7">
      <c r="G227" s="174" t="s">
        <v>1162</v>
      </c>
    </row>
    <row r="228" spans="7:7" ht="13.5" thickBot="1">
      <c r="G228" s="174" t="s">
        <v>1163</v>
      </c>
    </row>
    <row r="229" spans="7:7">
      <c r="G229" s="175" t="s">
        <v>1419</v>
      </c>
    </row>
    <row r="230" spans="7:7">
      <c r="G230" s="173" t="s">
        <v>1164</v>
      </c>
    </row>
    <row r="231" spans="7:7">
      <c r="G231" s="173" t="s">
        <v>1165</v>
      </c>
    </row>
    <row r="232" spans="7:7">
      <c r="G232" s="173" t="s">
        <v>1166</v>
      </c>
    </row>
    <row r="233" spans="7:7" ht="13.5" thickBot="1">
      <c r="G233" s="174" t="s">
        <v>1167</v>
      </c>
    </row>
    <row r="234" spans="7:7">
      <c r="G234" s="175" t="s">
        <v>545</v>
      </c>
    </row>
    <row r="235" spans="7:7" ht="13.5" thickBot="1">
      <c r="G235" s="178" t="s">
        <v>1168</v>
      </c>
    </row>
    <row r="236" spans="7:7" ht="13.5" thickBot="1">
      <c r="G236" s="183" t="s">
        <v>1434</v>
      </c>
    </row>
    <row r="237" spans="7:7" ht="13.5" thickBot="1">
      <c r="G237" s="182" t="s">
        <v>1437</v>
      </c>
    </row>
    <row r="238" spans="7:7">
      <c r="G238" s="175" t="s">
        <v>1844</v>
      </c>
    </row>
    <row r="239" spans="7:7">
      <c r="G239" s="173" t="s">
        <v>1845</v>
      </c>
    </row>
    <row r="240" spans="7:7">
      <c r="G240" s="173" t="s">
        <v>1846</v>
      </c>
    </row>
    <row r="241" spans="7:7">
      <c r="G241" s="173" t="s">
        <v>1847</v>
      </c>
    </row>
    <row r="242" spans="7:7" ht="13.5" thickBot="1">
      <c r="G242" s="184" t="s">
        <v>1848</v>
      </c>
    </row>
    <row r="243" spans="7:7" ht="13.5" thickTop="1"/>
  </sheetData>
  <autoFilter ref="A4:I122">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5"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C000"/>
  </sheetPr>
  <dimension ref="A1:R23"/>
  <sheetViews>
    <sheetView zoomScaleNormal="100" workbookViewId="0">
      <selection activeCell="T199" sqref="T199"/>
    </sheetView>
  </sheetViews>
  <sheetFormatPr defaultRowHeight="18"/>
  <cols>
    <col min="7" max="7" width="12.08203125" bestFit="1" customWidth="1"/>
    <col min="17" max="17" width="8" bestFit="1" customWidth="1"/>
    <col min="18" max="18" width="12.08203125" bestFit="1" customWidth="1"/>
  </cols>
  <sheetData>
    <row r="1" spans="1:18" ht="18.5" thickBot="1">
      <c r="A1" s="35" t="s">
        <v>1169</v>
      </c>
      <c r="H1" s="35" t="s">
        <v>1170</v>
      </c>
      <c r="L1" s="35" t="s">
        <v>1169</v>
      </c>
      <c r="P1" t="s">
        <v>1171</v>
      </c>
    </row>
    <row r="2" spans="1:18" ht="18.5" thickTop="1">
      <c r="B2" s="36"/>
      <c r="C2" s="208" t="s">
        <v>1172</v>
      </c>
      <c r="D2" s="208"/>
      <c r="E2" s="37">
        <f>E8-E7</f>
        <v>18</v>
      </c>
      <c r="H2">
        <v>13</v>
      </c>
      <c r="M2" s="36"/>
      <c r="N2" s="208" t="s">
        <v>1172</v>
      </c>
      <c r="O2" s="208"/>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209" t="s">
        <v>1179</v>
      </c>
      <c r="D7" s="210"/>
      <c r="E7" s="40">
        <v>87</v>
      </c>
      <c r="F7" t="s">
        <v>1063</v>
      </c>
      <c r="G7">
        <f t="shared" si="0"/>
        <v>180</v>
      </c>
      <c r="M7" s="38"/>
      <c r="N7" s="209" t="s">
        <v>1179</v>
      </c>
      <c r="O7" s="210"/>
      <c r="P7" s="40">
        <v>93</v>
      </c>
    </row>
    <row r="8" spans="1:18">
      <c r="B8" s="211" t="s">
        <v>1180</v>
      </c>
      <c r="C8" s="209"/>
      <c r="D8" s="210"/>
      <c r="E8" s="40">
        <v>105</v>
      </c>
      <c r="F8" t="s">
        <v>1176</v>
      </c>
      <c r="G8">
        <f t="shared" si="0"/>
        <v>210</v>
      </c>
      <c r="M8" s="211" t="s">
        <v>1180</v>
      </c>
      <c r="N8" s="209"/>
      <c r="O8" s="210"/>
      <c r="P8" s="40">
        <v>105</v>
      </c>
    </row>
    <row r="9" spans="1:18">
      <c r="B9" s="38"/>
      <c r="C9" s="39"/>
      <c r="D9" s="39"/>
      <c r="E9" s="41"/>
      <c r="G9">
        <f t="shared" si="0"/>
        <v>0</v>
      </c>
      <c r="M9" s="38"/>
      <c r="N9" s="39"/>
      <c r="O9" s="39"/>
      <c r="P9" s="41"/>
    </row>
    <row r="10" spans="1:18">
      <c r="B10" s="211" t="s">
        <v>1181</v>
      </c>
      <c r="C10" s="209"/>
      <c r="D10" s="209"/>
      <c r="E10" s="40">
        <v>1</v>
      </c>
      <c r="G10">
        <f t="shared" si="0"/>
        <v>81</v>
      </c>
      <c r="M10" s="211" t="s">
        <v>1181</v>
      </c>
      <c r="N10" s="209"/>
      <c r="O10" s="209"/>
      <c r="P10" s="40">
        <v>80</v>
      </c>
    </row>
    <row r="11" spans="1:18" ht="18.5" thickBot="1">
      <c r="B11" s="212" t="s">
        <v>1182</v>
      </c>
      <c r="C11" s="213"/>
      <c r="D11" s="213"/>
      <c r="E11" s="42">
        <f>G17</f>
        <v>279</v>
      </c>
      <c r="G11">
        <f t="shared" si="0"/>
        <v>542</v>
      </c>
      <c r="M11" s="212" t="s">
        <v>1182</v>
      </c>
      <c r="N11" s="213"/>
      <c r="O11" s="213"/>
      <c r="P11" s="42">
        <v>263</v>
      </c>
    </row>
    <row r="12" spans="1:18" ht="18.5" thickTop="1"/>
    <row r="13" spans="1:18">
      <c r="B13" s="211" t="s">
        <v>1183</v>
      </c>
      <c r="C13" s="209"/>
      <c r="D13" s="209"/>
      <c r="E13" s="40">
        <f>185+E8+E10</f>
        <v>291</v>
      </c>
      <c r="M13" s="211" t="s">
        <v>1183</v>
      </c>
      <c r="N13" s="209"/>
      <c r="O13" s="209"/>
      <c r="P13" s="40">
        <f>P8+P10</f>
        <v>185</v>
      </c>
    </row>
    <row r="14" spans="1:18" ht="18.5" thickBot="1">
      <c r="B14" s="212" t="s">
        <v>1184</v>
      </c>
      <c r="C14" s="213"/>
      <c r="D14" s="213"/>
      <c r="E14" s="42">
        <f>368+E11+E8</f>
        <v>752</v>
      </c>
      <c r="M14" s="212" t="s">
        <v>1184</v>
      </c>
      <c r="N14" s="213"/>
      <c r="O14" s="213"/>
      <c r="P14" s="42">
        <f>P11+P8</f>
        <v>368</v>
      </c>
    </row>
    <row r="15" spans="1:18" ht="18.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B14:D14"/>
    <mergeCell ref="M14:O14"/>
    <mergeCell ref="B10:D10"/>
    <mergeCell ref="M10:O10"/>
    <mergeCell ref="B11:D11"/>
    <mergeCell ref="M11:O11"/>
    <mergeCell ref="B13:D13"/>
    <mergeCell ref="M13:O13"/>
    <mergeCell ref="C2:D2"/>
    <mergeCell ref="N2:O2"/>
    <mergeCell ref="C7:D7"/>
    <mergeCell ref="N7:O7"/>
    <mergeCell ref="B8:D8"/>
    <mergeCell ref="M8:O8"/>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C000"/>
  </sheetPr>
  <dimension ref="A1:K27"/>
  <sheetViews>
    <sheetView workbookViewId="0">
      <selection activeCell="B3" sqref="B3"/>
    </sheetView>
  </sheetViews>
  <sheetFormatPr defaultRowHeight="18"/>
  <cols>
    <col min="6" max="6" width="15.08203125" bestFit="1" customWidth="1"/>
    <col min="9" max="9" width="15.08203125" bestFit="1" customWidth="1"/>
    <col min="11" max="11" width="15.08203125" bestFit="1" customWidth="1"/>
  </cols>
  <sheetData>
    <row r="1" spans="1:11" ht="18.5" thickBot="1"/>
    <row r="2" spans="1:11" ht="19" thickTop="1" thickBot="1">
      <c r="A2" s="35" t="s">
        <v>1198</v>
      </c>
      <c r="B2" t="s">
        <v>1485</v>
      </c>
      <c r="C2" t="s">
        <v>1068</v>
      </c>
      <c r="D2" t="s">
        <v>1069</v>
      </c>
      <c r="E2" s="35" t="s">
        <v>1199</v>
      </c>
      <c r="F2" s="36" t="s">
        <v>1200</v>
      </c>
      <c r="G2" s="37" t="s">
        <v>1201</v>
      </c>
      <c r="H2" s="35" t="s">
        <v>1202</v>
      </c>
      <c r="I2" s="54" t="s">
        <v>1203</v>
      </c>
      <c r="J2" s="54" t="s">
        <v>1201</v>
      </c>
      <c r="K2" s="35" t="s">
        <v>1204</v>
      </c>
    </row>
    <row r="3" spans="1:11" ht="18.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8.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8.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8.5" thickBot="1">
      <c r="B24" t="str">
        <f>中間処理シート!O25</f>
        <v/>
      </c>
      <c r="C24" t="str">
        <f>中間処理シート!P25</f>
        <v/>
      </c>
      <c r="D24" t="str">
        <f>中間処理シート!Q25</f>
        <v/>
      </c>
    </row>
    <row r="25" spans="2:7" ht="19" thickTop="1" thickBot="1">
      <c r="B25" s="58" t="s">
        <v>1206</v>
      </c>
      <c r="C25" s="59">
        <f>中間処理シート!P27</f>
        <v>105</v>
      </c>
      <c r="D25" s="60">
        <f>中間処理シート!Q27</f>
        <v>82</v>
      </c>
    </row>
    <row r="26" spans="2:7" ht="19" thickTop="1" thickBot="1">
      <c r="B26" s="58" t="s">
        <v>1206</v>
      </c>
      <c r="C26" s="59">
        <f>SUM(C3:C22)</f>
        <v>210</v>
      </c>
      <c r="D26" s="60">
        <f>SUM(D3:D22)</f>
        <v>164</v>
      </c>
      <c r="F26" s="58" t="s">
        <v>1206</v>
      </c>
      <c r="G26" s="61"/>
    </row>
    <row r="27" spans="2:7" ht="18.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33"/>
  <sheetViews>
    <sheetView topLeftCell="A5" workbookViewId="0">
      <selection activeCell="B13" sqref="B13"/>
    </sheetView>
  </sheetViews>
  <sheetFormatPr defaultColWidth="9" defaultRowHeight="17.5"/>
  <cols>
    <col min="1" max="1" width="9" style="123"/>
    <col min="2" max="2" width="18.75" style="123" bestFit="1" customWidth="1"/>
    <col min="3" max="3" width="79.25" style="123" bestFit="1" customWidth="1"/>
    <col min="4" max="4" width="7.33203125" style="123" bestFit="1" customWidth="1"/>
    <col min="5" max="5" width="46.33203125" style="123" bestFit="1" customWidth="1"/>
    <col min="6" max="6" width="30.75" style="123" bestFit="1" customWidth="1"/>
    <col min="7" max="7" width="9" style="123"/>
    <col min="8" max="8" width="13.08203125" style="123" bestFit="1" customWidth="1"/>
    <col min="9" max="9" width="9" style="123"/>
    <col min="10" max="10" width="13.08203125" style="123" bestFit="1" customWidth="1"/>
    <col min="11" max="16384" width="9" style="123"/>
  </cols>
  <sheetData>
    <row r="1" spans="1:10" ht="18">
      <c r="B1" s="124" t="s">
        <v>1439</v>
      </c>
      <c r="C1" s="124" t="s">
        <v>1440</v>
      </c>
      <c r="D1" s="125" t="s">
        <v>1441</v>
      </c>
      <c r="E1" s="125" t="s">
        <v>1442</v>
      </c>
      <c r="F1" s="125" t="s">
        <v>1443</v>
      </c>
      <c r="G1" s="5" t="s">
        <v>1065</v>
      </c>
      <c r="I1" s="126" t="s">
        <v>1444</v>
      </c>
      <c r="J1" s="125" t="s">
        <v>1445</v>
      </c>
    </row>
    <row r="2" spans="1:10" s="127" customFormat="1" ht="18">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ht="18">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ht="18">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ht="18">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ht="18">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ht="18">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ht="18">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ht="18">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ht="18">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ht="18">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ht="18">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ht="18">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ht="18">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ht="18">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ht="18">
      <c r="A17" s="123" t="s">
        <v>1454</v>
      </c>
      <c r="B17" s="123" t="s">
        <v>1454</v>
      </c>
      <c r="G17" s="8" t="str">
        <f>IF(I17="","",IFERROR(LOOKUP(1,0/(中間処理シート!AK:AK=包括・特例!I17),中間処理シート!AP:AP),""))</f>
        <v/>
      </c>
      <c r="J17" s="127"/>
    </row>
    <row r="18" spans="1:10" ht="18">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ht="18">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ht="18">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ht="18">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ht="18">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ht="18">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ht="18">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ht="18">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ht="18">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ht="18">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ht="18">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ht="18">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ht="18">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ht="18">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ht="18">
      <c r="A32" s="123" t="s">
        <v>1456</v>
      </c>
      <c r="G32" s="8" t="str">
        <f>IF(I32="","",IFERROR(LOOKUP(1,0/(中間処理シート!AK:AK=包括・特例!I32),中間処理シート!AP:AP),""))</f>
        <v/>
      </c>
    </row>
    <row r="33" spans="3:10" ht="18">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38</vt:i4>
      </vt:variant>
    </vt:vector>
  </HeadingPairs>
  <TitlesOfParts>
    <vt:vector size="47" baseType="lpstr">
      <vt:lpstr>yushutsu_kobetsu</vt:lpstr>
      <vt:lpstr>中間処理シート</vt:lpstr>
      <vt:lpstr>ダッシュボード</vt:lpstr>
      <vt:lpstr>組織辞書</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左上cell_組織辞書</vt:lpstr>
      <vt:lpstr>最終需要者</vt:lpstr>
      <vt:lpstr>仕向地</vt:lpstr>
      <vt:lpstr>仕向地集計</vt:lpstr>
      <vt:lpstr>仕向地抽出</vt:lpstr>
      <vt:lpstr>仕向地別名</vt:lpstr>
      <vt:lpstr>仕向地別名回数</vt:lpstr>
      <vt:lpstr>取引集計</vt:lpstr>
      <vt:lpstr>取引集計＿非ゼロ</vt:lpstr>
      <vt:lpstr>集計期間</vt:lpstr>
      <vt:lpstr>集計状況</vt:lpstr>
      <vt:lpstr>集計名例外解決</vt:lpstr>
      <vt:lpstr>少額特例適用件数</vt:lpstr>
      <vt:lpstr>承認記録</vt:lpstr>
      <vt:lpstr>申請者所属</vt:lpstr>
      <vt:lpstr>組織</vt:lpstr>
      <vt:lpstr>組織集計</vt:lpstr>
      <vt:lpstr>組織集計＿非ゼロ</vt:lpstr>
      <vt:lpstr>特例抽出</vt:lpstr>
      <vt:lpstr>非許可特例抽出</vt:lpstr>
      <vt:lpstr>包括許可適用件数</vt:lpstr>
      <vt:lpstr>包括抽出</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Takashi Aoki</cp:lastModifiedBy>
  <dcterms:created xsi:type="dcterms:W3CDTF">2020-10-19T15:06:48Z</dcterms:created>
  <dcterms:modified xsi:type="dcterms:W3CDTF">2021-02-03T00:04:10Z</dcterms:modified>
</cp:coreProperties>
</file>